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eakin365-my.sharepoint.com/personal/s225125235_deakin_edu_au/Documents/"/>
    </mc:Choice>
  </mc:AlternateContent>
  <xr:revisionPtr revIDLastSave="0" documentId="8_{698AD5BD-D476-934A-A9D9-F2C98BA017E3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Project_Overview" sheetId="10" r:id="rId1"/>
    <sheet name="Sales_Transactions" sheetId="1" r:id="rId2"/>
    <sheet name="KPI_Summary" sheetId="2" r:id="rId3"/>
    <sheet name="Revenue_Analysis_By_Day_Service" sheetId="3" r:id="rId4"/>
    <sheet name="Prediction_Features" sheetId="4" r:id="rId5"/>
    <sheet name="Daily_Demand" sheetId="5" r:id="rId6"/>
    <sheet name="Daily_Demand_Table" sheetId="6" r:id="rId7"/>
    <sheet name="Regression_Model" sheetId="8" r:id="rId8"/>
    <sheet name="Tomorrow_Lunch_Plan" sheetId="9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9" l="1"/>
  <c r="E3" i="9"/>
  <c r="E4" i="9"/>
  <c r="E5" i="9"/>
  <c r="E6" i="9"/>
  <c r="E7" i="9"/>
  <c r="E8" i="9"/>
  <c r="D2" i="9"/>
  <c r="D3" i="9"/>
  <c r="D4" i="9"/>
  <c r="D5" i="9"/>
  <c r="D6" i="9"/>
  <c r="D7" i="9"/>
  <c r="D8" i="9"/>
  <c r="H3" i="6"/>
  <c r="H4" i="6"/>
  <c r="H5" i="6"/>
  <c r="H6" i="6"/>
  <c r="H7" i="6"/>
  <c r="H8" i="6"/>
  <c r="H2" i="6"/>
  <c r="G2" i="6"/>
  <c r="G3" i="6"/>
  <c r="G4" i="6"/>
  <c r="G5" i="6"/>
  <c r="G6" i="6"/>
  <c r="G7" i="6"/>
  <c r="G8" i="6"/>
  <c r="F2" i="6"/>
  <c r="F3" i="6"/>
  <c r="F4" i="6"/>
  <c r="F5" i="6"/>
  <c r="F6" i="6"/>
  <c r="F7" i="6"/>
  <c r="F8" i="6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M2" i="1"/>
  <c r="B9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B8" i="2"/>
  <c r="B7" i="2"/>
  <c r="B6" i="2"/>
  <c r="B5" i="2"/>
  <c r="B4" i="2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</calcChain>
</file>

<file path=xl/sharedStrings.xml><?xml version="1.0" encoding="utf-8"?>
<sst xmlns="http://schemas.openxmlformats.org/spreadsheetml/2006/main" count="20175" uniqueCount="2341">
  <si>
    <t>Transaction_ID</t>
  </si>
  <si>
    <t>Account_ID</t>
  </si>
  <si>
    <t>Transaction_Date</t>
  </si>
  <si>
    <t>Day</t>
  </si>
  <si>
    <t>Service_Window</t>
  </si>
  <si>
    <t>Time_Slot</t>
  </si>
  <si>
    <t>Sale_Type</t>
  </si>
  <si>
    <t>Customers_Count</t>
  </si>
  <si>
    <t>Total_Bill_Amount</t>
  </si>
  <si>
    <t>Payment_Method</t>
  </si>
  <si>
    <t>Location</t>
  </si>
  <si>
    <t>TXN_000001</t>
  </si>
  <si>
    <t>CORP_043</t>
  </si>
  <si>
    <t>Wednesday</t>
  </si>
  <si>
    <t>Dinner</t>
  </si>
  <si>
    <t>18:00–18:30</t>
  </si>
  <si>
    <t>AlaCarte</t>
  </si>
  <si>
    <t>Credit Card</t>
  </si>
  <si>
    <t>In-store</t>
  </si>
  <si>
    <t>TXN_000002</t>
  </si>
  <si>
    <t>WALK_023</t>
  </si>
  <si>
    <t>Takeaway</t>
  </si>
  <si>
    <t>TXN_000003</t>
  </si>
  <si>
    <t>WALK_086</t>
  </si>
  <si>
    <t>18:30–19:00</t>
  </si>
  <si>
    <t>TXN_000004</t>
  </si>
  <si>
    <t>CORP_036</t>
  </si>
  <si>
    <t>19:00–19:30</t>
  </si>
  <si>
    <t>Digital Wallet</t>
  </si>
  <si>
    <t>TXN_000005</t>
  </si>
  <si>
    <t>CORP_039</t>
  </si>
  <si>
    <t>19:30–20:00</t>
  </si>
  <si>
    <t>TXN_000006</t>
  </si>
  <si>
    <t>WALK_028</t>
  </si>
  <si>
    <t>Cash</t>
  </si>
  <si>
    <t>TXN_000007</t>
  </si>
  <si>
    <t>TXN_000008</t>
  </si>
  <si>
    <t>HOTEL_016</t>
  </si>
  <si>
    <t>TXN_000009</t>
  </si>
  <si>
    <t>WALK_101</t>
  </si>
  <si>
    <t>20:00–20:30</t>
  </si>
  <si>
    <t>TXN_000010</t>
  </si>
  <si>
    <t>CORP_048</t>
  </si>
  <si>
    <t>Lunch</t>
  </si>
  <si>
    <t>12:15–12:45</t>
  </si>
  <si>
    <t>Buffet</t>
  </si>
  <si>
    <t>TXN_000011</t>
  </si>
  <si>
    <t>CORP_012</t>
  </si>
  <si>
    <t>TXN_000012</t>
  </si>
  <si>
    <t>CORP_037</t>
  </si>
  <si>
    <t>12:45–13:15</t>
  </si>
  <si>
    <t>TXN_000013</t>
  </si>
  <si>
    <t>CORP_054</t>
  </si>
  <si>
    <t>13:15–13:45</t>
  </si>
  <si>
    <t>TXN_000014</t>
  </si>
  <si>
    <t>TXN_000015</t>
  </si>
  <si>
    <t>CORP_023</t>
  </si>
  <si>
    <t>13:45–14:15</t>
  </si>
  <si>
    <t>TXN_000016</t>
  </si>
  <si>
    <t>WALK_065</t>
  </si>
  <si>
    <t>TXN_000017</t>
  </si>
  <si>
    <t>WALK_109</t>
  </si>
  <si>
    <t>Thursday</t>
  </si>
  <si>
    <t>TXN_000018</t>
  </si>
  <si>
    <t>WALK_047</t>
  </si>
  <si>
    <t>TXN_000019</t>
  </si>
  <si>
    <t>WALK_052</t>
  </si>
  <si>
    <t>TXN_000020</t>
  </si>
  <si>
    <t>HOTEL_028</t>
  </si>
  <si>
    <t>TXN_000021</t>
  </si>
  <si>
    <t>WALK_057</t>
  </si>
  <si>
    <t>TXN_000022</t>
  </si>
  <si>
    <t>WALK_094</t>
  </si>
  <si>
    <t>TXN_000023</t>
  </si>
  <si>
    <t>CORP_013</t>
  </si>
  <si>
    <t>TXN_000024</t>
  </si>
  <si>
    <t>HOTEL_040</t>
  </si>
  <si>
    <t>TXN_000025</t>
  </si>
  <si>
    <t>TXN_000026</t>
  </si>
  <si>
    <t>WALK_019</t>
  </si>
  <si>
    <t>TXN_000027</t>
  </si>
  <si>
    <t>CORP_072</t>
  </si>
  <si>
    <t>TXN_000028</t>
  </si>
  <si>
    <t>CORP_060</t>
  </si>
  <si>
    <t>TXN_000029</t>
  </si>
  <si>
    <t>TXN_000030</t>
  </si>
  <si>
    <t>TXN_000031</t>
  </si>
  <si>
    <t>WALK_032</t>
  </si>
  <si>
    <t>TXN_000032</t>
  </si>
  <si>
    <t>CORP_061</t>
  </si>
  <si>
    <t>TXN_000033</t>
  </si>
  <si>
    <t>CORP_028</t>
  </si>
  <si>
    <t>TXN_000034</t>
  </si>
  <si>
    <t>CORP_055</t>
  </si>
  <si>
    <t>TXN_000035</t>
  </si>
  <si>
    <t>WALK_010</t>
  </si>
  <si>
    <t>Friday</t>
  </si>
  <si>
    <t>TXN_000036</t>
  </si>
  <si>
    <t>WALK_104</t>
  </si>
  <si>
    <t>TXN_000037</t>
  </si>
  <si>
    <t>CORP_049</t>
  </si>
  <si>
    <t>TXN_000038</t>
  </si>
  <si>
    <t>WALK_117</t>
  </si>
  <si>
    <t>TXN_000039</t>
  </si>
  <si>
    <t>CORP_068</t>
  </si>
  <si>
    <t>TXN_000040</t>
  </si>
  <si>
    <t>CORP_017</t>
  </si>
  <si>
    <t>TXN_000041</t>
  </si>
  <si>
    <t>TXN_000042</t>
  </si>
  <si>
    <t>CORP_005</t>
  </si>
  <si>
    <t>TXN_000043</t>
  </si>
  <si>
    <t>CORP_070</t>
  </si>
  <si>
    <t>TXN_000044</t>
  </si>
  <si>
    <t>TXN_000045</t>
  </si>
  <si>
    <t>TXN_000046</t>
  </si>
  <si>
    <t>WALK_018</t>
  </si>
  <si>
    <t>TXN_000047</t>
  </si>
  <si>
    <t>CORP_065</t>
  </si>
  <si>
    <t>TXN_000048</t>
  </si>
  <si>
    <t>TXN_000049</t>
  </si>
  <si>
    <t>WALK_097</t>
  </si>
  <si>
    <t>TXN_000050</t>
  </si>
  <si>
    <t>WALK_027</t>
  </si>
  <si>
    <t>TXN_000051</t>
  </si>
  <si>
    <t>CORP_041</t>
  </si>
  <si>
    <t>TXN_000052</t>
  </si>
  <si>
    <t>CORP_076</t>
  </si>
  <si>
    <t>Saturday</t>
  </si>
  <si>
    <t>TXN_000053</t>
  </si>
  <si>
    <t>HOTEL_031</t>
  </si>
  <si>
    <t>TXN_000054</t>
  </si>
  <si>
    <t>WALK_034</t>
  </si>
  <si>
    <t>TXN_000055</t>
  </si>
  <si>
    <t>WALK_073</t>
  </si>
  <si>
    <t>TXN_000056</t>
  </si>
  <si>
    <t>HOTEL_022</t>
  </si>
  <si>
    <t>TXN_000057</t>
  </si>
  <si>
    <t>TXN_000058</t>
  </si>
  <si>
    <t>WALK_022</t>
  </si>
  <si>
    <t>TXN_000059</t>
  </si>
  <si>
    <t>WALK_059</t>
  </si>
  <si>
    <t>TXN_000060</t>
  </si>
  <si>
    <t>WALK_014</t>
  </si>
  <si>
    <t>TXN_000061</t>
  </si>
  <si>
    <t>HOTEL_007</t>
  </si>
  <si>
    <t>TXN_000062</t>
  </si>
  <si>
    <t>WALK_037</t>
  </si>
  <si>
    <t>TXN_000063</t>
  </si>
  <si>
    <t>WALK_038</t>
  </si>
  <si>
    <t>TXN_000064</t>
  </si>
  <si>
    <t>HOTEL_018</t>
  </si>
  <si>
    <t>TXN_000065</t>
  </si>
  <si>
    <t>WALK_021</t>
  </si>
  <si>
    <t>TXN_000066</t>
  </si>
  <si>
    <t>HOTEL_002</t>
  </si>
  <si>
    <t>TXN_000067</t>
  </si>
  <si>
    <t>HOTEL_034</t>
  </si>
  <si>
    <t>TXN_000068</t>
  </si>
  <si>
    <t>WALK_033</t>
  </si>
  <si>
    <t>TXN_000069</t>
  </si>
  <si>
    <t>WALK_016</t>
  </si>
  <si>
    <t>TXN_000070</t>
  </si>
  <si>
    <t>TXN_000071</t>
  </si>
  <si>
    <t>HOTEL_023</t>
  </si>
  <si>
    <t>TXN_000072</t>
  </si>
  <si>
    <t>WALK_105</t>
  </si>
  <si>
    <t>TXN_000073</t>
  </si>
  <si>
    <t>CORP_032</t>
  </si>
  <si>
    <t>TXN_000074</t>
  </si>
  <si>
    <t>TXN_000075</t>
  </si>
  <si>
    <t>HOTEL_003</t>
  </si>
  <si>
    <t>Sunday</t>
  </si>
  <si>
    <t>TXN_000076</t>
  </si>
  <si>
    <t>TXN_000077</t>
  </si>
  <si>
    <t>HOTEL_012</t>
  </si>
  <si>
    <t>TXN_000078</t>
  </si>
  <si>
    <t>WALK_114</t>
  </si>
  <si>
    <t>TXN_000079</t>
  </si>
  <si>
    <t>WALK_036</t>
  </si>
  <si>
    <t>TXN_000080</t>
  </si>
  <si>
    <t>WALK_062</t>
  </si>
  <si>
    <t>TXN_000081</t>
  </si>
  <si>
    <t>HOTEL_026</t>
  </si>
  <si>
    <t>TXN_000082</t>
  </si>
  <si>
    <t>TXN_000083</t>
  </si>
  <si>
    <t>CORP_010</t>
  </si>
  <si>
    <t>TXN_000084</t>
  </si>
  <si>
    <t>TXN_000085</t>
  </si>
  <si>
    <t>HOTEL_006</t>
  </si>
  <si>
    <t>TXN_000086</t>
  </si>
  <si>
    <t>TXN_000087</t>
  </si>
  <si>
    <t>TXN_000088</t>
  </si>
  <si>
    <t>HOTEL_008</t>
  </si>
  <si>
    <t>TXN_000089</t>
  </si>
  <si>
    <t>CORP_031</t>
  </si>
  <si>
    <t>TXN_000090</t>
  </si>
  <si>
    <t>WALK_002</t>
  </si>
  <si>
    <t>TXN_000091</t>
  </si>
  <si>
    <t>HOTEL_039</t>
  </si>
  <si>
    <t>TXN_000092</t>
  </si>
  <si>
    <t>HOTEL_027</t>
  </si>
  <si>
    <t>TXN_000093</t>
  </si>
  <si>
    <t>WALK_084</t>
  </si>
  <si>
    <t>TXN_000094</t>
  </si>
  <si>
    <t>WALK_118</t>
  </si>
  <si>
    <t>TXN_000095</t>
  </si>
  <si>
    <t>HOTEL_004</t>
  </si>
  <si>
    <t>TXN_000096</t>
  </si>
  <si>
    <t>WALK_085</t>
  </si>
  <si>
    <t>TXN_000097</t>
  </si>
  <si>
    <t>TXN_000098</t>
  </si>
  <si>
    <t>WALK_041</t>
  </si>
  <si>
    <t>TXN_000099</t>
  </si>
  <si>
    <t>Monday</t>
  </si>
  <si>
    <t>TXN_000100</t>
  </si>
  <si>
    <t>CORP_014</t>
  </si>
  <si>
    <t>TXN_000101</t>
  </si>
  <si>
    <t>TXN_000102</t>
  </si>
  <si>
    <t>TXN_000103</t>
  </si>
  <si>
    <t>WALK_095</t>
  </si>
  <si>
    <t>TXN_000104</t>
  </si>
  <si>
    <t>TXN_000105</t>
  </si>
  <si>
    <t>WALK_120</t>
  </si>
  <si>
    <t>TXN_000106</t>
  </si>
  <si>
    <t>TXN_000107</t>
  </si>
  <si>
    <t>TXN_000108</t>
  </si>
  <si>
    <t>WALK_055</t>
  </si>
  <si>
    <t>TXN_000109</t>
  </si>
  <si>
    <t>CORP_062</t>
  </si>
  <si>
    <t>TXN_000110</t>
  </si>
  <si>
    <t>TXN_000111</t>
  </si>
  <si>
    <t>CORP_042</t>
  </si>
  <si>
    <t>TXN_000112</t>
  </si>
  <si>
    <t>WALK_042</t>
  </si>
  <si>
    <t>TXN_000113</t>
  </si>
  <si>
    <t>WALK_020</t>
  </si>
  <si>
    <t>TXN_000114</t>
  </si>
  <si>
    <t>TXN_000115</t>
  </si>
  <si>
    <t>WALK_008</t>
  </si>
  <si>
    <t>TXN_000116</t>
  </si>
  <si>
    <t>TXN_000117</t>
  </si>
  <si>
    <t>TXN_000118</t>
  </si>
  <si>
    <t>CORP_046</t>
  </si>
  <si>
    <t>TXN_000119</t>
  </si>
  <si>
    <t>TXN_000120</t>
  </si>
  <si>
    <t>WALK_005</t>
  </si>
  <si>
    <t>TXN_000121</t>
  </si>
  <si>
    <t>CORP_077</t>
  </si>
  <si>
    <t>TXN_000122</t>
  </si>
  <si>
    <t>WALK_108</t>
  </si>
  <si>
    <t>Tuesday</t>
  </si>
  <si>
    <t>TXN_000123</t>
  </si>
  <si>
    <t>WALK_026</t>
  </si>
  <si>
    <t>TXN_000124</t>
  </si>
  <si>
    <t>WALK_011</t>
  </si>
  <si>
    <t>TXN_000125</t>
  </si>
  <si>
    <t>WALK_043</t>
  </si>
  <si>
    <t>TXN_000126</t>
  </si>
  <si>
    <t>WALK_024</t>
  </si>
  <si>
    <t>TXN_000127</t>
  </si>
  <si>
    <t>WALK_045</t>
  </si>
  <si>
    <t>TXN_000128</t>
  </si>
  <si>
    <t>HOTEL_035</t>
  </si>
  <si>
    <t>TXN_000129</t>
  </si>
  <si>
    <t>WALK_078</t>
  </si>
  <si>
    <t>TXN_000130</t>
  </si>
  <si>
    <t>WALK_069</t>
  </si>
  <si>
    <t>TXN_000131</t>
  </si>
  <si>
    <t>CORP_021</t>
  </si>
  <si>
    <t>TXN_000132</t>
  </si>
  <si>
    <t>WALK_074</t>
  </si>
  <si>
    <t>TXN_000133</t>
  </si>
  <si>
    <t>HOTEL_033</t>
  </si>
  <si>
    <t>TXN_000134</t>
  </si>
  <si>
    <t>WALK_001</t>
  </si>
  <si>
    <t>TXN_000135</t>
  </si>
  <si>
    <t>TXN_000136</t>
  </si>
  <si>
    <t>TXN_000137</t>
  </si>
  <si>
    <t>WALK_006</t>
  </si>
  <si>
    <t>TXN_000138</t>
  </si>
  <si>
    <t>TXN_000139</t>
  </si>
  <si>
    <t>TXN_000140</t>
  </si>
  <si>
    <t>TXN_000141</t>
  </si>
  <si>
    <t>CORP_018</t>
  </si>
  <si>
    <t>TXN_000142</t>
  </si>
  <si>
    <t>TXN_000143</t>
  </si>
  <si>
    <t>TXN_000144</t>
  </si>
  <si>
    <t>TXN_000145</t>
  </si>
  <si>
    <t>WALK_053</t>
  </si>
  <si>
    <t>TXN_000146</t>
  </si>
  <si>
    <t>TXN_000147</t>
  </si>
  <si>
    <t>TXN_000148</t>
  </si>
  <si>
    <t>TXN_000149</t>
  </si>
  <si>
    <t>WALK_029</t>
  </si>
  <si>
    <t>TXN_000150</t>
  </si>
  <si>
    <t>HOTEL_001</t>
  </si>
  <si>
    <t>TXN_000151</t>
  </si>
  <si>
    <t>TXN_000152</t>
  </si>
  <si>
    <t>TXN_000153</t>
  </si>
  <si>
    <t>TXN_000154</t>
  </si>
  <si>
    <t>CORP_026</t>
  </si>
  <si>
    <t>TXN_000155</t>
  </si>
  <si>
    <t>TXN_000156</t>
  </si>
  <si>
    <t>TXN_000157</t>
  </si>
  <si>
    <t>CORP_024</t>
  </si>
  <si>
    <t>TXN_000158</t>
  </si>
  <si>
    <t>TXN_000159</t>
  </si>
  <si>
    <t>TXN_000160</t>
  </si>
  <si>
    <t>TXN_000161</t>
  </si>
  <si>
    <t>CORP_007</t>
  </si>
  <si>
    <t>TXN_000162</t>
  </si>
  <si>
    <t>TXN_000163</t>
  </si>
  <si>
    <t>TXN_000164</t>
  </si>
  <si>
    <t>WALK_082</t>
  </si>
  <si>
    <t>TXN_000165</t>
  </si>
  <si>
    <t>HOTEL_013</t>
  </si>
  <si>
    <t>TXN_000166</t>
  </si>
  <si>
    <t>TXN_000167</t>
  </si>
  <si>
    <t>WALK_107</t>
  </si>
  <si>
    <t>TXN_000168</t>
  </si>
  <si>
    <t>TXN_000169</t>
  </si>
  <si>
    <t>TXN_000170</t>
  </si>
  <si>
    <t>TXN_000171</t>
  </si>
  <si>
    <t>WALK_070</t>
  </si>
  <si>
    <t>TXN_000172</t>
  </si>
  <si>
    <t>TXN_000173</t>
  </si>
  <si>
    <t>WALK_031</t>
  </si>
  <si>
    <t>TXN_000174</t>
  </si>
  <si>
    <t>TXN_000175</t>
  </si>
  <si>
    <t>CORP_069</t>
  </si>
  <si>
    <t>TXN_000176</t>
  </si>
  <si>
    <t>TXN_000177</t>
  </si>
  <si>
    <t>CORP_016</t>
  </si>
  <si>
    <t>TXN_000178</t>
  </si>
  <si>
    <t>CORP_071</t>
  </si>
  <si>
    <t>TXN_000179</t>
  </si>
  <si>
    <t>TXN_000180</t>
  </si>
  <si>
    <t>WALK_067</t>
  </si>
  <si>
    <t>TXN_000181</t>
  </si>
  <si>
    <t>TXN_000182</t>
  </si>
  <si>
    <t>TXN_000183</t>
  </si>
  <si>
    <t>CORP_066</t>
  </si>
  <si>
    <t>TXN_000184</t>
  </si>
  <si>
    <t>TXN_000185</t>
  </si>
  <si>
    <t>TXN_000186</t>
  </si>
  <si>
    <t>TXN_000187</t>
  </si>
  <si>
    <t>WALK_079</t>
  </si>
  <si>
    <t>TXN_000188</t>
  </si>
  <si>
    <t>WALK_007</t>
  </si>
  <si>
    <t>TXN_000189</t>
  </si>
  <si>
    <t>TXN_000190</t>
  </si>
  <si>
    <t>WALK_090</t>
  </si>
  <si>
    <t>TXN_000191</t>
  </si>
  <si>
    <t>TXN_000192</t>
  </si>
  <si>
    <t>TXN_000193</t>
  </si>
  <si>
    <t>TXN_000194</t>
  </si>
  <si>
    <t>CORP_075</t>
  </si>
  <si>
    <t>TXN_000195</t>
  </si>
  <si>
    <t>TXN_000196</t>
  </si>
  <si>
    <t>TXN_000197</t>
  </si>
  <si>
    <t>TXN_000198</t>
  </si>
  <si>
    <t>CORP_079</t>
  </si>
  <si>
    <t>TXN_000199</t>
  </si>
  <si>
    <t>CORP_051</t>
  </si>
  <si>
    <t>TXN_000200</t>
  </si>
  <si>
    <t>TXN_000201</t>
  </si>
  <si>
    <t>TXN_000202</t>
  </si>
  <si>
    <t>TXN_000203</t>
  </si>
  <si>
    <t>TXN_000204</t>
  </si>
  <si>
    <t>WALK_080</t>
  </si>
  <si>
    <t>TXN_000205</t>
  </si>
  <si>
    <t>TXN_000206</t>
  </si>
  <si>
    <t>HOTEL_010</t>
  </si>
  <si>
    <t>TXN_000207</t>
  </si>
  <si>
    <t>TXN_000208</t>
  </si>
  <si>
    <t>TXN_000209</t>
  </si>
  <si>
    <t>TXN_000210</t>
  </si>
  <si>
    <t>WALK_113</t>
  </si>
  <si>
    <t>TXN_000211</t>
  </si>
  <si>
    <t>WALK_017</t>
  </si>
  <si>
    <t>TXN_000212</t>
  </si>
  <si>
    <t>WALK_081</t>
  </si>
  <si>
    <t>TXN_000213</t>
  </si>
  <si>
    <t>WALK_068</t>
  </si>
  <si>
    <t>TXN_000214</t>
  </si>
  <si>
    <t>WALK_009</t>
  </si>
  <si>
    <t>TXN_000215</t>
  </si>
  <si>
    <t>TXN_000216</t>
  </si>
  <si>
    <t>TXN_000217</t>
  </si>
  <si>
    <t>TXN_000218</t>
  </si>
  <si>
    <t>WALK_051</t>
  </si>
  <si>
    <t>TXN_000219</t>
  </si>
  <si>
    <t>WALK_119</t>
  </si>
  <si>
    <t>TXN_000220</t>
  </si>
  <si>
    <t>CORP_050</t>
  </si>
  <si>
    <t>TXN_000221</t>
  </si>
  <si>
    <t>TXN_000222</t>
  </si>
  <si>
    <t>TXN_000223</t>
  </si>
  <si>
    <t>CORP_040</t>
  </si>
  <si>
    <t>TXN_000224</t>
  </si>
  <si>
    <t>HOTEL_036</t>
  </si>
  <si>
    <t>TXN_000225</t>
  </si>
  <si>
    <t>HOTEL_032</t>
  </si>
  <si>
    <t>TXN_000226</t>
  </si>
  <si>
    <t>WALK_039</t>
  </si>
  <si>
    <t>TXN_000227</t>
  </si>
  <si>
    <t>TXN_000228</t>
  </si>
  <si>
    <t>TXN_000229</t>
  </si>
  <si>
    <t>TXN_000230</t>
  </si>
  <si>
    <t>TXN_000231</t>
  </si>
  <si>
    <t>WALK_015</t>
  </si>
  <si>
    <t>TXN_000232</t>
  </si>
  <si>
    <t>WALK_112</t>
  </si>
  <si>
    <t>TXN_000233</t>
  </si>
  <si>
    <t>TXN_000234</t>
  </si>
  <si>
    <t>WALK_089</t>
  </si>
  <si>
    <t>TXN_000235</t>
  </si>
  <si>
    <t>TXN_000236</t>
  </si>
  <si>
    <t>TXN_000237</t>
  </si>
  <si>
    <t>WALK_099</t>
  </si>
  <si>
    <t>TXN_000238</t>
  </si>
  <si>
    <t>TXN_000239</t>
  </si>
  <si>
    <t>TXN_000240</t>
  </si>
  <si>
    <t>WALK_076</t>
  </si>
  <si>
    <t>TXN_000241</t>
  </si>
  <si>
    <t>TXN_000242</t>
  </si>
  <si>
    <t>TXN_000243</t>
  </si>
  <si>
    <t>WALK_044</t>
  </si>
  <si>
    <t>TXN_000244</t>
  </si>
  <si>
    <t>HOTEL_024</t>
  </si>
  <si>
    <t>TXN_000245</t>
  </si>
  <si>
    <t>TXN_000246</t>
  </si>
  <si>
    <t>TXN_000247</t>
  </si>
  <si>
    <t>WALK_072</t>
  </si>
  <si>
    <t>TXN_000248</t>
  </si>
  <si>
    <t>TXN_000249</t>
  </si>
  <si>
    <t>TXN_000250</t>
  </si>
  <si>
    <t>TXN_000251</t>
  </si>
  <si>
    <t>CORP_006</t>
  </si>
  <si>
    <t>TXN_000252</t>
  </si>
  <si>
    <t>HOTEL_009</t>
  </si>
  <si>
    <t>TXN_000253</t>
  </si>
  <si>
    <t>TXN_000254</t>
  </si>
  <si>
    <t>WALK_061</t>
  </si>
  <si>
    <t>TXN_000255</t>
  </si>
  <si>
    <t>WALK_071</t>
  </si>
  <si>
    <t>TXN_000256</t>
  </si>
  <si>
    <t>WALK_088</t>
  </si>
  <si>
    <t>TXN_000257</t>
  </si>
  <si>
    <t>TXN_000258</t>
  </si>
  <si>
    <t>TXN_000259</t>
  </si>
  <si>
    <t>TXN_000260</t>
  </si>
  <si>
    <t>TXN_000261</t>
  </si>
  <si>
    <t>TXN_000262</t>
  </si>
  <si>
    <t>WALK_054</t>
  </si>
  <si>
    <t>TXN_000263</t>
  </si>
  <si>
    <t>CORP_004</t>
  </si>
  <si>
    <t>TXN_000264</t>
  </si>
  <si>
    <t>TXN_000265</t>
  </si>
  <si>
    <t>WALK_049</t>
  </si>
  <si>
    <t>TXN_000266</t>
  </si>
  <si>
    <t>TXN_000267</t>
  </si>
  <si>
    <t>TXN_000268</t>
  </si>
  <si>
    <t>TXN_000269</t>
  </si>
  <si>
    <t>TXN_000270</t>
  </si>
  <si>
    <t>TXN_000271</t>
  </si>
  <si>
    <t>TXN_000272</t>
  </si>
  <si>
    <t>WALK_083</t>
  </si>
  <si>
    <t>TXN_000273</t>
  </si>
  <si>
    <t>TXN_000274</t>
  </si>
  <si>
    <t>TXN_000275</t>
  </si>
  <si>
    <t>WALK_012</t>
  </si>
  <si>
    <t>TXN_000276</t>
  </si>
  <si>
    <t>TXN_000277</t>
  </si>
  <si>
    <t>CORP_053</t>
  </si>
  <si>
    <t>TXN_000278</t>
  </si>
  <si>
    <t>WALK_064</t>
  </si>
  <si>
    <t>TXN_000279</t>
  </si>
  <si>
    <t>TXN_000280</t>
  </si>
  <si>
    <t>TXN_000281</t>
  </si>
  <si>
    <t>CORP_074</t>
  </si>
  <si>
    <t>TXN_000282</t>
  </si>
  <si>
    <t>TXN_000283</t>
  </si>
  <si>
    <t>WALK_111</t>
  </si>
  <si>
    <t>TXN_000284</t>
  </si>
  <si>
    <t>TXN_000285</t>
  </si>
  <si>
    <t>WALK_100</t>
  </si>
  <si>
    <t>TXN_000286</t>
  </si>
  <si>
    <t>TXN_000287</t>
  </si>
  <si>
    <t>TXN_000288</t>
  </si>
  <si>
    <t>TXN_000289</t>
  </si>
  <si>
    <t>TXN_000290</t>
  </si>
  <si>
    <t>TXN_000291</t>
  </si>
  <si>
    <t>WALK_115</t>
  </si>
  <si>
    <t>TXN_000292</t>
  </si>
  <si>
    <t>WALK_110</t>
  </si>
  <si>
    <t>TXN_000293</t>
  </si>
  <si>
    <t>TXN_000294</t>
  </si>
  <si>
    <t>HOTEL_029</t>
  </si>
  <si>
    <t>TXN_000295</t>
  </si>
  <si>
    <t>TXN_000296</t>
  </si>
  <si>
    <t>CORP_001</t>
  </si>
  <si>
    <t>TXN_000297</t>
  </si>
  <si>
    <t>WALK_106</t>
  </si>
  <si>
    <t>TXN_000298</t>
  </si>
  <si>
    <t>TXN_000299</t>
  </si>
  <si>
    <t>TXN_000300</t>
  </si>
  <si>
    <t>TXN_000301</t>
  </si>
  <si>
    <t>TXN_000302</t>
  </si>
  <si>
    <t>TXN_000303</t>
  </si>
  <si>
    <t>TXN_000304</t>
  </si>
  <si>
    <t>TXN_000305</t>
  </si>
  <si>
    <t>HOTEL_038</t>
  </si>
  <si>
    <t>TXN_000306</t>
  </si>
  <si>
    <t>TXN_000307</t>
  </si>
  <si>
    <t>TXN_000308</t>
  </si>
  <si>
    <t>TXN_000309</t>
  </si>
  <si>
    <t>TXN_000310</t>
  </si>
  <si>
    <t>WALK_098</t>
  </si>
  <si>
    <t>TXN_000311</t>
  </si>
  <si>
    <t>TXN_000312</t>
  </si>
  <si>
    <t>TXN_000313</t>
  </si>
  <si>
    <t>CORP_078</t>
  </si>
  <si>
    <t>TXN_000314</t>
  </si>
  <si>
    <t>TXN_000315</t>
  </si>
  <si>
    <t>TXN_000316</t>
  </si>
  <si>
    <t>TXN_000317</t>
  </si>
  <si>
    <t>CORP_033</t>
  </si>
  <si>
    <t>TXN_000318</t>
  </si>
  <si>
    <t>CORP_022</t>
  </si>
  <si>
    <t>TXN_000319</t>
  </si>
  <si>
    <t>TXN_000320</t>
  </si>
  <si>
    <t>CORP_019</t>
  </si>
  <si>
    <t>TXN_000321</t>
  </si>
  <si>
    <t>TXN_000322</t>
  </si>
  <si>
    <t>TXN_000323</t>
  </si>
  <si>
    <t>TXN_000324</t>
  </si>
  <si>
    <t>WALK_077</t>
  </si>
  <si>
    <t>TXN_000325</t>
  </si>
  <si>
    <t>TXN_000326</t>
  </si>
  <si>
    <t>WALK_058</t>
  </si>
  <si>
    <t>TXN_000327</t>
  </si>
  <si>
    <t>CORP_064</t>
  </si>
  <si>
    <t>TXN_000328</t>
  </si>
  <si>
    <t>TXN_000329</t>
  </si>
  <si>
    <t>WALK_103</t>
  </si>
  <si>
    <t>TXN_000330</t>
  </si>
  <si>
    <t>TXN_000331</t>
  </si>
  <si>
    <t>TXN_000332</t>
  </si>
  <si>
    <t>TXN_000333</t>
  </si>
  <si>
    <t>TXN_000334</t>
  </si>
  <si>
    <t>TXN_000335</t>
  </si>
  <si>
    <t>TXN_000336</t>
  </si>
  <si>
    <t>TXN_000337</t>
  </si>
  <si>
    <t>TXN_000338</t>
  </si>
  <si>
    <t>TXN_000339</t>
  </si>
  <si>
    <t>TXN_000340</t>
  </si>
  <si>
    <t>TXN_000341</t>
  </si>
  <si>
    <t>TXN_000342</t>
  </si>
  <si>
    <t>TXN_000343</t>
  </si>
  <si>
    <t>TXN_000344</t>
  </si>
  <si>
    <t>TXN_000345</t>
  </si>
  <si>
    <t>TXN_000346</t>
  </si>
  <si>
    <t>TXN_000347</t>
  </si>
  <si>
    <t>CORP_044</t>
  </si>
  <si>
    <t>TXN_000348</t>
  </si>
  <si>
    <t>TXN_000349</t>
  </si>
  <si>
    <t>WALK_048</t>
  </si>
  <si>
    <t>TXN_000350</t>
  </si>
  <si>
    <t>TXN_000351</t>
  </si>
  <si>
    <t>TXN_000352</t>
  </si>
  <si>
    <t>TXN_000353</t>
  </si>
  <si>
    <t>TXN_000354</t>
  </si>
  <si>
    <t>TXN_000355</t>
  </si>
  <si>
    <t>TXN_000356</t>
  </si>
  <si>
    <t>TXN_000357</t>
  </si>
  <si>
    <t>TXN_000358</t>
  </si>
  <si>
    <t>TXN_000359</t>
  </si>
  <si>
    <t>TXN_000360</t>
  </si>
  <si>
    <t>HOTEL_014</t>
  </si>
  <si>
    <t>TXN_000361</t>
  </si>
  <si>
    <t>WALK_087</t>
  </si>
  <si>
    <t>TXN_000362</t>
  </si>
  <si>
    <t>TXN_000363</t>
  </si>
  <si>
    <t>HOTEL_019</t>
  </si>
  <si>
    <t>TXN_000364</t>
  </si>
  <si>
    <t>TXN_000365</t>
  </si>
  <si>
    <t>TXN_000366</t>
  </si>
  <si>
    <t>TXN_000367</t>
  </si>
  <si>
    <t>TXN_000368</t>
  </si>
  <si>
    <t>TXN_000369</t>
  </si>
  <si>
    <t>CORP_015</t>
  </si>
  <si>
    <t>TXN_000370</t>
  </si>
  <si>
    <t>TXN_000371</t>
  </si>
  <si>
    <t>TXN_000372</t>
  </si>
  <si>
    <t>TXN_000373</t>
  </si>
  <si>
    <t>TXN_000374</t>
  </si>
  <si>
    <t>WALK_063</t>
  </si>
  <si>
    <t>TXN_000375</t>
  </si>
  <si>
    <t>TXN_000376</t>
  </si>
  <si>
    <t>TXN_000377</t>
  </si>
  <si>
    <t>TXN_000378</t>
  </si>
  <si>
    <t>TXN_000379</t>
  </si>
  <si>
    <t>TXN_000380</t>
  </si>
  <si>
    <t>TXN_000381</t>
  </si>
  <si>
    <t>TXN_000382</t>
  </si>
  <si>
    <t>TXN_000383</t>
  </si>
  <si>
    <t>TXN_000384</t>
  </si>
  <si>
    <t>TXN_000385</t>
  </si>
  <si>
    <t>TXN_000386</t>
  </si>
  <si>
    <t>TXN_000387</t>
  </si>
  <si>
    <t>TXN_000388</t>
  </si>
  <si>
    <t>TXN_000389</t>
  </si>
  <si>
    <t>TXN_000390</t>
  </si>
  <si>
    <t>TXN_000391</t>
  </si>
  <si>
    <t>TXN_000392</t>
  </si>
  <si>
    <t>TXN_000393</t>
  </si>
  <si>
    <t>TXN_000394</t>
  </si>
  <si>
    <t>TXN_000395</t>
  </si>
  <si>
    <t>TXN_000396</t>
  </si>
  <si>
    <t>TXN_000397</t>
  </si>
  <si>
    <t>TXN_000398</t>
  </si>
  <si>
    <t>TXN_000399</t>
  </si>
  <si>
    <t>TXN_000400</t>
  </si>
  <si>
    <t>CORP_063</t>
  </si>
  <si>
    <t>TXN_000401</t>
  </si>
  <si>
    <t>TXN_000402</t>
  </si>
  <si>
    <t>TXN_000403</t>
  </si>
  <si>
    <t>TXN_000404</t>
  </si>
  <si>
    <t>TXN_000405</t>
  </si>
  <si>
    <t>WALK_050</t>
  </si>
  <si>
    <t>TXN_000406</t>
  </si>
  <si>
    <t>TXN_000407</t>
  </si>
  <si>
    <t>TXN_000408</t>
  </si>
  <si>
    <t>TXN_000409</t>
  </si>
  <si>
    <t>TXN_000410</t>
  </si>
  <si>
    <t>TXN_000411</t>
  </si>
  <si>
    <t>WALK_035</t>
  </si>
  <si>
    <t>TXN_000412</t>
  </si>
  <si>
    <t>TXN_000413</t>
  </si>
  <si>
    <t>TXN_000414</t>
  </si>
  <si>
    <t>TXN_000415</t>
  </si>
  <si>
    <t>TXN_000416</t>
  </si>
  <si>
    <t>TXN_000417</t>
  </si>
  <si>
    <t>CORP_045</t>
  </si>
  <si>
    <t>TXN_000418</t>
  </si>
  <si>
    <t>TXN_000419</t>
  </si>
  <si>
    <t>CORP_073</t>
  </si>
  <si>
    <t>TXN_000420</t>
  </si>
  <si>
    <t>TXN_000421</t>
  </si>
  <si>
    <t>TXN_000422</t>
  </si>
  <si>
    <t>TXN_000423</t>
  </si>
  <si>
    <t>CORP_038</t>
  </si>
  <si>
    <t>TXN_000424</t>
  </si>
  <si>
    <t>TXN_000425</t>
  </si>
  <si>
    <t>TXN_000426</t>
  </si>
  <si>
    <t>CORP_067</t>
  </si>
  <si>
    <t>TXN_000427</t>
  </si>
  <si>
    <t>CORP_056</t>
  </si>
  <si>
    <t>TXN_000428</t>
  </si>
  <si>
    <t>TXN_000429</t>
  </si>
  <si>
    <t>TXN_000430</t>
  </si>
  <si>
    <t>TXN_000431</t>
  </si>
  <si>
    <t>CORP_020</t>
  </si>
  <si>
    <t>TXN_000432</t>
  </si>
  <si>
    <t>TXN_000433</t>
  </si>
  <si>
    <t>TXN_000434</t>
  </si>
  <si>
    <t>TXN_000435</t>
  </si>
  <si>
    <t>TXN_000436</t>
  </si>
  <si>
    <t>TXN_000437</t>
  </si>
  <si>
    <t>TXN_000438</t>
  </si>
  <si>
    <t>TXN_000439</t>
  </si>
  <si>
    <t>TXN_000440</t>
  </si>
  <si>
    <t>TXN_000441</t>
  </si>
  <si>
    <t>TXN_000442</t>
  </si>
  <si>
    <t>TXN_000443</t>
  </si>
  <si>
    <t>TXN_000444</t>
  </si>
  <si>
    <t>TXN_000445</t>
  </si>
  <si>
    <t>CORP_034</t>
  </si>
  <si>
    <t>TXN_000446</t>
  </si>
  <si>
    <t>TXN_000447</t>
  </si>
  <si>
    <t>TXN_000448</t>
  </si>
  <si>
    <t>WALK_030</t>
  </si>
  <si>
    <t>TXN_000449</t>
  </si>
  <si>
    <t>CORP_025</t>
  </si>
  <si>
    <t>TXN_000450</t>
  </si>
  <si>
    <t>TXN_000451</t>
  </si>
  <si>
    <t>TXN_000452</t>
  </si>
  <si>
    <t>TXN_000453</t>
  </si>
  <si>
    <t>TXN_000454</t>
  </si>
  <si>
    <t>TXN_000455</t>
  </si>
  <si>
    <t>TXN_000456</t>
  </si>
  <si>
    <t>TXN_000457</t>
  </si>
  <si>
    <t>TXN_000458</t>
  </si>
  <si>
    <t>TXN_000459</t>
  </si>
  <si>
    <t>TXN_000460</t>
  </si>
  <si>
    <t>TXN_000461</t>
  </si>
  <si>
    <t>TXN_000462</t>
  </si>
  <si>
    <t>TXN_000463</t>
  </si>
  <si>
    <t>WALK_013</t>
  </si>
  <si>
    <t>TXN_000464</t>
  </si>
  <si>
    <t>TXN_000465</t>
  </si>
  <si>
    <t>TXN_000466</t>
  </si>
  <si>
    <t>TXN_000467</t>
  </si>
  <si>
    <t>CORP_027</t>
  </si>
  <si>
    <t>TXN_000468</t>
  </si>
  <si>
    <t>TXN_000469</t>
  </si>
  <si>
    <t>TXN_000470</t>
  </si>
  <si>
    <t>TXN_000471</t>
  </si>
  <si>
    <t>TXN_000472</t>
  </si>
  <si>
    <t>TXN_000473</t>
  </si>
  <si>
    <t>TXN_000474</t>
  </si>
  <si>
    <t>TXN_000475</t>
  </si>
  <si>
    <t>TXN_000476</t>
  </si>
  <si>
    <t>TXN_000477</t>
  </si>
  <si>
    <t>TXN_000478</t>
  </si>
  <si>
    <t>TXN_000479</t>
  </si>
  <si>
    <t>TXN_000480</t>
  </si>
  <si>
    <t>TXN_000481</t>
  </si>
  <si>
    <t>TXN_000482</t>
  </si>
  <si>
    <t>TXN_000483</t>
  </si>
  <si>
    <t>TXN_000484</t>
  </si>
  <si>
    <t>TXN_000485</t>
  </si>
  <si>
    <t>TXN_000486</t>
  </si>
  <si>
    <t>TXN_000487</t>
  </si>
  <si>
    <t>CORP_003</t>
  </si>
  <si>
    <t>TXN_000488</t>
  </si>
  <si>
    <t>TXN_000489</t>
  </si>
  <si>
    <t>TXN_000490</t>
  </si>
  <si>
    <t>TXN_000491</t>
  </si>
  <si>
    <t>HOTEL_030</t>
  </si>
  <si>
    <t>TXN_000492</t>
  </si>
  <si>
    <t>TXN_000493</t>
  </si>
  <si>
    <t>WALK_025</t>
  </si>
  <si>
    <t>TXN_000494</t>
  </si>
  <si>
    <t>TXN_000495</t>
  </si>
  <si>
    <t>TXN_000496</t>
  </si>
  <si>
    <t>CORP_057</t>
  </si>
  <si>
    <t>TXN_000497</t>
  </si>
  <si>
    <t>TXN_000498</t>
  </si>
  <si>
    <t>WALK_092</t>
  </si>
  <si>
    <t>TXN_000499</t>
  </si>
  <si>
    <t>TXN_000500</t>
  </si>
  <si>
    <t>CORP_011</t>
  </si>
  <si>
    <t>TXN_000501</t>
  </si>
  <si>
    <t>TXN_000502</t>
  </si>
  <si>
    <t>TXN_000503</t>
  </si>
  <si>
    <t>TXN_000504</t>
  </si>
  <si>
    <t>TXN_000505</t>
  </si>
  <si>
    <t>TXN_000506</t>
  </si>
  <si>
    <t>TXN_000507</t>
  </si>
  <si>
    <t>TXN_000508</t>
  </si>
  <si>
    <t>TXN_000509</t>
  </si>
  <si>
    <t>TXN_000510</t>
  </si>
  <si>
    <t>TXN_000511</t>
  </si>
  <si>
    <t>WALK_004</t>
  </si>
  <si>
    <t>TXN_000512</t>
  </si>
  <si>
    <t>TXN_000513</t>
  </si>
  <si>
    <t>WALK_060</t>
  </si>
  <si>
    <t>TXN_000514</t>
  </si>
  <si>
    <t>TXN_000515</t>
  </si>
  <si>
    <t>TXN_000516</t>
  </si>
  <si>
    <t>TXN_000517</t>
  </si>
  <si>
    <t>TXN_000518</t>
  </si>
  <si>
    <t>TXN_000519</t>
  </si>
  <si>
    <t>TXN_000520</t>
  </si>
  <si>
    <t>TXN_000521</t>
  </si>
  <si>
    <t>TXN_000522</t>
  </si>
  <si>
    <t>TXN_000523</t>
  </si>
  <si>
    <t>TXN_000524</t>
  </si>
  <si>
    <t>TXN_000525</t>
  </si>
  <si>
    <t>TXN_000526</t>
  </si>
  <si>
    <t>TXN_000527</t>
  </si>
  <si>
    <t>TXN_000528</t>
  </si>
  <si>
    <t>TXN_000529</t>
  </si>
  <si>
    <t>TXN_000530</t>
  </si>
  <si>
    <t>TXN_000531</t>
  </si>
  <si>
    <t>TXN_000532</t>
  </si>
  <si>
    <t>CORP_029</t>
  </si>
  <si>
    <t>TXN_000533</t>
  </si>
  <si>
    <t>TXN_000534</t>
  </si>
  <si>
    <t>TXN_000535</t>
  </si>
  <si>
    <t>TXN_000536</t>
  </si>
  <si>
    <t>TXN_000537</t>
  </si>
  <si>
    <t>TXN_000538</t>
  </si>
  <si>
    <t>TXN_000539</t>
  </si>
  <si>
    <t>TXN_000540</t>
  </si>
  <si>
    <t>TXN_000541</t>
  </si>
  <si>
    <t>TXN_000542</t>
  </si>
  <si>
    <t>WALK_096</t>
  </si>
  <si>
    <t>TXN_000543</t>
  </si>
  <si>
    <t>TXN_000544</t>
  </si>
  <si>
    <t>TXN_000545</t>
  </si>
  <si>
    <t>TXN_000546</t>
  </si>
  <si>
    <t>TXN_000547</t>
  </si>
  <si>
    <t>TXN_000548</t>
  </si>
  <si>
    <t>TXN_000549</t>
  </si>
  <si>
    <t>CORP_002</t>
  </si>
  <si>
    <t>TXN_000550</t>
  </si>
  <si>
    <t>TXN_000551</t>
  </si>
  <si>
    <t>TXN_000552</t>
  </si>
  <si>
    <t>TXN_000553</t>
  </si>
  <si>
    <t>TXN_000554</t>
  </si>
  <si>
    <t>TXN_000555</t>
  </si>
  <si>
    <t>TXN_000556</t>
  </si>
  <si>
    <t>TXN_000557</t>
  </si>
  <si>
    <t>TXN_000558</t>
  </si>
  <si>
    <t>TXN_000559</t>
  </si>
  <si>
    <t>TXN_000560</t>
  </si>
  <si>
    <t>TXN_000561</t>
  </si>
  <si>
    <t>TXN_000562</t>
  </si>
  <si>
    <t>TXN_000563</t>
  </si>
  <si>
    <t>TXN_000564</t>
  </si>
  <si>
    <t>TXN_000565</t>
  </si>
  <si>
    <t>TXN_000566</t>
  </si>
  <si>
    <t>TXN_000567</t>
  </si>
  <si>
    <t>TXN_000568</t>
  </si>
  <si>
    <t>TXN_000569</t>
  </si>
  <si>
    <t>TXN_000570</t>
  </si>
  <si>
    <t>TXN_000571</t>
  </si>
  <si>
    <t>TXN_000572</t>
  </si>
  <si>
    <t>TXN_000573</t>
  </si>
  <si>
    <t>CORP_035</t>
  </si>
  <si>
    <t>TXN_000574</t>
  </si>
  <si>
    <t>TXN_000575</t>
  </si>
  <si>
    <t>TXN_000576</t>
  </si>
  <si>
    <t>TXN_000577</t>
  </si>
  <si>
    <t>TXN_000578</t>
  </si>
  <si>
    <t>TXN_000579</t>
  </si>
  <si>
    <t>TXN_000580</t>
  </si>
  <si>
    <t>TXN_000581</t>
  </si>
  <si>
    <t>TXN_000582</t>
  </si>
  <si>
    <t>TXN_000583</t>
  </si>
  <si>
    <t>WALK_046</t>
  </si>
  <si>
    <t>TXN_000584</t>
  </si>
  <si>
    <t>TXN_000585</t>
  </si>
  <si>
    <t>TXN_000586</t>
  </si>
  <si>
    <t>TXN_000587</t>
  </si>
  <si>
    <t>TXN_000588</t>
  </si>
  <si>
    <t>TXN_000589</t>
  </si>
  <si>
    <t>TXN_000590</t>
  </si>
  <si>
    <t>TXN_000591</t>
  </si>
  <si>
    <t>TXN_000592</t>
  </si>
  <si>
    <t>CORP_009</t>
  </si>
  <si>
    <t>TXN_000593</t>
  </si>
  <si>
    <t>TXN_000594</t>
  </si>
  <si>
    <t>TXN_000595</t>
  </si>
  <si>
    <t>TXN_000596</t>
  </si>
  <si>
    <t>TXN_000597</t>
  </si>
  <si>
    <t>TXN_000598</t>
  </si>
  <si>
    <t>TXN_000599</t>
  </si>
  <si>
    <t>TXN_000600</t>
  </si>
  <si>
    <t>TXN_000601</t>
  </si>
  <si>
    <t>TXN_000602</t>
  </si>
  <si>
    <t>TXN_000603</t>
  </si>
  <si>
    <t>TXN_000604</t>
  </si>
  <si>
    <t>TXN_000605</t>
  </si>
  <si>
    <t>TXN_000606</t>
  </si>
  <si>
    <t>CORP_080</t>
  </si>
  <si>
    <t>TXN_000607</t>
  </si>
  <si>
    <t>TXN_000608</t>
  </si>
  <si>
    <t>TXN_000609</t>
  </si>
  <si>
    <t>TXN_000610</t>
  </si>
  <si>
    <t>TXN_000611</t>
  </si>
  <si>
    <t>CORP_052</t>
  </si>
  <si>
    <t>TXN_000612</t>
  </si>
  <si>
    <t>CORP_058</t>
  </si>
  <si>
    <t>TXN_000613</t>
  </si>
  <si>
    <t>TXN_000614</t>
  </si>
  <si>
    <t>TXN_000615</t>
  </si>
  <si>
    <t>TXN_000616</t>
  </si>
  <si>
    <t>TXN_000617</t>
  </si>
  <si>
    <t>TXN_000618</t>
  </si>
  <si>
    <t>TXN_000619</t>
  </si>
  <si>
    <t>TXN_000620</t>
  </si>
  <si>
    <t>TXN_000621</t>
  </si>
  <si>
    <t>TXN_000622</t>
  </si>
  <si>
    <t>TXN_000623</t>
  </si>
  <si>
    <t>TXN_000624</t>
  </si>
  <si>
    <t>TXN_000625</t>
  </si>
  <si>
    <t>TXN_000626</t>
  </si>
  <si>
    <t>TXN_000627</t>
  </si>
  <si>
    <t>TXN_000628</t>
  </si>
  <si>
    <t>TXN_000629</t>
  </si>
  <si>
    <t>TXN_000630</t>
  </si>
  <si>
    <t>TXN_000631</t>
  </si>
  <si>
    <t>TXN_000632</t>
  </si>
  <si>
    <t>TXN_000633</t>
  </si>
  <si>
    <t>TXN_000634</t>
  </si>
  <si>
    <t>TXN_000635</t>
  </si>
  <si>
    <t>TXN_000636</t>
  </si>
  <si>
    <t>TXN_000637</t>
  </si>
  <si>
    <t>TXN_000638</t>
  </si>
  <si>
    <t>TXN_000639</t>
  </si>
  <si>
    <t>TXN_000640</t>
  </si>
  <si>
    <t>TXN_000641</t>
  </si>
  <si>
    <t>TXN_000642</t>
  </si>
  <si>
    <t>TXN_000643</t>
  </si>
  <si>
    <t>TXN_000644</t>
  </si>
  <si>
    <t>TXN_000645</t>
  </si>
  <si>
    <t>TXN_000646</t>
  </si>
  <si>
    <t>TXN_000647</t>
  </si>
  <si>
    <t>TXN_000648</t>
  </si>
  <si>
    <t>TXN_000649</t>
  </si>
  <si>
    <t>TXN_000650</t>
  </si>
  <si>
    <t>TXN_000651</t>
  </si>
  <si>
    <t>TXN_000652</t>
  </si>
  <si>
    <t>CORP_008</t>
  </si>
  <si>
    <t>TXN_000653</t>
  </si>
  <si>
    <t>TXN_000654</t>
  </si>
  <si>
    <t>TXN_000655</t>
  </si>
  <si>
    <t>TXN_000656</t>
  </si>
  <si>
    <t>TXN_000657</t>
  </si>
  <si>
    <t>TXN_000658</t>
  </si>
  <si>
    <t>TXN_000659</t>
  </si>
  <si>
    <t>TXN_000660</t>
  </si>
  <si>
    <t>TXN_000661</t>
  </si>
  <si>
    <t>TXN_000662</t>
  </si>
  <si>
    <t>TXN_000663</t>
  </si>
  <si>
    <t>TXN_000664</t>
  </si>
  <si>
    <t>TXN_000665</t>
  </si>
  <si>
    <t>TXN_000666</t>
  </si>
  <si>
    <t>TXN_000667</t>
  </si>
  <si>
    <t>TXN_000668</t>
  </si>
  <si>
    <t>TXN_000669</t>
  </si>
  <si>
    <t>TXN_000670</t>
  </si>
  <si>
    <t>TXN_000671</t>
  </si>
  <si>
    <t>TXN_000672</t>
  </si>
  <si>
    <t>TXN_000673</t>
  </si>
  <si>
    <t>TXN_000674</t>
  </si>
  <si>
    <t>TXN_000675</t>
  </si>
  <si>
    <t>TXN_000676</t>
  </si>
  <si>
    <t>TXN_000677</t>
  </si>
  <si>
    <t>TXN_000678</t>
  </si>
  <si>
    <t>TXN_000679</t>
  </si>
  <si>
    <t>TXN_000680</t>
  </si>
  <si>
    <t>TXN_000681</t>
  </si>
  <si>
    <t>HOTEL_005</t>
  </si>
  <si>
    <t>TXN_000682</t>
  </si>
  <si>
    <t>TXN_000683</t>
  </si>
  <si>
    <t>TXN_000684</t>
  </si>
  <si>
    <t>TXN_000685</t>
  </si>
  <si>
    <t>TXN_000686</t>
  </si>
  <si>
    <t>TXN_000687</t>
  </si>
  <si>
    <t>TXN_000688</t>
  </si>
  <si>
    <t>HOTEL_025</t>
  </si>
  <si>
    <t>TXN_000689</t>
  </si>
  <si>
    <t>TXN_000690</t>
  </si>
  <si>
    <t>WALK_091</t>
  </si>
  <si>
    <t>TXN_000691</t>
  </si>
  <si>
    <t>TXN_000692</t>
  </si>
  <si>
    <t>TXN_000693</t>
  </si>
  <si>
    <t>CORP_047</t>
  </si>
  <si>
    <t>TXN_000694</t>
  </si>
  <si>
    <t>TXN_000695</t>
  </si>
  <si>
    <t>TXN_000696</t>
  </si>
  <si>
    <t>TXN_000697</t>
  </si>
  <si>
    <t>WALK_003</t>
  </si>
  <si>
    <t>TXN_000698</t>
  </si>
  <si>
    <t>TXN_000699</t>
  </si>
  <si>
    <t>TXN_000700</t>
  </si>
  <si>
    <t>TXN_000701</t>
  </si>
  <si>
    <t>TXN_000702</t>
  </si>
  <si>
    <t>TXN_000703</t>
  </si>
  <si>
    <t>TXN_000704</t>
  </si>
  <si>
    <t>TXN_000705</t>
  </si>
  <si>
    <t>TXN_000706</t>
  </si>
  <si>
    <t>TXN_000707</t>
  </si>
  <si>
    <t>TXN_000708</t>
  </si>
  <si>
    <t>TXN_000709</t>
  </si>
  <si>
    <t>TXN_000710</t>
  </si>
  <si>
    <t>TXN_000711</t>
  </si>
  <si>
    <t>TXN_000712</t>
  </si>
  <si>
    <t>TXN_000713</t>
  </si>
  <si>
    <t>TXN_000714</t>
  </si>
  <si>
    <t>TXN_000715</t>
  </si>
  <si>
    <t>TXN_000716</t>
  </si>
  <si>
    <t>TXN_000717</t>
  </si>
  <si>
    <t>TXN_000718</t>
  </si>
  <si>
    <t>TXN_000719</t>
  </si>
  <si>
    <t>TXN_000720</t>
  </si>
  <si>
    <t>TXN_000721</t>
  </si>
  <si>
    <t>TXN_000722</t>
  </si>
  <si>
    <t>TXN_000723</t>
  </si>
  <si>
    <t>TXN_000724</t>
  </si>
  <si>
    <t>TXN_000725</t>
  </si>
  <si>
    <t>TXN_000726</t>
  </si>
  <si>
    <t>TXN_000727</t>
  </si>
  <si>
    <t>TXN_000728</t>
  </si>
  <si>
    <t>WALK_056</t>
  </si>
  <si>
    <t>TXN_000729</t>
  </si>
  <si>
    <t>TXN_000730</t>
  </si>
  <si>
    <t>TXN_000731</t>
  </si>
  <si>
    <t>TXN_000732</t>
  </si>
  <si>
    <t>TXN_000733</t>
  </si>
  <si>
    <t>TXN_000734</t>
  </si>
  <si>
    <t>WALK_066</t>
  </si>
  <si>
    <t>TXN_000735</t>
  </si>
  <si>
    <t>HOTEL_015</t>
  </si>
  <si>
    <t>TXN_000736</t>
  </si>
  <si>
    <t>TXN_000737</t>
  </si>
  <si>
    <t>TXN_000738</t>
  </si>
  <si>
    <t>TXN_000739</t>
  </si>
  <si>
    <t>TXN_000740</t>
  </si>
  <si>
    <t>TXN_000741</t>
  </si>
  <si>
    <t>TXN_000742</t>
  </si>
  <si>
    <t>TXN_000743</t>
  </si>
  <si>
    <t>TXN_000744</t>
  </si>
  <si>
    <t>TXN_000745</t>
  </si>
  <si>
    <t>TXN_000746</t>
  </si>
  <si>
    <t>TXN_000747</t>
  </si>
  <si>
    <t>TXN_000748</t>
  </si>
  <si>
    <t>TXN_000749</t>
  </si>
  <si>
    <t>TXN_000750</t>
  </si>
  <si>
    <t>TXN_000751</t>
  </si>
  <si>
    <t>TXN_000752</t>
  </si>
  <si>
    <t>TXN_000753</t>
  </si>
  <si>
    <t>HOTEL_037</t>
  </si>
  <si>
    <t>TXN_000754</t>
  </si>
  <si>
    <t>TXN_000755</t>
  </si>
  <si>
    <t>TXN_000756</t>
  </si>
  <si>
    <t>TXN_000757</t>
  </si>
  <si>
    <t>TXN_000758</t>
  </si>
  <si>
    <t>TXN_000759</t>
  </si>
  <si>
    <t>TXN_000760</t>
  </si>
  <si>
    <t>TXN_000761</t>
  </si>
  <si>
    <t>TXN_000762</t>
  </si>
  <si>
    <t>TXN_000763</t>
  </si>
  <si>
    <t>TXN_000764</t>
  </si>
  <si>
    <t>TXN_000765</t>
  </si>
  <si>
    <t>TXN_000766</t>
  </si>
  <si>
    <t>TXN_000767</t>
  </si>
  <si>
    <t>TXN_000768</t>
  </si>
  <si>
    <t>TXN_000769</t>
  </si>
  <si>
    <t>WALK_102</t>
  </si>
  <si>
    <t>TXN_000770</t>
  </si>
  <si>
    <t>TXN_000771</t>
  </si>
  <si>
    <t>TXN_000772</t>
  </si>
  <si>
    <t>TXN_000773</t>
  </si>
  <si>
    <t>TXN_000774</t>
  </si>
  <si>
    <t>TXN_000775</t>
  </si>
  <si>
    <t>TXN_000776</t>
  </si>
  <si>
    <t>TXN_000777</t>
  </si>
  <si>
    <t>TXN_000778</t>
  </si>
  <si>
    <t>TXN_000779</t>
  </si>
  <si>
    <t>TXN_000780</t>
  </si>
  <si>
    <t>TXN_000781</t>
  </si>
  <si>
    <t>TXN_000782</t>
  </si>
  <si>
    <t>TXN_000783</t>
  </si>
  <si>
    <t>TXN_000784</t>
  </si>
  <si>
    <t>TXN_000785</t>
  </si>
  <si>
    <t>TXN_000786</t>
  </si>
  <si>
    <t>TXN_000787</t>
  </si>
  <si>
    <t>TXN_000788</t>
  </si>
  <si>
    <t>TXN_000789</t>
  </si>
  <si>
    <t>TXN_000790</t>
  </si>
  <si>
    <t>TXN_000791</t>
  </si>
  <si>
    <t>TXN_000792</t>
  </si>
  <si>
    <t>TXN_000793</t>
  </si>
  <si>
    <t>TXN_000794</t>
  </si>
  <si>
    <t>TXN_000795</t>
  </si>
  <si>
    <t>TXN_000796</t>
  </si>
  <si>
    <t>TXN_000797</t>
  </si>
  <si>
    <t>TXN_000798</t>
  </si>
  <si>
    <t>TXN_000799</t>
  </si>
  <si>
    <t>TXN_000800</t>
  </si>
  <si>
    <t>TXN_000801</t>
  </si>
  <si>
    <t>WALK_093</t>
  </si>
  <si>
    <t>TXN_000802</t>
  </si>
  <si>
    <t>TXN_000803</t>
  </si>
  <si>
    <t>TXN_000804</t>
  </si>
  <si>
    <t>TXN_000805</t>
  </si>
  <si>
    <t>TXN_000806</t>
  </si>
  <si>
    <t>TXN_000807</t>
  </si>
  <si>
    <t>TXN_000808</t>
  </si>
  <si>
    <t>TXN_000809</t>
  </si>
  <si>
    <t>TXN_000810</t>
  </si>
  <si>
    <t>WALK_040</t>
  </si>
  <si>
    <t>TXN_000811</t>
  </si>
  <si>
    <t>HOTEL_021</t>
  </si>
  <si>
    <t>TXN_000812</t>
  </si>
  <si>
    <t>TXN_000813</t>
  </si>
  <si>
    <t>HOTEL_017</t>
  </si>
  <si>
    <t>TXN_000814</t>
  </si>
  <si>
    <t>TXN_000815</t>
  </si>
  <si>
    <t>TXN_000816</t>
  </si>
  <si>
    <t>TXN_000817</t>
  </si>
  <si>
    <t>TXN_000818</t>
  </si>
  <si>
    <t>TXN_000819</t>
  </si>
  <si>
    <t>TXN_000820</t>
  </si>
  <si>
    <t>TXN_000821</t>
  </si>
  <si>
    <t>TXN_000822</t>
  </si>
  <si>
    <t>TXN_000823</t>
  </si>
  <si>
    <t>TXN_000824</t>
  </si>
  <si>
    <t>TXN_000825</t>
  </si>
  <si>
    <t>TXN_000826</t>
  </si>
  <si>
    <t>TXN_000827</t>
  </si>
  <si>
    <t>TXN_000828</t>
  </si>
  <si>
    <t>TXN_000829</t>
  </si>
  <si>
    <t>TXN_000830</t>
  </si>
  <si>
    <t>TXN_000831</t>
  </si>
  <si>
    <t>TXN_000832</t>
  </si>
  <si>
    <t>TXN_000833</t>
  </si>
  <si>
    <t>TXN_000834</t>
  </si>
  <si>
    <t>TXN_000835</t>
  </si>
  <si>
    <t>TXN_000836</t>
  </si>
  <si>
    <t>TXN_000837</t>
  </si>
  <si>
    <t>TXN_000838</t>
  </si>
  <si>
    <t>TXN_000839</t>
  </si>
  <si>
    <t>TXN_000840</t>
  </si>
  <si>
    <t>TXN_000841</t>
  </si>
  <si>
    <t>TXN_000842</t>
  </si>
  <si>
    <t>TXN_000843</t>
  </si>
  <si>
    <t>TXN_000844</t>
  </si>
  <si>
    <t>TXN_000845</t>
  </si>
  <si>
    <t>TXN_000846</t>
  </si>
  <si>
    <t>TXN_000847</t>
  </si>
  <si>
    <t>TXN_000848</t>
  </si>
  <si>
    <t>TXN_000849</t>
  </si>
  <si>
    <t>TXN_000850</t>
  </si>
  <si>
    <t>TXN_000851</t>
  </si>
  <si>
    <t>TXN_000852</t>
  </si>
  <si>
    <t>TXN_000853</t>
  </si>
  <si>
    <t>TXN_000854</t>
  </si>
  <si>
    <t>TXN_000855</t>
  </si>
  <si>
    <t>TXN_000856</t>
  </si>
  <si>
    <t>TXN_000857</t>
  </si>
  <si>
    <t>TXN_000858</t>
  </si>
  <si>
    <t>TXN_000859</t>
  </si>
  <si>
    <t>TXN_000860</t>
  </si>
  <si>
    <t>TXN_000861</t>
  </si>
  <si>
    <t>TXN_000862</t>
  </si>
  <si>
    <t>TXN_000863</t>
  </si>
  <si>
    <t>TXN_000864</t>
  </si>
  <si>
    <t>TXN_000865</t>
  </si>
  <si>
    <t>TXN_000866</t>
  </si>
  <si>
    <t>TXN_000867</t>
  </si>
  <si>
    <t>WALK_075</t>
  </si>
  <si>
    <t>TXN_000868</t>
  </si>
  <si>
    <t>TXN_000869</t>
  </si>
  <si>
    <t>TXN_000870</t>
  </si>
  <si>
    <t>TXN_000871</t>
  </si>
  <si>
    <t>TXN_000872</t>
  </si>
  <si>
    <t>TXN_000873</t>
  </si>
  <si>
    <t>TXN_000874</t>
  </si>
  <si>
    <t>TXN_000875</t>
  </si>
  <si>
    <t>TXN_000876</t>
  </si>
  <si>
    <t>TXN_000877</t>
  </si>
  <si>
    <t>TXN_000878</t>
  </si>
  <si>
    <t>TXN_000879</t>
  </si>
  <si>
    <t>TXN_000880</t>
  </si>
  <si>
    <t>TXN_000881</t>
  </si>
  <si>
    <t>TXN_000882</t>
  </si>
  <si>
    <t>TXN_000883</t>
  </si>
  <si>
    <t>TXN_000884</t>
  </si>
  <si>
    <t>TXN_000885</t>
  </si>
  <si>
    <t>TXN_000886</t>
  </si>
  <si>
    <t>TXN_000887</t>
  </si>
  <si>
    <t>TXN_000888</t>
  </si>
  <si>
    <t>TXN_000889</t>
  </si>
  <si>
    <t>TXN_000890</t>
  </si>
  <si>
    <t>TXN_000891</t>
  </si>
  <si>
    <t>TXN_000892</t>
  </si>
  <si>
    <t>TXN_000893</t>
  </si>
  <si>
    <t>TXN_000894</t>
  </si>
  <si>
    <t>TXN_000895</t>
  </si>
  <si>
    <t>TXN_000896</t>
  </si>
  <si>
    <t>TXN_000897</t>
  </si>
  <si>
    <t>TXN_000898</t>
  </si>
  <si>
    <t>TXN_000899</t>
  </si>
  <si>
    <t>TXN_000900</t>
  </si>
  <si>
    <t>TXN_000901</t>
  </si>
  <si>
    <t>TXN_000902</t>
  </si>
  <si>
    <t>TXN_000903</t>
  </si>
  <si>
    <t>TXN_000904</t>
  </si>
  <si>
    <t>TXN_000905</t>
  </si>
  <si>
    <t>TXN_000906</t>
  </si>
  <si>
    <t>TXN_000907</t>
  </si>
  <si>
    <t>TXN_000908</t>
  </si>
  <si>
    <t>WALK_116</t>
  </si>
  <si>
    <t>TXN_000909</t>
  </si>
  <si>
    <t>TXN_000910</t>
  </si>
  <si>
    <t>TXN_000911</t>
  </si>
  <si>
    <t>TXN_000912</t>
  </si>
  <si>
    <t>TXN_000913</t>
  </si>
  <si>
    <t>TXN_000914</t>
  </si>
  <si>
    <t>TXN_000915</t>
  </si>
  <si>
    <t>TXN_000916</t>
  </si>
  <si>
    <t>TXN_000917</t>
  </si>
  <si>
    <t>TXN_000918</t>
  </si>
  <si>
    <t>TXN_000919</t>
  </si>
  <si>
    <t>TXN_000920</t>
  </si>
  <si>
    <t>TXN_000921</t>
  </si>
  <si>
    <t>TXN_000922</t>
  </si>
  <si>
    <t>TXN_000923</t>
  </si>
  <si>
    <t>TXN_000924</t>
  </si>
  <si>
    <t>TXN_000925</t>
  </si>
  <si>
    <t>TXN_000926</t>
  </si>
  <si>
    <t>TXN_000927</t>
  </si>
  <si>
    <t>TXN_000928</t>
  </si>
  <si>
    <t>TXN_000929</t>
  </si>
  <si>
    <t>TXN_000930</t>
  </si>
  <si>
    <t>TXN_000931</t>
  </si>
  <si>
    <t>TXN_000932</t>
  </si>
  <si>
    <t>TXN_000933</t>
  </si>
  <si>
    <t>TXN_000934</t>
  </si>
  <si>
    <t>TXN_000935</t>
  </si>
  <si>
    <t>TXN_000936</t>
  </si>
  <si>
    <t>TXN_000937</t>
  </si>
  <si>
    <t>TXN_000938</t>
  </si>
  <si>
    <t>TXN_000939</t>
  </si>
  <si>
    <t>TXN_000940</t>
  </si>
  <si>
    <t>TXN_000941</t>
  </si>
  <si>
    <t>TXN_000942</t>
  </si>
  <si>
    <t>TXN_000943</t>
  </si>
  <si>
    <t>TXN_000944</t>
  </si>
  <si>
    <t>TXN_000945</t>
  </si>
  <si>
    <t>TXN_000946</t>
  </si>
  <si>
    <t>TXN_000947</t>
  </si>
  <si>
    <t>TXN_000948</t>
  </si>
  <si>
    <t>TXN_000949</t>
  </si>
  <si>
    <t>TXN_000950</t>
  </si>
  <si>
    <t>TXN_000951</t>
  </si>
  <si>
    <t>TXN_000952</t>
  </si>
  <si>
    <t>TXN_000953</t>
  </si>
  <si>
    <t>TXN_000954</t>
  </si>
  <si>
    <t>TXN_000955</t>
  </si>
  <si>
    <t>TXN_000956</t>
  </si>
  <si>
    <t>TXN_000957</t>
  </si>
  <si>
    <t>TXN_000958</t>
  </si>
  <si>
    <t>TXN_000959</t>
  </si>
  <si>
    <t>CORP_030</t>
  </si>
  <si>
    <t>TXN_000960</t>
  </si>
  <si>
    <t>TXN_000961</t>
  </si>
  <si>
    <t>TXN_000962</t>
  </si>
  <si>
    <t>TXN_000963</t>
  </si>
  <si>
    <t>TXN_000964</t>
  </si>
  <si>
    <t>TXN_000965</t>
  </si>
  <si>
    <t>TXN_000966</t>
  </si>
  <si>
    <t>TXN_000967</t>
  </si>
  <si>
    <t>TXN_000968</t>
  </si>
  <si>
    <t>TXN_000969</t>
  </si>
  <si>
    <t>TXN_000970</t>
  </si>
  <si>
    <t>TXN_000971</t>
  </si>
  <si>
    <t>TXN_000972</t>
  </si>
  <si>
    <t>TXN_000973</t>
  </si>
  <si>
    <t>TXN_000974</t>
  </si>
  <si>
    <t>TXN_000975</t>
  </si>
  <si>
    <t>TXN_000976</t>
  </si>
  <si>
    <t>TXN_000977</t>
  </si>
  <si>
    <t>TXN_000978</t>
  </si>
  <si>
    <t>TXN_000979</t>
  </si>
  <si>
    <t>TXN_000980</t>
  </si>
  <si>
    <t>TXN_000981</t>
  </si>
  <si>
    <t>TXN_000982</t>
  </si>
  <si>
    <t>TXN_000983</t>
  </si>
  <si>
    <t>TXN_000984</t>
  </si>
  <si>
    <t>TXN_000985</t>
  </si>
  <si>
    <t>TXN_000986</t>
  </si>
  <si>
    <t>TXN_000987</t>
  </si>
  <si>
    <t>TXN_000988</t>
  </si>
  <si>
    <t>TXN_000989</t>
  </si>
  <si>
    <t>TXN_000990</t>
  </si>
  <si>
    <t>TXN_000991</t>
  </si>
  <si>
    <t>TXN_000992</t>
  </si>
  <si>
    <t>TXN_000993</t>
  </si>
  <si>
    <t>TXN_000994</t>
  </si>
  <si>
    <t>TXN_000995</t>
  </si>
  <si>
    <t>TXN_000996</t>
  </si>
  <si>
    <t>TXN_000997</t>
  </si>
  <si>
    <t>TXN_000998</t>
  </si>
  <si>
    <t>TXN_000999</t>
  </si>
  <si>
    <t>TXN_001000</t>
  </si>
  <si>
    <t>TXN_001001</t>
  </si>
  <si>
    <t>TXN_001002</t>
  </si>
  <si>
    <t>TXN_001003</t>
  </si>
  <si>
    <t>TXN_001004</t>
  </si>
  <si>
    <t>TXN_001005</t>
  </si>
  <si>
    <t>TXN_001006</t>
  </si>
  <si>
    <t>TXN_001007</t>
  </si>
  <si>
    <t>TXN_001008</t>
  </si>
  <si>
    <t>TXN_001009</t>
  </si>
  <si>
    <t>TXN_001010</t>
  </si>
  <si>
    <t>TXN_001011</t>
  </si>
  <si>
    <t>TXN_001012</t>
  </si>
  <si>
    <t>TXN_001013</t>
  </si>
  <si>
    <t>TXN_001014</t>
  </si>
  <si>
    <t>TXN_001015</t>
  </si>
  <si>
    <t>TXN_001016</t>
  </si>
  <si>
    <t>TXN_001017</t>
  </si>
  <si>
    <t>TXN_001018</t>
  </si>
  <si>
    <t>TXN_001019</t>
  </si>
  <si>
    <t>TXN_001020</t>
  </si>
  <si>
    <t>TXN_001021</t>
  </si>
  <si>
    <t>TXN_001022</t>
  </si>
  <si>
    <t>TXN_001023</t>
  </si>
  <si>
    <t>TXN_001024</t>
  </si>
  <si>
    <t>TXN_001025</t>
  </si>
  <si>
    <t>TXN_001026</t>
  </si>
  <si>
    <t>TXN_001027</t>
  </si>
  <si>
    <t>TXN_001028</t>
  </si>
  <si>
    <t>TXN_001029</t>
  </si>
  <si>
    <t>TXN_001030</t>
  </si>
  <si>
    <t>TXN_001031</t>
  </si>
  <si>
    <t>TXN_001032</t>
  </si>
  <si>
    <t>TXN_001033</t>
  </si>
  <si>
    <t>TXN_001034</t>
  </si>
  <si>
    <t>TXN_001035</t>
  </si>
  <si>
    <t>TXN_001036</t>
  </si>
  <si>
    <t>TXN_001037</t>
  </si>
  <si>
    <t>TXN_001038</t>
  </si>
  <si>
    <t>TXN_001039</t>
  </si>
  <si>
    <t>TXN_001040</t>
  </si>
  <si>
    <t>TXN_001041</t>
  </si>
  <si>
    <t>TXN_001042</t>
  </si>
  <si>
    <t>TXN_001043</t>
  </si>
  <si>
    <t>TXN_001044</t>
  </si>
  <si>
    <t>TXN_001045</t>
  </si>
  <si>
    <t>TXN_001046</t>
  </si>
  <si>
    <t>TXN_001047</t>
  </si>
  <si>
    <t>TXN_001048</t>
  </si>
  <si>
    <t>TXN_001049</t>
  </si>
  <si>
    <t>TXN_001050</t>
  </si>
  <si>
    <t>TXN_001051</t>
  </si>
  <si>
    <t>TXN_001052</t>
  </si>
  <si>
    <t>TXN_001053</t>
  </si>
  <si>
    <t>TXN_001054</t>
  </si>
  <si>
    <t>TXN_001055</t>
  </si>
  <si>
    <t>TXN_001056</t>
  </si>
  <si>
    <t>TXN_001057</t>
  </si>
  <si>
    <t>TXN_001058</t>
  </si>
  <si>
    <t>TXN_001059</t>
  </si>
  <si>
    <t>TXN_001060</t>
  </si>
  <si>
    <t>TXN_001061</t>
  </si>
  <si>
    <t>TXN_001062</t>
  </si>
  <si>
    <t>TXN_001063</t>
  </si>
  <si>
    <t>TXN_001064</t>
  </si>
  <si>
    <t>TXN_001065</t>
  </si>
  <si>
    <t>TXN_001066</t>
  </si>
  <si>
    <t>TXN_001067</t>
  </si>
  <si>
    <t>TXN_001068</t>
  </si>
  <si>
    <t>TXN_001069</t>
  </si>
  <si>
    <t>TXN_001070</t>
  </si>
  <si>
    <t>TXN_001071</t>
  </si>
  <si>
    <t>TXN_001072</t>
  </si>
  <si>
    <t>TXN_001073</t>
  </si>
  <si>
    <t>TXN_001074</t>
  </si>
  <si>
    <t>TXN_001075</t>
  </si>
  <si>
    <t>TXN_001076</t>
  </si>
  <si>
    <t>TXN_001077</t>
  </si>
  <si>
    <t>TXN_001078</t>
  </si>
  <si>
    <t>TXN_001079</t>
  </si>
  <si>
    <t>TXN_001080</t>
  </si>
  <si>
    <t>TXN_001081</t>
  </si>
  <si>
    <t>TXN_001082</t>
  </si>
  <si>
    <t>TXN_001083</t>
  </si>
  <si>
    <t>TXN_001084</t>
  </si>
  <si>
    <t>TXN_001085</t>
  </si>
  <si>
    <t>TXN_001086</t>
  </si>
  <si>
    <t>TXN_001087</t>
  </si>
  <si>
    <t>TXN_001088</t>
  </si>
  <si>
    <t>TXN_001089</t>
  </si>
  <si>
    <t>TXN_001090</t>
  </si>
  <si>
    <t>TXN_001091</t>
  </si>
  <si>
    <t>TXN_001092</t>
  </si>
  <si>
    <t>TXN_001093</t>
  </si>
  <si>
    <t>TXN_001094</t>
  </si>
  <si>
    <t>TXN_001095</t>
  </si>
  <si>
    <t>TXN_001096</t>
  </si>
  <si>
    <t>TXN_001097</t>
  </si>
  <si>
    <t>TXN_001098</t>
  </si>
  <si>
    <t>TXN_001099</t>
  </si>
  <si>
    <t>TXN_001100</t>
  </si>
  <si>
    <t>TXN_001101</t>
  </si>
  <si>
    <t>TXN_001102</t>
  </si>
  <si>
    <t>TXN_001103</t>
  </si>
  <si>
    <t>TXN_001104</t>
  </si>
  <si>
    <t>TXN_001105</t>
  </si>
  <si>
    <t>TXN_001106</t>
  </si>
  <si>
    <t>TXN_001107</t>
  </si>
  <si>
    <t>TXN_001108</t>
  </si>
  <si>
    <t>TXN_001109</t>
  </si>
  <si>
    <t>TXN_001110</t>
  </si>
  <si>
    <t>TXN_001111</t>
  </si>
  <si>
    <t>TXN_001112</t>
  </si>
  <si>
    <t>TXN_001113</t>
  </si>
  <si>
    <t>TXN_001114</t>
  </si>
  <si>
    <t>TXN_001115</t>
  </si>
  <si>
    <t>TXN_001116</t>
  </si>
  <si>
    <t>TXN_001117</t>
  </si>
  <si>
    <t>TXN_001118</t>
  </si>
  <si>
    <t>TXN_001119</t>
  </si>
  <si>
    <t>TXN_001120</t>
  </si>
  <si>
    <t>TXN_001121</t>
  </si>
  <si>
    <t>TXN_001122</t>
  </si>
  <si>
    <t>TXN_001123</t>
  </si>
  <si>
    <t>TXN_001124</t>
  </si>
  <si>
    <t>TXN_001125</t>
  </si>
  <si>
    <t>TXN_001126</t>
  </si>
  <si>
    <t>TXN_001127</t>
  </si>
  <si>
    <t>TXN_001128</t>
  </si>
  <si>
    <t>TXN_001129</t>
  </si>
  <si>
    <t>TXN_001130</t>
  </si>
  <si>
    <t>TXN_001131</t>
  </si>
  <si>
    <t>TXN_001132</t>
  </si>
  <si>
    <t>TXN_001133</t>
  </si>
  <si>
    <t>TXN_001134</t>
  </si>
  <si>
    <t>TXN_001135</t>
  </si>
  <si>
    <t>TXN_001136</t>
  </si>
  <si>
    <t>TXN_001137</t>
  </si>
  <si>
    <t>TXN_001138</t>
  </si>
  <si>
    <t>TXN_001139</t>
  </si>
  <si>
    <t>TXN_001140</t>
  </si>
  <si>
    <t>TXN_001141</t>
  </si>
  <si>
    <t>TXN_001142</t>
  </si>
  <si>
    <t>TXN_001143</t>
  </si>
  <si>
    <t>TXN_001144</t>
  </si>
  <si>
    <t>TXN_001145</t>
  </si>
  <si>
    <t>TXN_001146</t>
  </si>
  <si>
    <t>TXN_001147</t>
  </si>
  <si>
    <t>TXN_001148</t>
  </si>
  <si>
    <t>TXN_001149</t>
  </si>
  <si>
    <t>TXN_001150</t>
  </si>
  <si>
    <t>TXN_001151</t>
  </si>
  <si>
    <t>TXN_001152</t>
  </si>
  <si>
    <t>TXN_001153</t>
  </si>
  <si>
    <t>TXN_001154</t>
  </si>
  <si>
    <t>TXN_001155</t>
  </si>
  <si>
    <t>TXN_001156</t>
  </si>
  <si>
    <t>TXN_001157</t>
  </si>
  <si>
    <t>TXN_001158</t>
  </si>
  <si>
    <t>TXN_001159</t>
  </si>
  <si>
    <t>TXN_001160</t>
  </si>
  <si>
    <t>TXN_001161</t>
  </si>
  <si>
    <t>TXN_001162</t>
  </si>
  <si>
    <t>TXN_001163</t>
  </si>
  <si>
    <t>TXN_001164</t>
  </si>
  <si>
    <t>TXN_001165</t>
  </si>
  <si>
    <t>TXN_001166</t>
  </si>
  <si>
    <t>TXN_001167</t>
  </si>
  <si>
    <t>TXN_001168</t>
  </si>
  <si>
    <t>TXN_001169</t>
  </si>
  <si>
    <t>TXN_001170</t>
  </si>
  <si>
    <t>TXN_001171</t>
  </si>
  <si>
    <t>TXN_001172</t>
  </si>
  <si>
    <t>TXN_001173</t>
  </si>
  <si>
    <t>TXN_001174</t>
  </si>
  <si>
    <t>TXN_001175</t>
  </si>
  <si>
    <t>TXN_001176</t>
  </si>
  <si>
    <t>TXN_001177</t>
  </si>
  <si>
    <t>TXN_001178</t>
  </si>
  <si>
    <t>TXN_001179</t>
  </si>
  <si>
    <t>TXN_001180</t>
  </si>
  <si>
    <t>TXN_001181</t>
  </si>
  <si>
    <t>TXN_001182</t>
  </si>
  <si>
    <t>TXN_001183</t>
  </si>
  <si>
    <t>TXN_001184</t>
  </si>
  <si>
    <t>TXN_001185</t>
  </si>
  <si>
    <t>TXN_001186</t>
  </si>
  <si>
    <t>TXN_001187</t>
  </si>
  <si>
    <t>TXN_001188</t>
  </si>
  <si>
    <t>TXN_001189</t>
  </si>
  <si>
    <t>TXN_001190</t>
  </si>
  <si>
    <t>TXN_001191</t>
  </si>
  <si>
    <t>TXN_001192</t>
  </si>
  <si>
    <t>TXN_001193</t>
  </si>
  <si>
    <t>TXN_001194</t>
  </si>
  <si>
    <t>TXN_001195</t>
  </si>
  <si>
    <t>TXN_001196</t>
  </si>
  <si>
    <t>TXN_001197</t>
  </si>
  <si>
    <t>TXN_001198</t>
  </si>
  <si>
    <t>TXN_001199</t>
  </si>
  <si>
    <t>TXN_001200</t>
  </si>
  <si>
    <t>TXN_001201</t>
  </si>
  <si>
    <t>TXN_001202</t>
  </si>
  <si>
    <t>TXN_001203</t>
  </si>
  <si>
    <t>TXN_001204</t>
  </si>
  <si>
    <t>TXN_001205</t>
  </si>
  <si>
    <t>TXN_001206</t>
  </si>
  <si>
    <t>TXN_001207</t>
  </si>
  <si>
    <t>TXN_001208</t>
  </si>
  <si>
    <t>TXN_001209</t>
  </si>
  <si>
    <t>TXN_001210</t>
  </si>
  <si>
    <t>TXN_001211</t>
  </si>
  <si>
    <t>TXN_001212</t>
  </si>
  <si>
    <t>TXN_001213</t>
  </si>
  <si>
    <t>TXN_001214</t>
  </si>
  <si>
    <t>TXN_001215</t>
  </si>
  <si>
    <t>TXN_001216</t>
  </si>
  <si>
    <t>TXN_001217</t>
  </si>
  <si>
    <t>TXN_001218</t>
  </si>
  <si>
    <t>TXN_001219</t>
  </si>
  <si>
    <t>TXN_001220</t>
  </si>
  <si>
    <t>TXN_001221</t>
  </si>
  <si>
    <t>TXN_001222</t>
  </si>
  <si>
    <t>TXN_001223</t>
  </si>
  <si>
    <t>TXN_001224</t>
  </si>
  <si>
    <t>TXN_001225</t>
  </si>
  <si>
    <t>TXN_001226</t>
  </si>
  <si>
    <t>TXN_001227</t>
  </si>
  <si>
    <t>TXN_001228</t>
  </si>
  <si>
    <t>TXN_001229</t>
  </si>
  <si>
    <t>TXN_001230</t>
  </si>
  <si>
    <t>TXN_001231</t>
  </si>
  <si>
    <t>TXN_001232</t>
  </si>
  <si>
    <t>TXN_001233</t>
  </si>
  <si>
    <t>TXN_001234</t>
  </si>
  <si>
    <t>TXN_001235</t>
  </si>
  <si>
    <t>TXN_001236</t>
  </si>
  <si>
    <t>TXN_001237</t>
  </si>
  <si>
    <t>TXN_001238</t>
  </si>
  <si>
    <t>TXN_001239</t>
  </si>
  <si>
    <t>TXN_001240</t>
  </si>
  <si>
    <t>TXN_001241</t>
  </si>
  <si>
    <t>TXN_001242</t>
  </si>
  <si>
    <t>TXN_001243</t>
  </si>
  <si>
    <t>TXN_001244</t>
  </si>
  <si>
    <t>TXN_001245</t>
  </si>
  <si>
    <t>TXN_001246</t>
  </si>
  <si>
    <t>TXN_001247</t>
  </si>
  <si>
    <t>TXN_001248</t>
  </si>
  <si>
    <t>TXN_001249</t>
  </si>
  <si>
    <t>TXN_001250</t>
  </si>
  <si>
    <t>TXN_001251</t>
  </si>
  <si>
    <t>TXN_001252</t>
  </si>
  <si>
    <t>TXN_001253</t>
  </si>
  <si>
    <t>TXN_001254</t>
  </si>
  <si>
    <t>TXN_001255</t>
  </si>
  <si>
    <t>TXN_001256</t>
  </si>
  <si>
    <t>TXN_001257</t>
  </si>
  <si>
    <t>TXN_001258</t>
  </si>
  <si>
    <t>TXN_001259</t>
  </si>
  <si>
    <t>TXN_001260</t>
  </si>
  <si>
    <t>TXN_001261</t>
  </si>
  <si>
    <t>TXN_001262</t>
  </si>
  <si>
    <t>TXN_001263</t>
  </si>
  <si>
    <t>TXN_001264</t>
  </si>
  <si>
    <t>TXN_001265</t>
  </si>
  <si>
    <t>TXN_001266</t>
  </si>
  <si>
    <t>TXN_001267</t>
  </si>
  <si>
    <t>TXN_001268</t>
  </si>
  <si>
    <t>TXN_001269</t>
  </si>
  <si>
    <t>TXN_001270</t>
  </si>
  <si>
    <t>TXN_001271</t>
  </si>
  <si>
    <t>TXN_001272</t>
  </si>
  <si>
    <t>TXN_001273</t>
  </si>
  <si>
    <t>TXN_001274</t>
  </si>
  <si>
    <t>TXN_001275</t>
  </si>
  <si>
    <t>TXN_001276</t>
  </si>
  <si>
    <t>TXN_001277</t>
  </si>
  <si>
    <t>TXN_001278</t>
  </si>
  <si>
    <t>TXN_001279</t>
  </si>
  <si>
    <t>TXN_001280</t>
  </si>
  <si>
    <t>TXN_001281</t>
  </si>
  <si>
    <t>TXN_001282</t>
  </si>
  <si>
    <t>TXN_001283</t>
  </si>
  <si>
    <t>TXN_001284</t>
  </si>
  <si>
    <t>TXN_001285</t>
  </si>
  <si>
    <t>TXN_001286</t>
  </si>
  <si>
    <t>TXN_001287</t>
  </si>
  <si>
    <t>TXN_001288</t>
  </si>
  <si>
    <t>TXN_001289</t>
  </si>
  <si>
    <t>TXN_001290</t>
  </si>
  <si>
    <t>TXN_001291</t>
  </si>
  <si>
    <t>TXN_001292</t>
  </si>
  <si>
    <t>TXN_001293</t>
  </si>
  <si>
    <t>TXN_001294</t>
  </si>
  <si>
    <t>TXN_001295</t>
  </si>
  <si>
    <t>TXN_001296</t>
  </si>
  <si>
    <t>TXN_001297</t>
  </si>
  <si>
    <t>TXN_001298</t>
  </si>
  <si>
    <t>TXN_001299</t>
  </si>
  <si>
    <t>TXN_001300</t>
  </si>
  <si>
    <t>TXN_001301</t>
  </si>
  <si>
    <t>TXN_001302</t>
  </si>
  <si>
    <t>TXN_001303</t>
  </si>
  <si>
    <t>TXN_001304</t>
  </si>
  <si>
    <t>TXN_001305</t>
  </si>
  <si>
    <t>TXN_001306</t>
  </si>
  <si>
    <t>TXN_001307</t>
  </si>
  <si>
    <t>TXN_001308</t>
  </si>
  <si>
    <t>TXN_001309</t>
  </si>
  <si>
    <t>TXN_001310</t>
  </si>
  <si>
    <t>TXN_001311</t>
  </si>
  <si>
    <t>TXN_001312</t>
  </si>
  <si>
    <t>TXN_001313</t>
  </si>
  <si>
    <t>TXN_001314</t>
  </si>
  <si>
    <t>TXN_001315</t>
  </si>
  <si>
    <t>TXN_001316</t>
  </si>
  <si>
    <t>TXN_001317</t>
  </si>
  <si>
    <t>TXN_001318</t>
  </si>
  <si>
    <t>TXN_001319</t>
  </si>
  <si>
    <t>TXN_001320</t>
  </si>
  <si>
    <t>TXN_001321</t>
  </si>
  <si>
    <t>TXN_001322</t>
  </si>
  <si>
    <t>TXN_001323</t>
  </si>
  <si>
    <t>TXN_001324</t>
  </si>
  <si>
    <t>TXN_001325</t>
  </si>
  <si>
    <t>TXN_001326</t>
  </si>
  <si>
    <t>TXN_001327</t>
  </si>
  <si>
    <t>TXN_001328</t>
  </si>
  <si>
    <t>TXN_001329</t>
  </si>
  <si>
    <t>TXN_001330</t>
  </si>
  <si>
    <t>TXN_001331</t>
  </si>
  <si>
    <t>TXN_001332</t>
  </si>
  <si>
    <t>TXN_001333</t>
  </si>
  <si>
    <t>TXN_001334</t>
  </si>
  <si>
    <t>TXN_001335</t>
  </si>
  <si>
    <t>TXN_001336</t>
  </si>
  <si>
    <t>TXN_001337</t>
  </si>
  <si>
    <t>TXN_001338</t>
  </si>
  <si>
    <t>TXN_001339</t>
  </si>
  <si>
    <t>TXN_001340</t>
  </si>
  <si>
    <t>TXN_001341</t>
  </si>
  <si>
    <t>TXN_001342</t>
  </si>
  <si>
    <t>TXN_001343</t>
  </si>
  <si>
    <t>TXN_001344</t>
  </si>
  <si>
    <t>TXN_001345</t>
  </si>
  <si>
    <t>TXN_001346</t>
  </si>
  <si>
    <t>TXN_001347</t>
  </si>
  <si>
    <t>TXN_001348</t>
  </si>
  <si>
    <t>TXN_001349</t>
  </si>
  <si>
    <t>TXN_001350</t>
  </si>
  <si>
    <t>TXN_001351</t>
  </si>
  <si>
    <t>TXN_001352</t>
  </si>
  <si>
    <t>TXN_001353</t>
  </si>
  <si>
    <t>TXN_001354</t>
  </si>
  <si>
    <t>TXN_001355</t>
  </si>
  <si>
    <t>TXN_001356</t>
  </si>
  <si>
    <t>TXN_001357</t>
  </si>
  <si>
    <t>TXN_001358</t>
  </si>
  <si>
    <t>TXN_001359</t>
  </si>
  <si>
    <t>TXN_001360</t>
  </si>
  <si>
    <t>TXN_001361</t>
  </si>
  <si>
    <t>TXN_001362</t>
  </si>
  <si>
    <t>TXN_001363</t>
  </si>
  <si>
    <t>TXN_001364</t>
  </si>
  <si>
    <t>TXN_001365</t>
  </si>
  <si>
    <t>TXN_001366</t>
  </si>
  <si>
    <t>TXN_001367</t>
  </si>
  <si>
    <t>TXN_001368</t>
  </si>
  <si>
    <t>TXN_001369</t>
  </si>
  <si>
    <t>TXN_001370</t>
  </si>
  <si>
    <t>TXN_001371</t>
  </si>
  <si>
    <t>TXN_001372</t>
  </si>
  <si>
    <t>TXN_001373</t>
  </si>
  <si>
    <t>TXN_001374</t>
  </si>
  <si>
    <t>TXN_001375</t>
  </si>
  <si>
    <t>TXN_001376</t>
  </si>
  <si>
    <t>TXN_001377</t>
  </si>
  <si>
    <t>TXN_001378</t>
  </si>
  <si>
    <t>TXN_001379</t>
  </si>
  <si>
    <t>TXN_001380</t>
  </si>
  <si>
    <t>TXN_001381</t>
  </si>
  <si>
    <t>TXN_001382</t>
  </si>
  <si>
    <t>TXN_001383</t>
  </si>
  <si>
    <t>TXN_001384</t>
  </si>
  <si>
    <t>TXN_001385</t>
  </si>
  <si>
    <t>TXN_001386</t>
  </si>
  <si>
    <t>TXN_001387</t>
  </si>
  <si>
    <t>TXN_001388</t>
  </si>
  <si>
    <t>TXN_001389</t>
  </si>
  <si>
    <t>TXN_001390</t>
  </si>
  <si>
    <t>TXN_001391</t>
  </si>
  <si>
    <t>TXN_001392</t>
  </si>
  <si>
    <t>TXN_001393</t>
  </si>
  <si>
    <t>TXN_001394</t>
  </si>
  <si>
    <t>TXN_001395</t>
  </si>
  <si>
    <t>TXN_001396</t>
  </si>
  <si>
    <t>TXN_001397</t>
  </si>
  <si>
    <t>TXN_001398</t>
  </si>
  <si>
    <t>TXN_001399</t>
  </si>
  <si>
    <t>TXN_001400</t>
  </si>
  <si>
    <t>TXN_001401</t>
  </si>
  <si>
    <t>TXN_001402</t>
  </si>
  <si>
    <t>TXN_001403</t>
  </si>
  <si>
    <t>TXN_001404</t>
  </si>
  <si>
    <t>TXN_001405</t>
  </si>
  <si>
    <t>TXN_001406</t>
  </si>
  <si>
    <t>TXN_001407</t>
  </si>
  <si>
    <t>TXN_001408</t>
  </si>
  <si>
    <t>TXN_001409</t>
  </si>
  <si>
    <t>TXN_001410</t>
  </si>
  <si>
    <t>TXN_001411</t>
  </si>
  <si>
    <t>TXN_001412</t>
  </si>
  <si>
    <t>TXN_001413</t>
  </si>
  <si>
    <t>TXN_001414</t>
  </si>
  <si>
    <t>TXN_001415</t>
  </si>
  <si>
    <t>TXN_001416</t>
  </si>
  <si>
    <t>TXN_001417</t>
  </si>
  <si>
    <t>TXN_001418</t>
  </si>
  <si>
    <t>TXN_001419</t>
  </si>
  <si>
    <t>CORP_059</t>
  </si>
  <si>
    <t>TXN_001420</t>
  </si>
  <si>
    <t>TXN_001421</t>
  </si>
  <si>
    <t>TXN_001422</t>
  </si>
  <si>
    <t>TXN_001423</t>
  </si>
  <si>
    <t>TXN_001424</t>
  </si>
  <si>
    <t>TXN_001425</t>
  </si>
  <si>
    <t>TXN_001426</t>
  </si>
  <si>
    <t>TXN_001427</t>
  </si>
  <si>
    <t>TXN_001428</t>
  </si>
  <si>
    <t>TXN_001429</t>
  </si>
  <si>
    <t>TXN_001430</t>
  </si>
  <si>
    <t>TXN_001431</t>
  </si>
  <si>
    <t>TXN_001432</t>
  </si>
  <si>
    <t>TXN_001433</t>
  </si>
  <si>
    <t>TXN_001434</t>
  </si>
  <si>
    <t>TXN_001435</t>
  </si>
  <si>
    <t>TXN_001436</t>
  </si>
  <si>
    <t>TXN_001437</t>
  </si>
  <si>
    <t>TXN_001438</t>
  </si>
  <si>
    <t>TXN_001439</t>
  </si>
  <si>
    <t>TXN_001440</t>
  </si>
  <si>
    <t>TXN_001441</t>
  </si>
  <si>
    <t>TXN_001442</t>
  </si>
  <si>
    <t>TXN_001443</t>
  </si>
  <si>
    <t>TXN_001444</t>
  </si>
  <si>
    <t>TXN_001445</t>
  </si>
  <si>
    <t>TXN_001446</t>
  </si>
  <si>
    <t>TXN_001447</t>
  </si>
  <si>
    <t>TXN_001448</t>
  </si>
  <si>
    <t>TXN_001449</t>
  </si>
  <si>
    <t>TXN_001450</t>
  </si>
  <si>
    <t>TXN_001451</t>
  </si>
  <si>
    <t>TXN_001452</t>
  </si>
  <si>
    <t>TXN_001453</t>
  </si>
  <si>
    <t>TXN_001454</t>
  </si>
  <si>
    <t>TXN_001455</t>
  </si>
  <si>
    <t>TXN_001456</t>
  </si>
  <si>
    <t>TXN_001457</t>
  </si>
  <si>
    <t>TXN_001458</t>
  </si>
  <si>
    <t>TXN_001459</t>
  </si>
  <si>
    <t>TXN_001460</t>
  </si>
  <si>
    <t>TXN_001461</t>
  </si>
  <si>
    <t>TXN_001462</t>
  </si>
  <si>
    <t>TXN_001463</t>
  </si>
  <si>
    <t>TXN_001464</t>
  </si>
  <si>
    <t>TXN_001465</t>
  </si>
  <si>
    <t>TXN_001466</t>
  </si>
  <si>
    <t>TXN_001467</t>
  </si>
  <si>
    <t>TXN_001468</t>
  </si>
  <si>
    <t>TXN_001469</t>
  </si>
  <si>
    <t>TXN_001470</t>
  </si>
  <si>
    <t>TXN_001471</t>
  </si>
  <si>
    <t>TXN_001472</t>
  </si>
  <si>
    <t>TXN_001473</t>
  </si>
  <si>
    <t>TXN_001474</t>
  </si>
  <si>
    <t>TXN_001475</t>
  </si>
  <si>
    <t>TXN_001476</t>
  </si>
  <si>
    <t>TXN_001477</t>
  </si>
  <si>
    <t>TXN_001478</t>
  </si>
  <si>
    <t>TXN_001479</t>
  </si>
  <si>
    <t>TXN_001480</t>
  </si>
  <si>
    <t>TXN_001481</t>
  </si>
  <si>
    <t>TXN_001482</t>
  </si>
  <si>
    <t>TXN_001483</t>
  </si>
  <si>
    <t>TXN_001484</t>
  </si>
  <si>
    <t>TXN_001485</t>
  </si>
  <si>
    <t>TXN_001486</t>
  </si>
  <si>
    <t>TXN_001487</t>
  </si>
  <si>
    <t>TXN_001488</t>
  </si>
  <si>
    <t>TXN_001489</t>
  </si>
  <si>
    <t>TXN_001490</t>
  </si>
  <si>
    <t>TXN_001491</t>
  </si>
  <si>
    <t>TXN_001492</t>
  </si>
  <si>
    <t>TXN_001493</t>
  </si>
  <si>
    <t>TXN_001494</t>
  </si>
  <si>
    <t>TXN_001495</t>
  </si>
  <si>
    <t>TXN_001496</t>
  </si>
  <si>
    <t>TXN_001497</t>
  </si>
  <si>
    <t>TXN_001498</t>
  </si>
  <si>
    <t>TXN_001499</t>
  </si>
  <si>
    <t>TXN_001500</t>
  </si>
  <si>
    <t>TXN_001501</t>
  </si>
  <si>
    <t>TXN_001502</t>
  </si>
  <si>
    <t>TXN_001503</t>
  </si>
  <si>
    <t>TXN_001504</t>
  </si>
  <si>
    <t>TXN_001505</t>
  </si>
  <si>
    <t>TXN_001506</t>
  </si>
  <si>
    <t>TXN_001507</t>
  </si>
  <si>
    <t>TXN_001508</t>
  </si>
  <si>
    <t>TXN_001509</t>
  </si>
  <si>
    <t>TXN_001510</t>
  </si>
  <si>
    <t>TXN_001511</t>
  </si>
  <si>
    <t>TXN_001512</t>
  </si>
  <si>
    <t>TXN_001513</t>
  </si>
  <si>
    <t>TXN_001514</t>
  </si>
  <si>
    <t>TXN_001515</t>
  </si>
  <si>
    <t>TXN_001516</t>
  </si>
  <si>
    <t>TXN_001517</t>
  </si>
  <si>
    <t>TXN_001518</t>
  </si>
  <si>
    <t>TXN_001519</t>
  </si>
  <si>
    <t>TXN_001520</t>
  </si>
  <si>
    <t>TXN_001521</t>
  </si>
  <si>
    <t>TXN_001522</t>
  </si>
  <si>
    <t>TXN_001523</t>
  </si>
  <si>
    <t>TXN_001524</t>
  </si>
  <si>
    <t>TXN_001525</t>
  </si>
  <si>
    <t>TXN_001526</t>
  </si>
  <si>
    <t>TXN_001527</t>
  </si>
  <si>
    <t>TXN_001528</t>
  </si>
  <si>
    <t>TXN_001529</t>
  </si>
  <si>
    <t>TXN_001530</t>
  </si>
  <si>
    <t>TXN_001531</t>
  </si>
  <si>
    <t>TXN_001532</t>
  </si>
  <si>
    <t>TXN_001533</t>
  </si>
  <si>
    <t>TXN_001534</t>
  </si>
  <si>
    <t>TXN_001535</t>
  </si>
  <si>
    <t>TXN_001536</t>
  </si>
  <si>
    <t>TXN_001537</t>
  </si>
  <si>
    <t>TXN_001538</t>
  </si>
  <si>
    <t>TXN_001539</t>
  </si>
  <si>
    <t>TXN_001540</t>
  </si>
  <si>
    <t>TXN_001541</t>
  </si>
  <si>
    <t>TXN_001542</t>
  </si>
  <si>
    <t>TXN_001543</t>
  </si>
  <si>
    <t>TXN_001544</t>
  </si>
  <si>
    <t>TXN_001545</t>
  </si>
  <si>
    <t>TXN_001546</t>
  </si>
  <si>
    <t>TXN_001547</t>
  </si>
  <si>
    <t>TXN_001548</t>
  </si>
  <si>
    <t>TXN_001549</t>
  </si>
  <si>
    <t>TXN_001550</t>
  </si>
  <si>
    <t>TXN_001551</t>
  </si>
  <si>
    <t>TXN_001552</t>
  </si>
  <si>
    <t>TXN_001553</t>
  </si>
  <si>
    <t>TXN_001554</t>
  </si>
  <si>
    <t>TXN_001555</t>
  </si>
  <si>
    <t>TXN_001556</t>
  </si>
  <si>
    <t>TXN_001557</t>
  </si>
  <si>
    <t>TXN_001558</t>
  </si>
  <si>
    <t>TXN_001559</t>
  </si>
  <si>
    <t>TXN_001560</t>
  </si>
  <si>
    <t>TXN_001561</t>
  </si>
  <si>
    <t>TXN_001562</t>
  </si>
  <si>
    <t>TXN_001563</t>
  </si>
  <si>
    <t>TXN_001564</t>
  </si>
  <si>
    <t>TXN_001565</t>
  </si>
  <si>
    <t>TXN_001566</t>
  </si>
  <si>
    <t>TXN_001567</t>
  </si>
  <si>
    <t>TXN_001568</t>
  </si>
  <si>
    <t>TXN_001569</t>
  </si>
  <si>
    <t>TXN_001570</t>
  </si>
  <si>
    <t>TXN_001571</t>
  </si>
  <si>
    <t>TXN_001572</t>
  </si>
  <si>
    <t>TXN_001573</t>
  </si>
  <si>
    <t>TXN_001574</t>
  </si>
  <si>
    <t>TXN_001575</t>
  </si>
  <si>
    <t>TXN_001576</t>
  </si>
  <si>
    <t>TXN_001577</t>
  </si>
  <si>
    <t>TXN_001578</t>
  </si>
  <si>
    <t>TXN_001579</t>
  </si>
  <si>
    <t>TXN_001580</t>
  </si>
  <si>
    <t>TXN_001581</t>
  </si>
  <si>
    <t>TXN_001582</t>
  </si>
  <si>
    <t>TXN_001583</t>
  </si>
  <si>
    <t>TXN_001584</t>
  </si>
  <si>
    <t>TXN_001585</t>
  </si>
  <si>
    <t>TXN_001586</t>
  </si>
  <si>
    <t>TXN_001587</t>
  </si>
  <si>
    <t>TXN_001588</t>
  </si>
  <si>
    <t>TXN_001589</t>
  </si>
  <si>
    <t>TXN_001590</t>
  </si>
  <si>
    <t>TXN_001591</t>
  </si>
  <si>
    <t>TXN_001592</t>
  </si>
  <si>
    <t>TXN_001593</t>
  </si>
  <si>
    <t>TXN_001594</t>
  </si>
  <si>
    <t>TXN_001595</t>
  </si>
  <si>
    <t>TXN_001596</t>
  </si>
  <si>
    <t>TXN_001597</t>
  </si>
  <si>
    <t>TXN_001598</t>
  </si>
  <si>
    <t>TXN_001599</t>
  </si>
  <si>
    <t>TXN_001600</t>
  </si>
  <si>
    <t>TXN_001601</t>
  </si>
  <si>
    <t>TXN_001602</t>
  </si>
  <si>
    <t>TXN_001603</t>
  </si>
  <si>
    <t>TXN_001604</t>
  </si>
  <si>
    <t>TXN_001605</t>
  </si>
  <si>
    <t>TXN_001606</t>
  </si>
  <si>
    <t>HOTEL_020</t>
  </si>
  <si>
    <t>TXN_001607</t>
  </si>
  <si>
    <t>TXN_001608</t>
  </si>
  <si>
    <t>TXN_001609</t>
  </si>
  <si>
    <t>TXN_001610</t>
  </si>
  <si>
    <t>TXN_001611</t>
  </si>
  <si>
    <t>TXN_001612</t>
  </si>
  <si>
    <t>TXN_001613</t>
  </si>
  <si>
    <t>TXN_001614</t>
  </si>
  <si>
    <t>TXN_001615</t>
  </si>
  <si>
    <t>TXN_001616</t>
  </si>
  <si>
    <t>TXN_001617</t>
  </si>
  <si>
    <t>TXN_001618</t>
  </si>
  <si>
    <t>TXN_001619</t>
  </si>
  <si>
    <t>TXN_001620</t>
  </si>
  <si>
    <t>TXN_001621</t>
  </si>
  <si>
    <t>TXN_001622</t>
  </si>
  <si>
    <t>TXN_001623</t>
  </si>
  <si>
    <t>TXN_001624</t>
  </si>
  <si>
    <t>TXN_001625</t>
  </si>
  <si>
    <t>TXN_001626</t>
  </si>
  <si>
    <t>TXN_001627</t>
  </si>
  <si>
    <t>TXN_001628</t>
  </si>
  <si>
    <t>TXN_001629</t>
  </si>
  <si>
    <t>TXN_001630</t>
  </si>
  <si>
    <t>TXN_001631</t>
  </si>
  <si>
    <t>TXN_001632</t>
  </si>
  <si>
    <t>TXN_001633</t>
  </si>
  <si>
    <t>TXN_001634</t>
  </si>
  <si>
    <t>TXN_001635</t>
  </si>
  <si>
    <t>TXN_001636</t>
  </si>
  <si>
    <t>TXN_001637</t>
  </si>
  <si>
    <t>TXN_001638</t>
  </si>
  <si>
    <t>TXN_001639</t>
  </si>
  <si>
    <t>TXN_001640</t>
  </si>
  <si>
    <t>TXN_001641</t>
  </si>
  <si>
    <t>TXN_001642</t>
  </si>
  <si>
    <t>TXN_001643</t>
  </si>
  <si>
    <t>TXN_001644</t>
  </si>
  <si>
    <t>TXN_001645</t>
  </si>
  <si>
    <t>TXN_001646</t>
  </si>
  <si>
    <t>TXN_001647</t>
  </si>
  <si>
    <t>TXN_001648</t>
  </si>
  <si>
    <t>TXN_001649</t>
  </si>
  <si>
    <t>TXN_001650</t>
  </si>
  <si>
    <t>TXN_001651</t>
  </si>
  <si>
    <t>TXN_001652</t>
  </si>
  <si>
    <t>TXN_001653</t>
  </si>
  <si>
    <t>TXN_001654</t>
  </si>
  <si>
    <t>TXN_001655</t>
  </si>
  <si>
    <t>TXN_001656</t>
  </si>
  <si>
    <t>TXN_001657</t>
  </si>
  <si>
    <t>TXN_001658</t>
  </si>
  <si>
    <t>TXN_001659</t>
  </si>
  <si>
    <t>TXN_001660</t>
  </si>
  <si>
    <t>TXN_001661</t>
  </si>
  <si>
    <t>TXN_001662</t>
  </si>
  <si>
    <t>TXN_001663</t>
  </si>
  <si>
    <t>TXN_001664</t>
  </si>
  <si>
    <t>TXN_001665</t>
  </si>
  <si>
    <t>TXN_001666</t>
  </si>
  <si>
    <t>TXN_001667</t>
  </si>
  <si>
    <t>TXN_001668</t>
  </si>
  <si>
    <t>TXN_001669</t>
  </si>
  <si>
    <t>TXN_001670</t>
  </si>
  <si>
    <t>TXN_001671</t>
  </si>
  <si>
    <t>TXN_001672</t>
  </si>
  <si>
    <t>TXN_001673</t>
  </si>
  <si>
    <t>TXN_001674</t>
  </si>
  <si>
    <t>TXN_001675</t>
  </si>
  <si>
    <t>TXN_001676</t>
  </si>
  <si>
    <t>TXN_001677</t>
  </si>
  <si>
    <t>TXN_001678</t>
  </si>
  <si>
    <t>TXN_001679</t>
  </si>
  <si>
    <t>TXN_001680</t>
  </si>
  <si>
    <t>TXN_001681</t>
  </si>
  <si>
    <t>TXN_001682</t>
  </si>
  <si>
    <t>TXN_001683</t>
  </si>
  <si>
    <t>TXN_001684</t>
  </si>
  <si>
    <t>TXN_001685</t>
  </si>
  <si>
    <t>TXN_001686</t>
  </si>
  <si>
    <t>TXN_001687</t>
  </si>
  <si>
    <t>TXN_001688</t>
  </si>
  <si>
    <t>TXN_001689</t>
  </si>
  <si>
    <t>TXN_001690</t>
  </si>
  <si>
    <t>TXN_001691</t>
  </si>
  <si>
    <t>TXN_001692</t>
  </si>
  <si>
    <t>TXN_001693</t>
  </si>
  <si>
    <t>TXN_001694</t>
  </si>
  <si>
    <t>TXN_001695</t>
  </si>
  <si>
    <t>TXN_001696</t>
  </si>
  <si>
    <t>TXN_001697</t>
  </si>
  <si>
    <t>TXN_001698</t>
  </si>
  <si>
    <t>TXN_001699</t>
  </si>
  <si>
    <t>TXN_001700</t>
  </si>
  <si>
    <t>TXN_001701</t>
  </si>
  <si>
    <t>TXN_001702</t>
  </si>
  <si>
    <t>TXN_001703</t>
  </si>
  <si>
    <t>TXN_001704</t>
  </si>
  <si>
    <t>TXN_001705</t>
  </si>
  <si>
    <t>TXN_001706</t>
  </si>
  <si>
    <t>TXN_001707</t>
  </si>
  <si>
    <t>TXN_001708</t>
  </si>
  <si>
    <t>TXN_001709</t>
  </si>
  <si>
    <t>TXN_001710</t>
  </si>
  <si>
    <t>TXN_001711</t>
  </si>
  <si>
    <t>TXN_001712</t>
  </si>
  <si>
    <t>TXN_001713</t>
  </si>
  <si>
    <t>TXN_001714</t>
  </si>
  <si>
    <t>TXN_001715</t>
  </si>
  <si>
    <t>TXN_001716</t>
  </si>
  <si>
    <t>TXN_001717</t>
  </si>
  <si>
    <t>TXN_001718</t>
  </si>
  <si>
    <t>TXN_001719</t>
  </si>
  <si>
    <t>TXN_001720</t>
  </si>
  <si>
    <t>TXN_001721</t>
  </si>
  <si>
    <t>TXN_001722</t>
  </si>
  <si>
    <t>TXN_001723</t>
  </si>
  <si>
    <t>TXN_001724</t>
  </si>
  <si>
    <t>TXN_001725</t>
  </si>
  <si>
    <t>TXN_001726</t>
  </si>
  <si>
    <t>TXN_001727</t>
  </si>
  <si>
    <t>TXN_001728</t>
  </si>
  <si>
    <t>TXN_001729</t>
  </si>
  <si>
    <t>TXN_001730</t>
  </si>
  <si>
    <t>TXN_001731</t>
  </si>
  <si>
    <t>TXN_001732</t>
  </si>
  <si>
    <t>TXN_001733</t>
  </si>
  <si>
    <t>TXN_001734</t>
  </si>
  <si>
    <t>TXN_001735</t>
  </si>
  <si>
    <t>TXN_001736</t>
  </si>
  <si>
    <t>TXN_001737</t>
  </si>
  <si>
    <t>TXN_001738</t>
  </si>
  <si>
    <t>TXN_001739</t>
  </si>
  <si>
    <t>TXN_001740</t>
  </si>
  <si>
    <t>TXN_001741</t>
  </si>
  <si>
    <t>TXN_001742</t>
  </si>
  <si>
    <t>TXN_001743</t>
  </si>
  <si>
    <t>TXN_001744</t>
  </si>
  <si>
    <t>TXN_001745</t>
  </si>
  <si>
    <t>TXN_001746</t>
  </si>
  <si>
    <t>TXN_001747</t>
  </si>
  <si>
    <t>TXN_001748</t>
  </si>
  <si>
    <t>TXN_001749</t>
  </si>
  <si>
    <t>TXN_001750</t>
  </si>
  <si>
    <t>TXN_001751</t>
  </si>
  <si>
    <t>TXN_001752</t>
  </si>
  <si>
    <t>TXN_001753</t>
  </si>
  <si>
    <t>TXN_001754</t>
  </si>
  <si>
    <t>TXN_001755</t>
  </si>
  <si>
    <t>TXN_001756</t>
  </si>
  <si>
    <t>TXN_001757</t>
  </si>
  <si>
    <t>TXN_001758</t>
  </si>
  <si>
    <t>TXN_001759</t>
  </si>
  <si>
    <t>TXN_001760</t>
  </si>
  <si>
    <t>TXN_001761</t>
  </si>
  <si>
    <t>TXN_001762</t>
  </si>
  <si>
    <t>TXN_001763</t>
  </si>
  <si>
    <t>TXN_001764</t>
  </si>
  <si>
    <t>TXN_001765</t>
  </si>
  <si>
    <t>TXN_001766</t>
  </si>
  <si>
    <t>TXN_001767</t>
  </si>
  <si>
    <t>TXN_001768</t>
  </si>
  <si>
    <t>TXN_001769</t>
  </si>
  <si>
    <t>TXN_001770</t>
  </si>
  <si>
    <t>TXN_001771</t>
  </si>
  <si>
    <t>TXN_001772</t>
  </si>
  <si>
    <t>TXN_001773</t>
  </si>
  <si>
    <t>TXN_001774</t>
  </si>
  <si>
    <t>TXN_001775</t>
  </si>
  <si>
    <t>TXN_001776</t>
  </si>
  <si>
    <t>TXN_001777</t>
  </si>
  <si>
    <t>TXN_001778</t>
  </si>
  <si>
    <t>TXN_001779</t>
  </si>
  <si>
    <t>TXN_001780</t>
  </si>
  <si>
    <t>TXN_001781</t>
  </si>
  <si>
    <t>TXN_001782</t>
  </si>
  <si>
    <t>TXN_001783</t>
  </si>
  <si>
    <t>TXN_001784</t>
  </si>
  <si>
    <t>TXN_001785</t>
  </si>
  <si>
    <t>TXN_001786</t>
  </si>
  <si>
    <t>TXN_001787</t>
  </si>
  <si>
    <t>TXN_001788</t>
  </si>
  <si>
    <t>TXN_001789</t>
  </si>
  <si>
    <t>TXN_001790</t>
  </si>
  <si>
    <t>TXN_001791</t>
  </si>
  <si>
    <t>TXN_001792</t>
  </si>
  <si>
    <t>TXN_001793</t>
  </si>
  <si>
    <t>TXN_001794</t>
  </si>
  <si>
    <t>TXN_001795</t>
  </si>
  <si>
    <t>TXN_001796</t>
  </si>
  <si>
    <t>TXN_001797</t>
  </si>
  <si>
    <t>TXN_001798</t>
  </si>
  <si>
    <t>TXN_001799</t>
  </si>
  <si>
    <t>TXN_001800</t>
  </si>
  <si>
    <t>TXN_001801</t>
  </si>
  <si>
    <t>TXN_001802</t>
  </si>
  <si>
    <t>TXN_001803</t>
  </si>
  <si>
    <t>TXN_001804</t>
  </si>
  <si>
    <t>TXN_001805</t>
  </si>
  <si>
    <t>TXN_001806</t>
  </si>
  <si>
    <t>TXN_001807</t>
  </si>
  <si>
    <t>TXN_001808</t>
  </si>
  <si>
    <t>TXN_001809</t>
  </si>
  <si>
    <t>TXN_001810</t>
  </si>
  <si>
    <t>TXN_001811</t>
  </si>
  <si>
    <t>TXN_001812</t>
  </si>
  <si>
    <t>TXN_001813</t>
  </si>
  <si>
    <t>TXN_001814</t>
  </si>
  <si>
    <t>TXN_001815</t>
  </si>
  <si>
    <t>TXN_001816</t>
  </si>
  <si>
    <t>TXN_001817</t>
  </si>
  <si>
    <t>TXN_001818</t>
  </si>
  <si>
    <t>TXN_001819</t>
  </si>
  <si>
    <t>TXN_001820</t>
  </si>
  <si>
    <t>TXN_001821</t>
  </si>
  <si>
    <t>TXN_001822</t>
  </si>
  <si>
    <t>TXN_001823</t>
  </si>
  <si>
    <t>TXN_001824</t>
  </si>
  <si>
    <t>TXN_001825</t>
  </si>
  <si>
    <t>TXN_001826</t>
  </si>
  <si>
    <t>TXN_001827</t>
  </si>
  <si>
    <t>TXN_001828</t>
  </si>
  <si>
    <t>TXN_001829</t>
  </si>
  <si>
    <t>TXN_001830</t>
  </si>
  <si>
    <t>TXN_001831</t>
  </si>
  <si>
    <t>TXN_001832</t>
  </si>
  <si>
    <t>TXN_001833</t>
  </si>
  <si>
    <t>TXN_001834</t>
  </si>
  <si>
    <t>TXN_001835</t>
  </si>
  <si>
    <t>TXN_001836</t>
  </si>
  <si>
    <t>TXN_001837</t>
  </si>
  <si>
    <t>TXN_001838</t>
  </si>
  <si>
    <t>TXN_001839</t>
  </si>
  <si>
    <t>TXN_001840</t>
  </si>
  <si>
    <t>TXN_001841</t>
  </si>
  <si>
    <t>TXN_001842</t>
  </si>
  <si>
    <t>TXN_001843</t>
  </si>
  <si>
    <t>TXN_001844</t>
  </si>
  <si>
    <t>TXN_001845</t>
  </si>
  <si>
    <t>TXN_001846</t>
  </si>
  <si>
    <t>TXN_001847</t>
  </si>
  <si>
    <t>TXN_001848</t>
  </si>
  <si>
    <t>TXN_001849</t>
  </si>
  <si>
    <t>TXN_001850</t>
  </si>
  <si>
    <t>TXN_001851</t>
  </si>
  <si>
    <t>TXN_001852</t>
  </si>
  <si>
    <t>TXN_001853</t>
  </si>
  <si>
    <t>TXN_001854</t>
  </si>
  <si>
    <t>TXN_001855</t>
  </si>
  <si>
    <t>TXN_001856</t>
  </si>
  <si>
    <t>TXN_001857</t>
  </si>
  <si>
    <t>TXN_001858</t>
  </si>
  <si>
    <t>TXN_001859</t>
  </si>
  <si>
    <t>TXN_001860</t>
  </si>
  <si>
    <t>TXN_001861</t>
  </si>
  <si>
    <t>TXN_001862</t>
  </si>
  <si>
    <t>TXN_001863</t>
  </si>
  <si>
    <t>TXN_001864</t>
  </si>
  <si>
    <t>TXN_001865</t>
  </si>
  <si>
    <t>TXN_001866</t>
  </si>
  <si>
    <t>TXN_001867</t>
  </si>
  <si>
    <t>TXN_001868</t>
  </si>
  <si>
    <t>TXN_001869</t>
  </si>
  <si>
    <t>TXN_001870</t>
  </si>
  <si>
    <t>TXN_001871</t>
  </si>
  <si>
    <t>TXN_001872</t>
  </si>
  <si>
    <t>TXN_001873</t>
  </si>
  <si>
    <t>TXN_001874</t>
  </si>
  <si>
    <t>TXN_001875</t>
  </si>
  <si>
    <t>TXN_001876</t>
  </si>
  <si>
    <t>TXN_001877</t>
  </si>
  <si>
    <t>TXN_001878</t>
  </si>
  <si>
    <t>TXN_001879</t>
  </si>
  <si>
    <t>TXN_001880</t>
  </si>
  <si>
    <t>TXN_001881</t>
  </si>
  <si>
    <t>TXN_001882</t>
  </si>
  <si>
    <t>TXN_001883</t>
  </si>
  <si>
    <t>TXN_001884</t>
  </si>
  <si>
    <t>TXN_001885</t>
  </si>
  <si>
    <t>TXN_001886</t>
  </si>
  <si>
    <t>TXN_001887</t>
  </si>
  <si>
    <t>TXN_001888</t>
  </si>
  <si>
    <t>TXN_001889</t>
  </si>
  <si>
    <t>TXN_001890</t>
  </si>
  <si>
    <t>TXN_001891</t>
  </si>
  <si>
    <t>TXN_001892</t>
  </si>
  <si>
    <t>TXN_001893</t>
  </si>
  <si>
    <t>TXN_001894</t>
  </si>
  <si>
    <t>TXN_001895</t>
  </si>
  <si>
    <t>TXN_001896</t>
  </si>
  <si>
    <t>TXN_001897</t>
  </si>
  <si>
    <t>TXN_001898</t>
  </si>
  <si>
    <t>TXN_001899</t>
  </si>
  <si>
    <t>TXN_001900</t>
  </si>
  <si>
    <t>TXN_001901</t>
  </si>
  <si>
    <t>TXN_001902</t>
  </si>
  <si>
    <t>TXN_001903</t>
  </si>
  <si>
    <t>TXN_001904</t>
  </si>
  <si>
    <t>TXN_001905</t>
  </si>
  <si>
    <t>TXN_001906</t>
  </si>
  <si>
    <t>TXN_001907</t>
  </si>
  <si>
    <t>TXN_001908</t>
  </si>
  <si>
    <t>TXN_001909</t>
  </si>
  <si>
    <t>TXN_001910</t>
  </si>
  <si>
    <t>TXN_001911</t>
  </si>
  <si>
    <t>TXN_001912</t>
  </si>
  <si>
    <t>TXN_001913</t>
  </si>
  <si>
    <t>TXN_001914</t>
  </si>
  <si>
    <t>TXN_001915</t>
  </si>
  <si>
    <t>TXN_001916</t>
  </si>
  <si>
    <t>TXN_001917</t>
  </si>
  <si>
    <t>TXN_001918</t>
  </si>
  <si>
    <t>TXN_001919</t>
  </si>
  <si>
    <t>TXN_001920</t>
  </si>
  <si>
    <t>TXN_001921</t>
  </si>
  <si>
    <t>TXN_001922</t>
  </si>
  <si>
    <t>TXN_001923</t>
  </si>
  <si>
    <t>TXN_001924</t>
  </si>
  <si>
    <t>TXN_001925</t>
  </si>
  <si>
    <t>TXN_001926</t>
  </si>
  <si>
    <t>TXN_001927</t>
  </si>
  <si>
    <t>TXN_001928</t>
  </si>
  <si>
    <t>TXN_001929</t>
  </si>
  <si>
    <t>TXN_001930</t>
  </si>
  <si>
    <t>TXN_001931</t>
  </si>
  <si>
    <t>TXN_001932</t>
  </si>
  <si>
    <t>TXN_001933</t>
  </si>
  <si>
    <t>TXN_001934</t>
  </si>
  <si>
    <t>TXN_001935</t>
  </si>
  <si>
    <t>TXN_001936</t>
  </si>
  <si>
    <t>TXN_001937</t>
  </si>
  <si>
    <t>TXN_001938</t>
  </si>
  <si>
    <t>TXN_001939</t>
  </si>
  <si>
    <t>TXN_001940</t>
  </si>
  <si>
    <t>TXN_001941</t>
  </si>
  <si>
    <t>TXN_001942</t>
  </si>
  <si>
    <t>TXN_001943</t>
  </si>
  <si>
    <t>TXN_001944</t>
  </si>
  <si>
    <t>TXN_001945</t>
  </si>
  <si>
    <t>TXN_001946</t>
  </si>
  <si>
    <t>TXN_001947</t>
  </si>
  <si>
    <t>TXN_001948</t>
  </si>
  <si>
    <t>TXN_001949</t>
  </si>
  <si>
    <t>TXN_001950</t>
  </si>
  <si>
    <t>TXN_001951</t>
  </si>
  <si>
    <t>TXN_001952</t>
  </si>
  <si>
    <t>TXN_001953</t>
  </si>
  <si>
    <t>TXN_001954</t>
  </si>
  <si>
    <t>TXN_001955</t>
  </si>
  <si>
    <t>TXN_001956</t>
  </si>
  <si>
    <t>TXN_001957</t>
  </si>
  <si>
    <t>TXN_001958</t>
  </si>
  <si>
    <t>TXN_001959</t>
  </si>
  <si>
    <t>TXN_001960</t>
  </si>
  <si>
    <t>TXN_001961</t>
  </si>
  <si>
    <t>TXN_001962</t>
  </si>
  <si>
    <t>TXN_001963</t>
  </si>
  <si>
    <t>TXN_001964</t>
  </si>
  <si>
    <t>TXN_001965</t>
  </si>
  <si>
    <t>TXN_001966</t>
  </si>
  <si>
    <t>TXN_001967</t>
  </si>
  <si>
    <t>TXN_001968</t>
  </si>
  <si>
    <t>TXN_001969</t>
  </si>
  <si>
    <t>TXN_001970</t>
  </si>
  <si>
    <t>TXN_001971</t>
  </si>
  <si>
    <t>TXN_001972</t>
  </si>
  <si>
    <t>TXN_001973</t>
  </si>
  <si>
    <t>TXN_001974</t>
  </si>
  <si>
    <t>TXN_001975</t>
  </si>
  <si>
    <t>TXN_001976</t>
  </si>
  <si>
    <t>TXN_001977</t>
  </si>
  <si>
    <t>TXN_001978</t>
  </si>
  <si>
    <t>TXN_001979</t>
  </si>
  <si>
    <t>TXN_001980</t>
  </si>
  <si>
    <t>TXN_001981</t>
  </si>
  <si>
    <t>TXN_001982</t>
  </si>
  <si>
    <t>TXN_001983</t>
  </si>
  <si>
    <t>TXN_001984</t>
  </si>
  <si>
    <t>HOTEL_011</t>
  </si>
  <si>
    <t>TXN_001985</t>
  </si>
  <si>
    <t>TXN_001986</t>
  </si>
  <si>
    <t>TXN_001987</t>
  </si>
  <si>
    <t>TXN_001988</t>
  </si>
  <si>
    <t>TXN_001989</t>
  </si>
  <si>
    <t>TXN_001990</t>
  </si>
  <si>
    <t>TXN_001991</t>
  </si>
  <si>
    <t>TXN_001992</t>
  </si>
  <si>
    <t>TXN_001993</t>
  </si>
  <si>
    <t>TXN_001994</t>
  </si>
  <si>
    <t>TXN_001995</t>
  </si>
  <si>
    <t>TXN_001996</t>
  </si>
  <si>
    <t>TXN_001997</t>
  </si>
  <si>
    <t>TXN_001998</t>
  </si>
  <si>
    <t>TXN_001999</t>
  </si>
  <si>
    <t>TXN_002000</t>
  </si>
  <si>
    <t>Weekday_Num</t>
  </si>
  <si>
    <t>Total Revenue</t>
  </si>
  <si>
    <t>KPI_Summary sheet</t>
  </si>
  <si>
    <t>Metric</t>
  </si>
  <si>
    <t>Value</t>
  </si>
  <si>
    <t>Total Transactions</t>
  </si>
  <si>
    <t>Total Customers</t>
  </si>
  <si>
    <t>Avg Bill Value</t>
  </si>
  <si>
    <t>Avg Customers / Transaction</t>
  </si>
  <si>
    <t>% Buffet Transactions</t>
  </si>
  <si>
    <t>Buffet_Flag</t>
  </si>
  <si>
    <t>Row Labels</t>
  </si>
  <si>
    <t>Grand Total</t>
  </si>
  <si>
    <t>Service_Window / Day</t>
  </si>
  <si>
    <t>Total_Revenue_AUD</t>
  </si>
  <si>
    <t>Revenue_Analysis_By_Day_Service</t>
  </si>
  <si>
    <t>Lunch_Flag</t>
  </si>
  <si>
    <t>Sum of Customers_Count</t>
  </si>
  <si>
    <t>Average of Buffet_Flag</t>
  </si>
  <si>
    <t>Date</t>
  </si>
  <si>
    <t>Service_window</t>
  </si>
  <si>
    <t>Total_Customers</t>
  </si>
  <si>
    <t>Buffet_Probability</t>
  </si>
  <si>
    <t>_</t>
  </si>
  <si>
    <t>is_lunch</t>
  </si>
  <si>
    <t>is_weekend</t>
  </si>
  <si>
    <t>Day_Number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</si>
  <si>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</si>
  <si>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</si>
  <si>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</si>
  <si>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</si>
  <si>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</si>
  <si>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</si>
  <si>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</si>
  <si>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</si>
  <si>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</si>
  <si>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</si>
  <si>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</si>
  <si>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</si>
  <si>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</si>
  <si>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</si>
  <si>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</si>
  <si>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</si>
  <si>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</si>
  <si>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</si>
  <si>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</si>
  <si>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</si>
  <si>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</si>
  <si>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</si>
  <si>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</si>
  <si>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</si>
  <si>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</si>
  <si>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</si>
  <si>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X Variable 3</t>
  </si>
  <si>
    <t>X Variable 4</t>
  </si>
  <si>
    <t>RESIDUAL OUTPUT</t>
  </si>
  <si>
    <t>Observation</t>
  </si>
  <si>
    <t>Predicted Y</t>
  </si>
  <si>
    <t>Residuals</t>
  </si>
  <si>
    <t>PROBABILITY OUTPUT</t>
  </si>
  <si>
    <t>Percentile</t>
  </si>
  <si>
    <t>Y</t>
  </si>
  <si>
    <t>Expected_Customers</t>
  </si>
  <si>
    <t>Decision</t>
  </si>
  <si>
    <t>Food_To_Prepare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</si>
</sst>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" fontId="0" fillId="0" borderId="0" xfId="0" applyNumberFormat="1"/>
    <xf numFmtId="1" fontId="0" fillId="0" borderId="0" xfId="0" applyNumberFormat="1"/>
    <xf numFmtId="10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" borderId="0" xfId="0" applyFill="1"/>
    <xf numFmtId="0" fontId="3" fillId="0" borderId="0" xfId="0" applyFont="1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/>
    </xf>
    <xf numFmtId="0" fontId="0" fillId="4" borderId="2" xfId="0" applyFont="1" applyFill="1" applyBorder="1"/>
    <xf numFmtId="0" fontId="0" fillId="5" borderId="2" xfId="0" applyFont="1" applyFill="1" applyBorder="1"/>
    <xf numFmtId="0" fontId="0" fillId="4" borderId="3" xfId="0" applyFont="1" applyFill="1" applyBorder="1"/>
    <xf numFmtId="0" fontId="0" fillId="0" borderId="0" xfId="0" applyFill="1" applyBorder="1" applyAlignment="1"/>
    <xf numFmtId="0" fontId="0" fillId="0" borderId="4" xfId="0" applyFill="1" applyBorder="1" applyAlignment="1"/>
    <xf numFmtId="0" fontId="4" fillId="0" borderId="5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Continuous"/>
    </xf>
    <xf numFmtId="10" fontId="0" fillId="4" borderId="2" xfId="0" applyNumberFormat="1" applyFont="1" applyFill="1" applyBorder="1"/>
    <xf numFmtId="10" fontId="0" fillId="5" borderId="2" xfId="0" applyNumberFormat="1" applyFont="1" applyFill="1" applyBorder="1"/>
    <xf numFmtId="10" fontId="0" fillId="4" borderId="3" xfId="0" applyNumberFormat="1" applyFont="1" applyFill="1" applyBorder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7" tint="0.59999389629810485"/>
          <bgColor theme="7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7" tint="0.59999389629810485"/>
          <bgColor theme="7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7" tint="0.59999389629810485"/>
          <bgColor theme="7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alignment horizontal="left" vertical="bottom" textRotation="0" wrapText="0" indent="1" justifyLastLine="0" shrinkToFit="0" readingOrder="0"/>
    </dxf>
    <dxf>
      <numFmt numFmtId="14" formatCode="0.00%"/>
    </dxf>
    <dxf>
      <numFmt numFmtId="0" formatCode="General"/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Probability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Regression_Model!$F$39:$F$45</c:f>
              <c:numCache>
                <c:formatCode>General</c:formatCode>
                <c:ptCount val="7"/>
                <c:pt idx="0">
                  <c:v>7.1428571428571432</c:v>
                </c:pt>
                <c:pt idx="1">
                  <c:v>21.428571428571431</c:v>
                </c:pt>
                <c:pt idx="2">
                  <c:v>35.714285714285715</c:v>
                </c:pt>
                <c:pt idx="3">
                  <c:v>50.000000000000007</c:v>
                </c:pt>
                <c:pt idx="4">
                  <c:v>64.285714285714292</c:v>
                </c:pt>
                <c:pt idx="5">
                  <c:v>78.571428571428569</c:v>
                </c:pt>
                <c:pt idx="6">
                  <c:v>92.857142857142861</c:v>
                </c:pt>
              </c:numCache>
            </c:numRef>
          </c:xVal>
          <c:yVal>
            <c:numRef>
              <c:f>Regression_Model!$G$39:$G$45</c:f>
              <c:numCache>
                <c:formatCode>General</c:formatCode>
                <c:ptCount val="7"/>
                <c:pt idx="0">
                  <c:v>119</c:v>
                </c:pt>
                <c:pt idx="1">
                  <c:v>125</c:v>
                </c:pt>
                <c:pt idx="2">
                  <c:v>189</c:v>
                </c:pt>
                <c:pt idx="3">
                  <c:v>233</c:v>
                </c:pt>
                <c:pt idx="4">
                  <c:v>404</c:v>
                </c:pt>
                <c:pt idx="5">
                  <c:v>468</c:v>
                </c:pt>
                <c:pt idx="6">
                  <c:v>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1B-2741-A84F-195E1E8D5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1238784"/>
        <c:axId val="1097553600"/>
      </c:scatterChart>
      <c:valAx>
        <c:axId val="109123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 Percentile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553600"/>
        <c:crosses val="autoZero"/>
        <c:crossBetween val="midCat"/>
      </c:valAx>
      <c:valAx>
        <c:axId val="109755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23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1</xdr:row>
      <xdr:rowOff>0</xdr:rowOff>
    </xdr:from>
    <xdr:to>
      <xdr:col>11</xdr:col>
      <xdr:colOff>736600</xdr:colOff>
      <xdr:row>75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D1A9D9-FFB0-1960-5B85-41089EB0C6C5}"/>
            </a:ext>
          </a:extLst>
        </xdr:cNvPr>
        <xdr:cNvSpPr txBox="1"/>
      </xdr:nvSpPr>
      <xdr:spPr>
        <a:xfrm>
          <a:off x="177800" y="190500"/>
          <a:ext cx="9639300" cy="1414780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Project Overview – Buffet Strategy &amp; Food Preparation Planning</a:t>
          </a:r>
        </a:p>
        <a:p>
          <a:r>
            <a:rPr lang="en-IN" sz="1200" b="1"/>
            <a:t>Business Context</a:t>
          </a:r>
        </a:p>
        <a:p>
          <a:r>
            <a:rPr lang="en-IN" sz="1200"/>
            <a:t>A fine-dining restaurant located in a prime corporate area wanted to introduce a Buffet service. However, management was unsure </a:t>
          </a:r>
          <a:r>
            <a:rPr lang="en-IN" sz="1200" b="1"/>
            <a:t>on which days Buffet should be offered</a:t>
          </a:r>
          <a:r>
            <a:rPr lang="en-IN" sz="1200"/>
            <a:t> and </a:t>
          </a:r>
          <a:r>
            <a:rPr lang="en-IN" sz="1200" b="1"/>
            <a:t>how much food should be prepared</a:t>
          </a:r>
          <a:r>
            <a:rPr lang="en-IN" sz="1200"/>
            <a:t> to avoid wastage and operational inefficiencies.</a:t>
          </a:r>
        </a:p>
        <a:p>
          <a:r>
            <a:rPr lang="en-IN" sz="1200"/>
            <a:t>Due to its corporate-heavy location, the restaurant expected higher weekday lunch demand. To test this assumption, the restaurant conducted a </a:t>
          </a:r>
          <a:r>
            <a:rPr lang="en-IN" sz="1200" b="1"/>
            <a:t>3-month experiment (October–December)</a:t>
          </a:r>
          <a:r>
            <a:rPr lang="en-IN" sz="1200"/>
            <a:t> where Buffet was offered on </a:t>
          </a:r>
          <a:r>
            <a:rPr lang="en-IN" sz="1200" b="1"/>
            <a:t>all weekdays</a:t>
          </a:r>
          <a:r>
            <a:rPr lang="en-IN" sz="1200"/>
            <a:t>.</a:t>
          </a:r>
        </a:p>
        <a:p>
          <a:br>
            <a:rPr lang="en-IN" sz="1200"/>
          </a:br>
          <a:r>
            <a:rPr lang="en-IN" sz="1200" b="1"/>
            <a:t> Business Problem</a:t>
          </a:r>
        </a:p>
        <a:p>
          <a:r>
            <a:rPr lang="en-IN" sz="1200"/>
            <a:t>After running the Buffet across multiple days, management faced two critical questions:</a:t>
          </a:r>
        </a:p>
        <a:p>
          <a:r>
            <a:rPr lang="en-IN" sz="1200" b="1"/>
            <a:t>On which weekdays should the restaurant offer Buffet?</a:t>
          </a:r>
          <a:endParaRPr lang="en-IN" sz="1200"/>
        </a:p>
        <a:p>
          <a:r>
            <a:rPr lang="en-IN" sz="1200" b="1"/>
            <a:t>If Buffet is planned for the next day, how much food should be prepared?</a:t>
          </a:r>
          <a:endParaRPr lang="en-IN" sz="1200"/>
        </a:p>
        <a:p>
          <a:r>
            <a:rPr lang="en-IN" sz="1200"/>
            <a:t>The key challenge was balancing:</a:t>
          </a:r>
        </a:p>
        <a:p>
          <a:r>
            <a:rPr lang="en-IN" sz="1200"/>
            <a:t>Food wastage</a:t>
          </a:r>
        </a:p>
        <a:p>
          <a:r>
            <a:rPr lang="en-IN" sz="1200"/>
            <a:t>Kitchen workload</a:t>
          </a:r>
        </a:p>
        <a:p>
          <a:r>
            <a:rPr lang="en-IN" sz="1200"/>
            <a:t>Customer satisfaction</a:t>
          </a:r>
        </a:p>
        <a:p>
          <a:r>
            <a:rPr lang="en-IN" sz="1200"/>
            <a:t>Profitability</a:t>
          </a:r>
        </a:p>
        <a:p>
          <a:br>
            <a:rPr lang="en-IN" sz="1200"/>
          </a:br>
          <a:endParaRPr lang="en-IN" sz="1200"/>
        </a:p>
        <a:p>
          <a:r>
            <a:rPr lang="en-IN" sz="1200" b="1"/>
            <a:t>What Was Done (Approach)</a:t>
          </a:r>
        </a:p>
        <a:p>
          <a:r>
            <a:rPr lang="en-IN" sz="1200"/>
            <a:t>To answer these questions, transaction-level sales data was analysed using Excel.</a:t>
          </a:r>
        </a:p>
        <a:p>
          <a:r>
            <a:rPr lang="en-IN" sz="1200" b="1"/>
            <a:t>Transaction data was cleaned and structured</a:t>
          </a:r>
          <a:r>
            <a:rPr lang="en-IN" sz="1200"/>
            <a:t> to capture:</a:t>
          </a:r>
        </a:p>
        <a:p>
          <a:pPr lvl="1"/>
          <a:r>
            <a:rPr lang="en-IN" sz="1200"/>
            <a:t>Day of the week</a:t>
          </a:r>
        </a:p>
        <a:p>
          <a:pPr lvl="1"/>
          <a:r>
            <a:rPr lang="en-IN" sz="1200"/>
            <a:t>Service window (Lunch / Dinner)</a:t>
          </a:r>
        </a:p>
        <a:p>
          <a:pPr lvl="1"/>
          <a:r>
            <a:rPr lang="en-IN" sz="1200"/>
            <a:t>Number of customers per transaction</a:t>
          </a:r>
        </a:p>
        <a:p>
          <a:pPr lvl="1"/>
          <a:r>
            <a:rPr lang="en-IN" sz="1200"/>
            <a:t>Whether Buffet or Ala Carte was chosen</a:t>
          </a:r>
        </a:p>
        <a:p>
          <a:r>
            <a:rPr lang="en-IN" sz="1200" b="1"/>
            <a:t>Buffet_Flag was created</a:t>
          </a:r>
          <a:endParaRPr lang="en-IN" sz="1200"/>
        </a:p>
        <a:p>
          <a:pPr lvl="1"/>
          <a:r>
            <a:rPr lang="en-IN" sz="1200"/>
            <a:t>Buffet = 1</a:t>
          </a:r>
        </a:p>
        <a:p>
          <a:pPr lvl="1"/>
          <a:r>
            <a:rPr lang="en-IN" sz="1200"/>
            <a:t>Ala Carte = 0</a:t>
          </a:r>
          <a:br>
            <a:rPr lang="en-IN" sz="1200"/>
          </a:br>
          <a:r>
            <a:rPr lang="en-IN" sz="1200"/>
            <a:t>This allowed buffet usage to be analysed numerically.</a:t>
          </a:r>
        </a:p>
        <a:p>
          <a:r>
            <a:rPr lang="en-IN" sz="1200" b="1"/>
            <a:t>Data was aggregated to a daily level</a:t>
          </a:r>
          <a:endParaRPr lang="en-IN" sz="1200"/>
        </a:p>
        <a:p>
          <a:pPr lvl="1"/>
          <a:r>
            <a:rPr lang="en-IN" sz="1200"/>
            <a:t>Total customers per day (Lunch only)</a:t>
          </a:r>
        </a:p>
        <a:p>
          <a:pPr lvl="1"/>
          <a:r>
            <a:rPr lang="en-IN" sz="1200"/>
            <a:t>Buffet probability per day using the average of Buffet_Flag</a:t>
          </a:r>
        </a:p>
        <a:p>
          <a:r>
            <a:rPr lang="en-IN" sz="1200" b="1"/>
            <a:t>A decision rule was applied</a:t>
          </a:r>
          <a:endParaRPr lang="en-IN" sz="1200"/>
        </a:p>
        <a:p>
          <a:pPr lvl="1"/>
          <a:r>
            <a:rPr lang="en-IN" sz="1200"/>
            <a:t>If Buffet_Probability ≥ 60% → Buffet</a:t>
          </a:r>
        </a:p>
        <a:p>
          <a:pPr lvl="1"/>
          <a:r>
            <a:rPr lang="en-IN" sz="1200"/>
            <a:t>If Buffet_Probability &lt; 60% → Ala Carte</a:t>
          </a:r>
        </a:p>
        <a:p>
          <a:r>
            <a:rPr lang="en-IN" sz="1200" b="1"/>
            <a:t>Food preparation logic was designed</a:t>
          </a:r>
          <a:endParaRPr lang="en-IN" sz="1200"/>
        </a:p>
        <a:p>
          <a:pPr lvl="1"/>
          <a:r>
            <a:rPr lang="en-IN" sz="1200"/>
            <a:t>Buffet days: Food prepared = Expected Customers × 1.3 buffer</a:t>
          </a:r>
        </a:p>
        <a:p>
          <a:pPr lvl="1"/>
          <a:r>
            <a:rPr lang="en-IN" sz="1200"/>
            <a:t>Ala Carte days: No bulk food preparation (food cooked per order)</a:t>
          </a:r>
        </a:p>
        <a:p>
          <a:br>
            <a:rPr lang="en-IN" sz="1200"/>
          </a:br>
          <a:endParaRPr lang="en-IN" sz="1200"/>
        </a:p>
        <a:p>
          <a:r>
            <a:rPr lang="en-IN" sz="1200" b="1"/>
            <a:t>Key Insights from the Analysis</a:t>
          </a:r>
        </a:p>
        <a:p>
          <a:r>
            <a:rPr lang="en-IN" sz="1200" b="1"/>
            <a:t>Buffet demand is concentrated mid-week</a:t>
          </a:r>
          <a:endParaRPr lang="en-IN" sz="1200"/>
        </a:p>
        <a:p>
          <a:pPr lvl="1"/>
          <a:r>
            <a:rPr lang="en-IN" sz="1200"/>
            <a:t>Wednesday, Thursday, and Friday show </a:t>
          </a:r>
          <a:r>
            <a:rPr lang="en-IN" sz="1200" b="1"/>
            <a:t>high Buffet adoption (60–75%)</a:t>
          </a:r>
          <a:endParaRPr lang="en-IN" sz="1200"/>
        </a:p>
        <a:p>
          <a:pPr lvl="1"/>
          <a:r>
            <a:rPr lang="en-IN" sz="1200"/>
            <a:t>These days also have the highest lunch-time customer volumes</a:t>
          </a:r>
        </a:p>
        <a:p>
          <a:r>
            <a:rPr lang="en-IN" sz="1200" b="1"/>
            <a:t>Monday and Tuesday show very low Buffet demand</a:t>
          </a:r>
          <a:endParaRPr lang="en-IN" sz="1200"/>
        </a:p>
        <a:p>
          <a:pPr lvl="1"/>
          <a:r>
            <a:rPr lang="en-IN" sz="1200"/>
            <a:t>Buffet probability is close to zero</a:t>
          </a:r>
        </a:p>
        <a:p>
          <a:pPr lvl="1"/>
          <a:r>
            <a:rPr lang="en-IN" sz="1200"/>
            <a:t>Running Buffet on these days increases wastage risk</a:t>
          </a:r>
        </a:p>
        <a:p>
          <a:r>
            <a:rPr lang="en-IN" sz="1200" b="1"/>
            <a:t>Weekends do not support Buffet well during Lunch</a:t>
          </a:r>
          <a:endParaRPr lang="en-IN" sz="1200"/>
        </a:p>
        <a:p>
          <a:pPr lvl="1"/>
          <a:r>
            <a:rPr lang="en-IN" sz="1200"/>
            <a:t>Despite customer presence, Buffet preference remains low</a:t>
          </a:r>
        </a:p>
        <a:p>
          <a:br>
            <a:rPr lang="en-IN" sz="1200"/>
          </a:br>
          <a:endParaRPr lang="en-IN" sz="1200"/>
        </a:p>
        <a:p>
          <a:r>
            <a:rPr lang="en-IN" sz="1200" b="1"/>
            <a:t>Final Recommendations</a:t>
          </a:r>
        </a:p>
        <a:p>
          <a:r>
            <a:rPr lang="en-IN" sz="1200" b="1"/>
            <a:t>Run Buffet only on Wednesday, Thursday, and Friday (Lunch)</a:t>
          </a:r>
          <a:endParaRPr lang="en-IN" sz="1200"/>
        </a:p>
        <a:p>
          <a:r>
            <a:rPr lang="en-IN" sz="1200" b="1"/>
            <a:t>Do not run Buffet on Monday, Tuesday, Saturday, or Sunday</a:t>
          </a:r>
          <a:endParaRPr lang="en-IN" sz="1200"/>
        </a:p>
        <a:p>
          <a:r>
            <a:rPr lang="en-IN" sz="1200" b="1"/>
            <a:t>Prepare bulk food only on Buffet days</a:t>
          </a:r>
          <a:r>
            <a:rPr lang="en-IN" sz="1200"/>
            <a:t>, using a buffer to manage peak demand</a:t>
          </a:r>
        </a:p>
        <a:p>
          <a:r>
            <a:rPr lang="en-IN" sz="1200" b="1"/>
            <a:t>Use Ala Carte on non-buffet days</a:t>
          </a:r>
          <a:r>
            <a:rPr lang="en-IN" sz="1200"/>
            <a:t> to control costs and reduce food wastage</a:t>
          </a:r>
        </a:p>
        <a:p>
          <a:br>
            <a:rPr lang="en-IN" sz="1200"/>
          </a:br>
          <a:endParaRPr lang="en-IN" sz="1200"/>
        </a:p>
        <a:p>
          <a:r>
            <a:rPr lang="en-IN" sz="1200" b="1"/>
            <a:t>Business Impact</a:t>
          </a:r>
        </a:p>
        <a:p>
          <a:r>
            <a:rPr lang="en-IN" sz="1200"/>
            <a:t>This approach enables the restaurant to:</a:t>
          </a:r>
        </a:p>
        <a:p>
          <a:r>
            <a:rPr lang="en-IN" sz="1200"/>
            <a:t>Reduce food wastage</a:t>
          </a:r>
        </a:p>
        <a:p>
          <a:r>
            <a:rPr lang="en-IN" sz="1200"/>
            <a:t>Improve kitchen efficiency</a:t>
          </a:r>
        </a:p>
        <a:p>
          <a:r>
            <a:rPr lang="en-IN" sz="1200"/>
            <a:t>Align Buffet availability with real customer demand</a:t>
          </a:r>
        </a:p>
        <a:p>
          <a:r>
            <a:rPr lang="en-IN" sz="1200"/>
            <a:t>Make data-driven operational decisions rather than assumptions</a:t>
          </a:r>
        </a:p>
        <a:p>
          <a:br>
            <a:rPr lang="en-IN" sz="1200"/>
          </a:br>
          <a:endParaRPr lang="en-IN" sz="1200"/>
        </a:p>
        <a:p>
          <a:r>
            <a:rPr lang="en-IN" sz="1200" b="1"/>
            <a:t>Assumptions &amp; Notes</a:t>
          </a:r>
        </a:p>
        <a:p>
          <a:r>
            <a:rPr lang="en-IN" sz="1200"/>
            <a:t>Analysis is based on 3 months of historical data</a:t>
          </a:r>
        </a:p>
        <a:p>
          <a:r>
            <a:rPr lang="en-IN" sz="1200"/>
            <a:t>Buffet decision threshold is a business rule, not a machine learning prediction</a:t>
          </a:r>
        </a:p>
        <a:p>
          <a:r>
            <a:rPr lang="en-IN" sz="1200"/>
            <a:t>Food preparation estimates are customer-based, not ingredient-level forecasting</a:t>
          </a:r>
        </a:p>
        <a:p>
          <a:br>
            <a:rPr lang="en-IN" sz="1200"/>
          </a:br>
          <a:endParaRPr lang="en-IN" sz="1200"/>
        </a:p>
        <a:p>
          <a:r>
            <a:rPr lang="en-IN" sz="1200" b="1"/>
            <a:t>Final Note</a:t>
          </a:r>
        </a:p>
        <a:p>
          <a:r>
            <a:rPr lang="en-IN" sz="1200"/>
            <a:t>This project demonstrates how </a:t>
          </a:r>
          <a:r>
            <a:rPr lang="en-IN" sz="1200" b="1"/>
            <a:t>descriptive analytics and structured decision rules</a:t>
          </a:r>
          <a:r>
            <a:rPr lang="en-IN" sz="1200"/>
            <a:t> can be used to solve real operational problems in the hospitality industry using Excel.</a:t>
          </a:r>
        </a:p>
        <a:p>
          <a:endParaRPr lang="en-GB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605693</xdr:colOff>
      <xdr:row>2</xdr:row>
      <xdr:rowOff>97693</xdr:rowOff>
    </xdr:from>
    <xdr:to>
      <xdr:col>14</xdr:col>
      <xdr:colOff>29308</xdr:colOff>
      <xdr:row>21</xdr:row>
      <xdr:rowOff>136769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E90C6F-5A0E-D6C1-2104-F47731E74946}"/>
            </a:ext>
          </a:extLst>
        </xdr:cNvPr>
        <xdr:cNvSpPr txBox="1"/>
      </xdr:nvSpPr>
      <xdr:spPr>
        <a:xfrm>
          <a:off x="8362462" y="488462"/>
          <a:ext cx="7727461" cy="3751384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Where are we getting more profit – Lunch or Dinner?</a:t>
          </a:r>
        </a:p>
        <a:p>
          <a:r>
            <a:rPr lang="en-IN" b="0"/>
            <a:t>Based on the descriptive analysis of Q4 2025 sales data, Dinner service is significantly more profitable than Lunch.</a:t>
          </a:r>
        </a:p>
        <a:p>
          <a:r>
            <a:rPr lang="en-IN" b="0"/>
            <a:t>Key Observations (with stats):</a:t>
          </a:r>
        </a:p>
        <a:p>
          <a:r>
            <a:rPr lang="en-IN" b="0"/>
            <a:t>Total Dinner Revenue: $123,077.42</a:t>
          </a:r>
        </a:p>
        <a:p>
          <a:r>
            <a:rPr lang="en-IN" b="0"/>
            <a:t>Total Lunch Revenue: $40,452.86 Dinner contributes ~75% of total revenue, while Lunch contributes only ~25%.</a:t>
          </a:r>
        </a:p>
        <a:p>
          <a:br>
            <a:rPr lang="en-IN" b="0"/>
          </a:br>
          <a:endParaRPr lang="en-IN" b="0"/>
        </a:p>
        <a:p>
          <a:r>
            <a:rPr lang="en-IN" b="0"/>
            <a:t>Day-wise Behaviour:</a:t>
          </a:r>
        </a:p>
        <a:p>
          <a:r>
            <a:rPr lang="en-IN" b="0"/>
            <a:t>Dinner revenue is consistently high across all days, with Saturday Dinner ($28,100.23) being the highest.</a:t>
          </a:r>
        </a:p>
        <a:p>
          <a:r>
            <a:rPr lang="en-IN" b="0"/>
            <a:t>Lunch revenue peaks on Wednesday ($10,111.22), indicating strong mid-week corporate buffet demand.</a:t>
          </a:r>
        </a:p>
        <a:p>
          <a:r>
            <a:rPr lang="en-IN" b="0"/>
            <a:t>Monday &amp; Tuesday Lunch revenue is relatively low, showing weaker demand during early weekdays.</a:t>
          </a:r>
        </a:p>
        <a:p>
          <a:br>
            <a:rPr lang="en-IN" b="0"/>
          </a:br>
          <a:endParaRPr lang="en-IN" b="0"/>
        </a:p>
        <a:p>
          <a:r>
            <a:rPr lang="en-IN" b="0"/>
            <a:t>Business Insight:</a:t>
          </a:r>
        </a:p>
        <a:p>
          <a:r>
            <a:rPr lang="en-IN" b="0"/>
            <a:t>Dinner is the primary profit driver due to:</a:t>
          </a:r>
        </a:p>
        <a:p>
          <a:pPr lvl="1"/>
          <a:r>
            <a:rPr lang="en-IN" b="0"/>
            <a:t>Higher average bill value</a:t>
          </a:r>
        </a:p>
        <a:p>
          <a:pPr lvl="1"/>
          <a:r>
            <a:rPr lang="en-IN" b="0"/>
            <a:t>Longer service window</a:t>
          </a:r>
        </a:p>
        <a:p>
          <a:pPr lvl="1"/>
          <a:r>
            <a:rPr lang="en-IN" b="0"/>
            <a:t>Higher customer count per transaction</a:t>
          </a:r>
        </a:p>
        <a:p>
          <a:r>
            <a:rPr lang="en-IN" b="0"/>
            <a:t>Lunch revenue is highly dependent on corporate buffet demand, mainly concentrated mid-week.</a:t>
          </a:r>
        </a:p>
        <a:p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115455</xdr:colOff>
      <xdr:row>4</xdr:row>
      <xdr:rowOff>38486</xdr:rowOff>
    </xdr:from>
    <xdr:to>
      <xdr:col>12</xdr:col>
      <xdr:colOff>795353</xdr:colOff>
      <xdr:row>19</xdr:row>
      <xdr:rowOff>51314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A32320-3D4B-9D5F-1FB9-35125CB2815A}"/>
            </a:ext>
          </a:extLst>
        </xdr:cNvPr>
        <xdr:cNvSpPr txBox="1"/>
      </xdr:nvSpPr>
      <xdr:spPr>
        <a:xfrm>
          <a:off x="6606566" y="808183"/>
          <a:ext cx="5605959" cy="2899192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Should we run Buffet on all days, especially Monday–Tuesday?</a:t>
          </a:r>
        </a:p>
        <a:p>
          <a:endParaRPr lang="en-IN" sz="1200" b="1"/>
        </a:p>
        <a:p>
          <a:r>
            <a:rPr lang="en-IN" sz="1200" b="0"/>
            <a:t>To analyze buffet viability, we used Buffet_Flag:</a:t>
          </a:r>
        </a:p>
        <a:p>
          <a:r>
            <a:rPr lang="en-IN" sz="1200" b="0"/>
            <a:t>Buffet = 1</a:t>
          </a:r>
        </a:p>
        <a:p>
          <a:r>
            <a:rPr lang="en-IN" sz="1200" b="0"/>
            <a:t>AlaCarte = 0</a:t>
          </a:r>
        </a:p>
        <a:p>
          <a:r>
            <a:rPr lang="en-IN" sz="1200" b="0"/>
            <a:t>We calculated Average of Buffet_Flag at day + service level.</a:t>
          </a:r>
        </a:p>
        <a:p>
          <a:r>
            <a:rPr lang="en-IN" sz="1200" b="0"/>
            <a:t>Key insight:</a:t>
          </a:r>
        </a:p>
        <a:p>
          <a:r>
            <a:rPr lang="en-IN" sz="1200" b="0"/>
            <a:t>Lunch Buffet Probability ≈ 0.44 (44%)</a:t>
          </a:r>
        </a:p>
        <a:p>
          <a:r>
            <a:rPr lang="en-IN" sz="1200" b="0"/>
            <a:t>Dinner Buffet Probability ≈ 0</a:t>
          </a:r>
        </a:p>
        <a:p>
          <a:r>
            <a:rPr lang="en-IN" sz="1200" b="0"/>
            <a:t>Day-wise pattern:</a:t>
          </a:r>
        </a:p>
        <a:p>
          <a:r>
            <a:rPr lang="en-IN" sz="1200" b="0"/>
            <a:t>Buffet is mostly chosen during Lunch</a:t>
          </a:r>
        </a:p>
        <a:p>
          <a:r>
            <a:rPr lang="en-IN" sz="1200" b="0"/>
            <a:t>Almost no Buffet demand during Dinner</a:t>
          </a:r>
        </a:p>
        <a:p>
          <a:r>
            <a:rPr lang="en-IN" sz="1200" b="0"/>
            <a:t>Monday &amp; Tuesday Lunch have low buffet probability</a:t>
          </a:r>
        </a:p>
        <a:p>
          <a:r>
            <a:rPr lang="en-IN" sz="1200" b="0"/>
            <a:t>Decision Insight: Running Buffet on Monday–Tuesday Lunch is not recommended</a:t>
          </a:r>
          <a:r>
            <a:rPr lang="en-IN" sz="1200" b="0" baseline="0"/>
            <a:t> </a:t>
          </a:r>
          <a:endParaRPr lang="en-GB" sz="1200" b="0"/>
        </a:p>
        <a:p>
          <a:endParaRPr lang="en-GB" sz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338667</xdr:colOff>
      <xdr:row>0</xdr:row>
      <xdr:rowOff>148166</xdr:rowOff>
    </xdr:from>
    <xdr:to>
      <xdr:col>17</xdr:col>
      <xdr:colOff>338667</xdr:colOff>
      <xdr:row>10</xdr:row>
      <xdr:rowOff>179916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4731E0-B252-5CA3-862F-B5DCA9E24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412749</xdr:colOff>
      <xdr:row>14</xdr:row>
      <xdr:rowOff>137584</xdr:rowOff>
    </xdr:from>
    <xdr:to>
      <xdr:col>21</xdr:col>
      <xdr:colOff>814916</xdr:colOff>
      <xdr:row>57</xdr:row>
      <xdr:rowOff>63500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5D5427-EF8D-9845-4834-E6D888C4A232}"/>
            </a:ext>
          </a:extLst>
        </xdr:cNvPr>
        <xdr:cNvSpPr txBox="1"/>
      </xdr:nvSpPr>
      <xdr:spPr>
        <a:xfrm>
          <a:off x="10900832" y="2815167"/>
          <a:ext cx="8657167" cy="819150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Lunch Demand Regression – Key Insights &amp; Decision Support</a:t>
          </a:r>
        </a:p>
        <a:p>
          <a:r>
            <a:rPr lang="en-IN" b="1"/>
            <a:t>Objective:</a:t>
          </a:r>
          <a:br>
            <a:rPr lang="en-IN"/>
          </a:br>
          <a:r>
            <a:rPr lang="en-IN"/>
            <a:t>To understand lunch-time customer demand patterns and evaluate whether buffet service should be offered on specific weekdays.</a:t>
          </a:r>
        </a:p>
        <a:p>
          <a:r>
            <a:rPr lang="en-IN" b="1"/>
            <a:t>Model Overview</a:t>
          </a:r>
        </a:p>
        <a:p>
          <a:r>
            <a:rPr lang="en-IN"/>
            <a:t>Analysis performed </a:t>
          </a:r>
          <a:r>
            <a:rPr lang="en-IN" b="1"/>
            <a:t>only on Lunch service window</a:t>
          </a:r>
          <a:endParaRPr lang="en-IN"/>
        </a:p>
        <a:p>
          <a:r>
            <a:rPr lang="en-IN"/>
            <a:t>Observations: </a:t>
          </a:r>
          <a:r>
            <a:rPr lang="en-IN" b="1"/>
            <a:t>7 days (Sunday–Saturday)</a:t>
          </a:r>
          <a:endParaRPr lang="en-IN"/>
        </a:p>
        <a:p>
          <a:r>
            <a:rPr lang="en-IN"/>
            <a:t>Dependent Variable: </a:t>
          </a:r>
          <a:r>
            <a:rPr lang="en-IN" b="1"/>
            <a:t>Total_Customers</a:t>
          </a:r>
          <a:endParaRPr lang="en-IN"/>
        </a:p>
        <a:p>
          <a:r>
            <a:rPr lang="en-IN"/>
            <a:t>Key Predictors:</a:t>
          </a:r>
        </a:p>
        <a:p>
          <a:pPr lvl="1"/>
          <a:r>
            <a:rPr lang="en-IN"/>
            <a:t>Buffet_Probability</a:t>
          </a:r>
        </a:p>
        <a:p>
          <a:pPr lvl="1"/>
          <a:r>
            <a:rPr lang="en-IN"/>
            <a:t>Day_Number</a:t>
          </a:r>
        </a:p>
        <a:p>
          <a:pPr lvl="1"/>
          <a:r>
            <a:rPr lang="en-IN"/>
            <a:t>Weekend Indicator</a:t>
          </a:r>
        </a:p>
        <a:p>
          <a:br>
            <a:rPr lang="en-IN"/>
          </a:br>
          <a:r>
            <a:rPr lang="en-IN" b="1"/>
            <a:t>Statistical Results (Interpret with Caution)</a:t>
          </a:r>
        </a:p>
        <a:p>
          <a:r>
            <a:rPr lang="en-IN" b="1"/>
            <a:t>R² ≈ 0.99</a:t>
          </a:r>
          <a:br>
            <a:rPr lang="en-IN"/>
          </a:br>
          <a:r>
            <a:rPr lang="en-IN"/>
            <a:t>Indicates a very strong fit; however, this is influenced by the </a:t>
          </a:r>
          <a:r>
            <a:rPr lang="en-IN" b="1"/>
            <a:t>small sample size</a:t>
          </a:r>
          <a:r>
            <a:rPr lang="en-IN"/>
            <a:t> and should be treated as exploratory.</a:t>
          </a:r>
        </a:p>
        <a:p>
          <a:r>
            <a:rPr lang="en-IN" b="1"/>
            <a:t>Buffet_Probability has a strong positive relationship</a:t>
          </a:r>
          <a:r>
            <a:rPr lang="en-IN"/>
            <a:t> with customer count</a:t>
          </a:r>
          <a:br>
            <a:rPr lang="en-IN"/>
          </a:br>
          <a:r>
            <a:rPr lang="en-IN"/>
            <a:t>→ Higher buffet adoption is associated with significantly higher lunch demand.</a:t>
          </a:r>
        </a:p>
        <a:p>
          <a:r>
            <a:rPr lang="en-IN" b="1"/>
            <a:t>Day effect is visible</a:t>
          </a:r>
          <a:br>
            <a:rPr lang="en-IN"/>
          </a:br>
          <a:r>
            <a:rPr lang="en-IN"/>
            <a:t>→ Mid-week (Wednesday–Friday) shows higher demand than early week and weekends.</a:t>
          </a:r>
        </a:p>
        <a:p>
          <a:br>
            <a:rPr lang="en-IN"/>
          </a:br>
          <a:r>
            <a:rPr lang="en-IN" b="1"/>
            <a:t>Key Business Observations</a:t>
          </a:r>
        </a:p>
        <a:p>
          <a:r>
            <a:rPr lang="en-IN" b="1"/>
            <a:t>Lunch demand peaks on Wednesday–Friday</a:t>
          </a:r>
          <a:endParaRPr lang="en-IN"/>
        </a:p>
        <a:p>
          <a:pPr lvl="1"/>
          <a:r>
            <a:rPr lang="en-IN"/>
            <a:t>Wednesday: ~482 customers</a:t>
          </a:r>
        </a:p>
        <a:p>
          <a:pPr lvl="1"/>
          <a:r>
            <a:rPr lang="en-IN"/>
            <a:t>Thursday: ~468 customers</a:t>
          </a:r>
        </a:p>
        <a:p>
          <a:pPr lvl="1"/>
          <a:r>
            <a:rPr lang="en-IN"/>
            <a:t>Friday: ~404 customers</a:t>
          </a:r>
        </a:p>
        <a:p>
          <a:r>
            <a:rPr lang="en-IN" b="1"/>
            <a:t>Buffet adoption is concentrated mid-week</a:t>
          </a:r>
          <a:endParaRPr lang="en-IN"/>
        </a:p>
        <a:p>
          <a:pPr lvl="1"/>
          <a:r>
            <a:rPr lang="en-IN"/>
            <a:t>Wednesday–Friday buffet probability: </a:t>
          </a:r>
          <a:r>
            <a:rPr lang="en-IN" b="1"/>
            <a:t>~60–75%</a:t>
          </a:r>
          <a:endParaRPr lang="en-IN"/>
        </a:p>
        <a:p>
          <a:r>
            <a:rPr lang="en-IN" b="1"/>
            <a:t>Monday &amp; Tuesday show low demand and zero buffet adoption</a:t>
          </a:r>
          <a:endParaRPr lang="en-IN"/>
        </a:p>
        <a:p>
          <a:pPr lvl="1"/>
          <a:r>
            <a:rPr lang="en-IN"/>
            <a:t>Buffet_Probability = 0%</a:t>
          </a:r>
        </a:p>
        <a:p>
          <a:pPr lvl="1"/>
          <a:r>
            <a:rPr lang="en-IN"/>
            <a:t>Lower customer volume compared to rest of the week</a:t>
          </a:r>
        </a:p>
        <a:p>
          <a:r>
            <a:rPr lang="en-IN" b="1"/>
            <a:t>Weekends show low buffet viability despite being lunch</a:t>
          </a:r>
          <a:endParaRPr lang="en-IN"/>
        </a:p>
        <a:p>
          <a:pPr lvl="1"/>
          <a:r>
            <a:rPr lang="en-IN"/>
            <a:t>Demand exists, but buffet preference is minimal</a:t>
          </a:r>
          <a:br>
            <a:rPr lang="en-IN"/>
          </a:br>
          <a:endParaRPr lang="en-IN"/>
        </a:p>
        <a:p>
          <a:r>
            <a:rPr lang="en-IN" b="1"/>
            <a:t>Decision Insights</a:t>
          </a:r>
        </a:p>
        <a:p>
          <a:r>
            <a:rPr lang="en-IN" b="1"/>
            <a:t>Running Buffet on Monday &amp; Tuesday Lunch is NOT recommended</a:t>
          </a:r>
          <a:endParaRPr lang="en-IN"/>
        </a:p>
        <a:p>
          <a:pPr lvl="1"/>
          <a:r>
            <a:rPr lang="en-IN"/>
            <a:t>Low demand</a:t>
          </a:r>
        </a:p>
        <a:p>
          <a:pPr lvl="1"/>
          <a:r>
            <a:rPr lang="en-IN"/>
            <a:t>No historical buffet uptake</a:t>
          </a:r>
        </a:p>
        <a:p>
          <a:r>
            <a:rPr lang="en-IN" b="1"/>
            <a:t>Buffet should be focused on Wednesday–Friday Lunch</a:t>
          </a:r>
          <a:endParaRPr lang="en-IN"/>
        </a:p>
        <a:p>
          <a:pPr lvl="1"/>
          <a:r>
            <a:rPr lang="en-IN"/>
            <a:t>High customer volume</a:t>
          </a:r>
        </a:p>
        <a:p>
          <a:pPr lvl="1"/>
          <a:r>
            <a:rPr lang="en-IN"/>
            <a:t>Strong buffet preference</a:t>
          </a:r>
        </a:p>
        <a:p>
          <a:r>
            <a:rPr lang="en-IN" b="1"/>
            <a:t>Food preparation for lunch should be scaled up mid-week</a:t>
          </a:r>
          <a:endParaRPr lang="en-IN"/>
        </a:p>
        <a:p>
          <a:pPr lvl="1"/>
          <a:r>
            <a:rPr lang="en-IN"/>
            <a:t>Wednesday–Friday require significantly higher production planning</a:t>
          </a:r>
        </a:p>
        <a:p>
          <a:r>
            <a:rPr lang="en-IN" b="1"/>
            <a:t>Model Limitation</a:t>
          </a:r>
        </a:p>
        <a:p>
          <a:r>
            <a:rPr lang="en-IN"/>
            <a:t>This regression is based on </a:t>
          </a:r>
          <a:r>
            <a:rPr lang="en-IN" b="1"/>
            <a:t>limited data (7 observations)</a:t>
          </a:r>
          <a:r>
            <a:rPr lang="en-IN"/>
            <a:t> and is intended for </a:t>
          </a:r>
          <a:r>
            <a:rPr lang="en-IN" b="1"/>
            <a:t>directional decision-making</a:t>
          </a:r>
          <a:r>
            <a:rPr lang="en-IN"/>
            <a:t>, not precise forecasting.</a:t>
          </a:r>
        </a:p>
        <a:p>
          <a:r>
            <a:rPr lang="en-IN"/>
            <a:t>Results should be validated with additional weeks of data for production deployment.</a:t>
          </a:r>
        </a:p>
        <a:p>
          <a:endParaRPr lang="en-GB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143933</xdr:colOff>
      <xdr:row>1</xdr:row>
      <xdr:rowOff>118534</xdr:rowOff>
    </xdr:from>
    <xdr:to>
      <xdr:col>14</xdr:col>
      <xdr:colOff>321733</xdr:colOff>
      <xdr:row>44</xdr:row>
      <xdr:rowOff>42334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2A22CA-0714-25A3-0C2A-965DF450962B}"/>
            </a:ext>
          </a:extLst>
        </xdr:cNvPr>
        <xdr:cNvSpPr txBox="1"/>
      </xdr:nvSpPr>
      <xdr:spPr>
        <a:xfrm>
          <a:off x="6570133" y="313267"/>
          <a:ext cx="6815667" cy="829733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Daily Demand &amp; Buffet Decision – Key Insights</a:t>
          </a:r>
        </a:p>
        <a:p>
          <a:r>
            <a:rPr lang="en-IN" b="1"/>
            <a:t>Objective</a:t>
          </a:r>
        </a:p>
        <a:p>
          <a:r>
            <a:rPr lang="en-IN"/>
            <a:t>The objective of this analysis was to understand </a:t>
          </a:r>
          <a:r>
            <a:rPr lang="en-IN" b="1"/>
            <a:t>daily lunch demand</a:t>
          </a:r>
          <a:r>
            <a:rPr lang="en-IN"/>
            <a:t> and determine:</a:t>
          </a:r>
        </a:p>
        <a:p>
          <a:r>
            <a:rPr lang="en-IN" b="1"/>
            <a:t>Which days buffet should be offered</a:t>
          </a:r>
          <a:endParaRPr lang="en-IN"/>
        </a:p>
        <a:p>
          <a:r>
            <a:rPr lang="en-IN" b="1"/>
            <a:t>How much food should be prepared each day</a:t>
          </a:r>
          <a:endParaRPr lang="en-IN"/>
        </a:p>
        <a:p>
          <a:endParaRPr lang="en-IN"/>
        </a:p>
        <a:p>
          <a:r>
            <a:rPr lang="en-IN" b="1"/>
            <a:t>Methodology (What I Did)</a:t>
          </a:r>
        </a:p>
        <a:p>
          <a:r>
            <a:rPr lang="en-IN" b="1"/>
            <a:t>Data Aggregation</a:t>
          </a:r>
          <a:endParaRPr lang="en-IN"/>
        </a:p>
        <a:p>
          <a:pPr lvl="1"/>
          <a:r>
            <a:rPr lang="en-IN"/>
            <a:t>Transaction-level data was aggregated to the </a:t>
          </a:r>
          <a:r>
            <a:rPr lang="en-IN" b="1"/>
            <a:t>daily level</a:t>
          </a:r>
          <a:r>
            <a:rPr lang="en-IN"/>
            <a:t> for the </a:t>
          </a:r>
          <a:r>
            <a:rPr lang="en-IN" b="1"/>
            <a:t>Lunch service window</a:t>
          </a:r>
          <a:r>
            <a:rPr lang="en-IN"/>
            <a:t>.</a:t>
          </a:r>
        </a:p>
        <a:p>
          <a:pPr lvl="1"/>
          <a:r>
            <a:rPr lang="en-IN"/>
            <a:t>Total expected customers were calculated for each day of the week.</a:t>
          </a:r>
        </a:p>
        <a:p>
          <a:r>
            <a:rPr lang="en-IN" b="1"/>
            <a:t>Buffet Probability Calculation</a:t>
          </a:r>
          <a:endParaRPr lang="en-IN"/>
        </a:p>
        <a:p>
          <a:pPr lvl="1"/>
          <a:r>
            <a:rPr lang="en-IN"/>
            <a:t>A binary variable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Buffet_Flag</a:t>
          </a:r>
          <a:r>
            <a:rPr lang="en-IN"/>
            <a:t> was used (Buffet = 1, Ala Carte = 0).</a:t>
          </a:r>
        </a:p>
        <a:p>
          <a:pPr lvl="1"/>
          <a:r>
            <a:rPr lang="en-IN"/>
            <a:t>The </a:t>
          </a:r>
          <a:r>
            <a:rPr lang="en-IN" b="1"/>
            <a:t>average of Buffet_Flag</a:t>
          </a:r>
          <a:r>
            <a:rPr lang="en-IN"/>
            <a:t> was calculated per day to estimate the </a:t>
          </a:r>
          <a:r>
            <a:rPr lang="en-IN" b="1"/>
            <a:t>probability of buffet being chosen</a:t>
          </a:r>
          <a:r>
            <a:rPr lang="en-IN"/>
            <a:t>.</a:t>
          </a:r>
        </a:p>
        <a:p>
          <a:r>
            <a:rPr lang="en-IN" b="1"/>
            <a:t>Decision Rule Applied</a:t>
          </a:r>
          <a:endParaRPr lang="en-IN"/>
        </a:p>
        <a:p>
          <a:pPr lvl="1"/>
          <a:r>
            <a:rPr lang="en-IN" b="1"/>
            <a:t>Buffet_Probability ≥ 60% → BUFFET</a:t>
          </a:r>
          <a:endParaRPr lang="en-IN"/>
        </a:p>
        <a:p>
          <a:pPr lvl="1"/>
          <a:r>
            <a:rPr lang="en-IN" b="1"/>
            <a:t>Buffet_Probability &lt; 60% → ALA CARTE</a:t>
          </a:r>
          <a:endParaRPr lang="en-IN"/>
        </a:p>
        <a:p>
          <a:r>
            <a:rPr lang="en-IN" b="1"/>
            <a:t>Food Preparation Logic</a:t>
          </a:r>
          <a:endParaRPr lang="en-IN"/>
        </a:p>
        <a:p>
          <a:pPr lvl="1"/>
          <a:r>
            <a:rPr lang="en-IN" b="1"/>
            <a:t>Buffet days:</a:t>
          </a:r>
          <a:br>
            <a:rPr lang="en-IN"/>
          </a:br>
          <a:r>
            <a:rPr lang="en-IN"/>
            <a:t>Food prepared = Expected_Customers × 1.3</a:t>
          </a:r>
          <a:br>
            <a:rPr lang="en-IN"/>
          </a:br>
          <a:r>
            <a:rPr lang="en-IN"/>
            <a:t>(30% buffer added to handle peak demand and reduce stock-outs)</a:t>
          </a:r>
        </a:p>
        <a:p>
          <a:pPr lvl="1"/>
          <a:r>
            <a:rPr lang="en-IN" b="1"/>
            <a:t>Ala carte days:</a:t>
          </a:r>
          <a:br>
            <a:rPr lang="en-IN"/>
          </a:br>
          <a:r>
            <a:rPr lang="en-IN"/>
            <a:t>No bulk food preparation (food prepared per order)</a:t>
          </a:r>
          <a:br>
            <a:rPr lang="en-IN"/>
          </a:br>
          <a:endParaRPr lang="en-IN"/>
        </a:p>
        <a:p>
          <a:r>
            <a:rPr lang="en-IN" b="1"/>
            <a:t>Key Findings</a:t>
          </a:r>
        </a:p>
        <a:p>
          <a:r>
            <a:rPr lang="en-IN" b="1"/>
            <a:t>Mid-week lunch (Wednesday to Friday)</a:t>
          </a:r>
          <a:r>
            <a:rPr lang="en-IN"/>
            <a:t> shows strong buffet preference:</a:t>
          </a:r>
        </a:p>
        <a:p>
          <a:pPr lvl="1"/>
          <a:r>
            <a:rPr lang="en-IN"/>
            <a:t>Wednesday: </a:t>
          </a:r>
          <a:r>
            <a:rPr lang="en-IN" b="1"/>
            <a:t>74.83%</a:t>
          </a:r>
          <a:endParaRPr lang="en-IN"/>
        </a:p>
        <a:p>
          <a:pPr lvl="1"/>
          <a:r>
            <a:rPr lang="en-IN"/>
            <a:t>Thursday: </a:t>
          </a:r>
          <a:r>
            <a:rPr lang="en-IN" b="1"/>
            <a:t>65.77%</a:t>
          </a:r>
          <a:endParaRPr lang="en-IN"/>
        </a:p>
        <a:p>
          <a:pPr lvl="1"/>
          <a:r>
            <a:rPr lang="en-IN"/>
            <a:t>Friday: </a:t>
          </a:r>
          <a:r>
            <a:rPr lang="en-IN" b="1"/>
            <a:t>62.07%</a:t>
          </a:r>
          <a:endParaRPr lang="en-IN"/>
        </a:p>
        <a:p>
          <a:r>
            <a:rPr lang="en-IN" b="1"/>
            <a:t>Monday, Saturday, and Sunday</a:t>
          </a:r>
          <a:r>
            <a:rPr lang="en-IN"/>
            <a:t> show </a:t>
          </a:r>
          <a:r>
            <a:rPr lang="en-IN" b="1"/>
            <a:t>negligible buffet demand</a:t>
          </a:r>
          <a:r>
            <a:rPr lang="en-IN"/>
            <a:t>.</a:t>
          </a:r>
        </a:p>
        <a:p>
          <a:r>
            <a:rPr lang="en-IN"/>
            <a:t>Preparing food in bulk only on buffet days helps </a:t>
          </a:r>
          <a:r>
            <a:rPr lang="en-IN" b="1"/>
            <a:t>minimize food waste</a:t>
          </a:r>
          <a:r>
            <a:rPr lang="en-IN"/>
            <a:t> and </a:t>
          </a:r>
          <a:r>
            <a:rPr lang="en-IN" b="1"/>
            <a:t>optimize kitchen operations</a:t>
          </a:r>
          <a:r>
            <a:rPr lang="en-IN"/>
            <a:t>.</a:t>
          </a:r>
        </a:p>
        <a:p>
          <a:br>
            <a:rPr lang="en-IN"/>
          </a:br>
          <a:endParaRPr lang="en-IN"/>
        </a:p>
        <a:p>
          <a:r>
            <a:rPr lang="en-IN" b="1"/>
            <a:t>Business Recommendations</a:t>
          </a:r>
        </a:p>
        <a:p>
          <a:r>
            <a:rPr lang="en-IN" b="1"/>
            <a:t>Run Buffet on:</a:t>
          </a:r>
          <a:br>
            <a:rPr lang="en-IN"/>
          </a:br>
          <a:r>
            <a:rPr lang="en-IN" b="1"/>
            <a:t>Wednesday, Thursday, Friday (Lunch)</a:t>
          </a:r>
          <a:endParaRPr lang="en-IN"/>
        </a:p>
        <a:p>
          <a:r>
            <a:rPr lang="en-IN" b="1"/>
            <a:t>Do NOT run Buffet on:</a:t>
          </a:r>
          <a:br>
            <a:rPr lang="en-IN"/>
          </a:br>
          <a:r>
            <a:rPr lang="en-IN" b="1"/>
            <a:t>Monday, Saturday, Sunday</a:t>
          </a:r>
          <a:endParaRPr lang="en-IN"/>
        </a:p>
        <a:p>
          <a:r>
            <a:rPr lang="en-IN" b="1"/>
            <a:t>Adopt demand-based food preparation:</a:t>
          </a:r>
          <a:endParaRPr lang="en-IN"/>
        </a:p>
        <a:p>
          <a:pPr lvl="1"/>
          <a:r>
            <a:rPr lang="en-IN"/>
            <a:t>Buffet days → Prepare food with buffer</a:t>
          </a:r>
        </a:p>
        <a:p>
          <a:pPr lvl="1"/>
          <a:r>
            <a:rPr lang="en-IN"/>
            <a:t>Ala carte days → Prepare food per order only</a:t>
          </a:r>
        </a:p>
        <a:p>
          <a:br>
            <a:rPr lang="en-IN"/>
          </a:br>
          <a:endParaRPr lang="en-IN"/>
        </a:p>
        <a:p>
          <a:r>
            <a:rPr lang="en-IN" b="1"/>
            <a:t>Business Impact</a:t>
          </a:r>
        </a:p>
        <a:p>
          <a:r>
            <a:rPr lang="en-IN"/>
            <a:t>Reduced food wastage</a:t>
          </a:r>
        </a:p>
        <a:p>
          <a:r>
            <a:rPr lang="en-IN"/>
            <a:t> Improved cost control</a:t>
          </a:r>
          <a:br>
            <a:rPr lang="en-IN"/>
          </a:br>
          <a:r>
            <a:rPr lang="en-IN"/>
            <a:t>Data-driven buffet planning</a:t>
          </a:r>
          <a:br>
            <a:rPr lang="en-IN"/>
          </a:br>
          <a:r>
            <a:rPr lang="en-IN"/>
            <a:t>Better operational efficiency</a:t>
          </a:r>
        </a:p>
        <a:p>
          <a:endParaRPr lang="en-GB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ita Sharma" refreshedDate="46054.562389120372" createdVersion="8" refreshedVersion="8" minRefreshableVersion="3" recordCount="2000" xr:uid="{71E5A84D-48A1-0C4B-A1E7-23B5C8829A16}">
  <cacheSource type="worksheet">
    <worksheetSource name="Table1"/>
  </cacheSource>
  <cacheFields count="13">
    <cacheField name="Transaction_ID" numFmtId="0">
      <sharedItems/>
    </cacheField>
    <cacheField name="Account_ID" numFmtId="0">
      <sharedItems/>
    </cacheField>
    <cacheField name="Transaction_Date" numFmtId="164">
      <sharedItems containsSemiMixedTypes="0" containsNonDate="0" containsDate="1" containsString="0" minDate="2025-10-01T00:00:00" maxDate="2026-01-01T00:00:00" count="92"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</cacheField>
    <cacheField name="Day" numFmtId="0">
      <sharedItems count="7">
        <s v="Wednesday"/>
        <s v="Thursday"/>
        <s v="Friday"/>
        <s v="Saturday"/>
        <s v="Sunday"/>
        <s v="Monday"/>
        <s v="Tuesday"/>
      </sharedItems>
    </cacheField>
    <cacheField name="Service_Window" numFmtId="0">
      <sharedItems count="2">
        <s v="Dinner"/>
        <s v="Lunch"/>
      </sharedItems>
    </cacheField>
    <cacheField name="Time_Slot" numFmtId="0">
      <sharedItems/>
    </cacheField>
    <cacheField name="Sale_Type" numFmtId="0">
      <sharedItems/>
    </cacheField>
    <cacheField name="Customers_Count" numFmtId="0">
      <sharedItems containsSemiMixedTypes="0" containsString="0" containsNumber="1" containsInteger="1" minValue="1" maxValue="9"/>
    </cacheField>
    <cacheField name="Total_Bill_Amount" numFmtId="0">
      <sharedItems containsSemiMixedTypes="0" containsString="0" containsNumber="1" minValue="8.24" maxValue="388.41"/>
    </cacheField>
    <cacheField name="Payment_Method" numFmtId="0">
      <sharedItems/>
    </cacheField>
    <cacheField name="Location" numFmtId="0">
      <sharedItems/>
    </cacheField>
    <cacheField name="Weekday_Num" numFmtId="0">
      <sharedItems containsSemiMixedTypes="0" containsString="0" containsNumber="1" containsInteger="1" minValue="1" maxValue="7"/>
    </cacheField>
    <cacheField name="Buffet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_000001"/>
    <s v="CORP_043"/>
    <x v="0"/>
    <x v="0"/>
    <x v="0"/>
    <s v="18:00–18:30"/>
    <s v="AlaCarte"/>
    <n v="3"/>
    <n v="97.63"/>
    <s v="Credit Card"/>
    <s v="In-store"/>
    <n v="3"/>
    <n v="0"/>
  </r>
  <r>
    <s v="TXN_000002"/>
    <s v="WALK_023"/>
    <x v="0"/>
    <x v="0"/>
    <x v="0"/>
    <s v="18:00–18:30"/>
    <s v="AlaCarte"/>
    <n v="3"/>
    <n v="139.81"/>
    <s v="Credit Card"/>
    <s v="Takeaway"/>
    <n v="3"/>
    <n v="0"/>
  </r>
  <r>
    <s v="TXN_000003"/>
    <s v="WALK_086"/>
    <x v="0"/>
    <x v="0"/>
    <x v="0"/>
    <s v="18:30–19:00"/>
    <s v="AlaCarte"/>
    <n v="2"/>
    <n v="39.799999999999997"/>
    <s v="Credit Card"/>
    <s v="In-store"/>
    <n v="3"/>
    <n v="0"/>
  </r>
  <r>
    <s v="TXN_000004"/>
    <s v="CORP_036"/>
    <x v="0"/>
    <x v="0"/>
    <x v="0"/>
    <s v="19:00–19:30"/>
    <s v="AlaCarte"/>
    <n v="6"/>
    <n v="115.77"/>
    <s v="Digital Wallet"/>
    <s v="In-store"/>
    <n v="3"/>
    <n v="0"/>
  </r>
  <r>
    <s v="TXN_000005"/>
    <s v="CORP_039"/>
    <x v="0"/>
    <x v="0"/>
    <x v="0"/>
    <s v="19:30–20:00"/>
    <s v="AlaCarte"/>
    <n v="6"/>
    <n v="132.85"/>
    <s v="Digital Wallet"/>
    <s v="In-store"/>
    <n v="3"/>
    <n v="0"/>
  </r>
  <r>
    <s v="TXN_000006"/>
    <s v="WALK_028"/>
    <x v="0"/>
    <x v="0"/>
    <x v="0"/>
    <s v="19:30–20:00"/>
    <s v="AlaCarte"/>
    <n v="2"/>
    <n v="78.88"/>
    <s v="Cash"/>
    <s v="In-store"/>
    <n v="3"/>
    <n v="0"/>
  </r>
  <r>
    <s v="TXN_000007"/>
    <s v="WALK_028"/>
    <x v="0"/>
    <x v="0"/>
    <x v="0"/>
    <s v="19:30–20:00"/>
    <s v="AlaCarte"/>
    <n v="4"/>
    <n v="96.26"/>
    <s v="Credit Card"/>
    <s v="In-store"/>
    <n v="3"/>
    <n v="0"/>
  </r>
  <r>
    <s v="TXN_000008"/>
    <s v="HOTEL_016"/>
    <x v="0"/>
    <x v="0"/>
    <x v="0"/>
    <s v="19:30–20:00"/>
    <s v="AlaCarte"/>
    <n v="4"/>
    <n v="156.01"/>
    <s v="Digital Wallet"/>
    <s v="In-store"/>
    <n v="3"/>
    <n v="0"/>
  </r>
  <r>
    <s v="TXN_000009"/>
    <s v="WALK_101"/>
    <x v="0"/>
    <x v="0"/>
    <x v="0"/>
    <s v="20:00–20:30"/>
    <s v="AlaCarte"/>
    <n v="1"/>
    <n v="38.130000000000003"/>
    <s v="Cash"/>
    <s v="In-store"/>
    <n v="3"/>
    <n v="0"/>
  </r>
  <r>
    <s v="TXN_000010"/>
    <s v="CORP_048"/>
    <x v="0"/>
    <x v="0"/>
    <x v="1"/>
    <s v="12:15–12:45"/>
    <s v="Buffet"/>
    <n v="5"/>
    <n v="113.5"/>
    <s v="Cash"/>
    <s v="Takeaway"/>
    <n v="3"/>
    <n v="1"/>
  </r>
  <r>
    <s v="TXN_000011"/>
    <s v="CORP_012"/>
    <x v="0"/>
    <x v="0"/>
    <x v="1"/>
    <s v="12:15–12:45"/>
    <s v="Buffet"/>
    <n v="1"/>
    <n v="20"/>
    <s v="Credit Card"/>
    <s v="In-store"/>
    <n v="3"/>
    <n v="1"/>
  </r>
  <r>
    <s v="TXN_000012"/>
    <s v="CORP_037"/>
    <x v="0"/>
    <x v="0"/>
    <x v="1"/>
    <s v="12:45–13:15"/>
    <s v="Buffet"/>
    <n v="2"/>
    <n v="40"/>
    <s v="Credit Card"/>
    <s v="In-store"/>
    <n v="3"/>
    <n v="1"/>
  </r>
  <r>
    <s v="TXN_000013"/>
    <s v="CORP_054"/>
    <x v="0"/>
    <x v="0"/>
    <x v="1"/>
    <s v="13:15–13:45"/>
    <s v="Buffet"/>
    <n v="4"/>
    <n v="89"/>
    <s v="Digital Wallet"/>
    <s v="Takeaway"/>
    <n v="3"/>
    <n v="1"/>
  </r>
  <r>
    <s v="TXN_000014"/>
    <s v="CORP_048"/>
    <x v="0"/>
    <x v="0"/>
    <x v="1"/>
    <s v="13:15–13:45"/>
    <s v="Buffet"/>
    <n v="3"/>
    <n v="64.5"/>
    <s v="Digital Wallet"/>
    <s v="Takeaway"/>
    <n v="3"/>
    <n v="1"/>
  </r>
  <r>
    <s v="TXN_000015"/>
    <s v="CORP_023"/>
    <x v="0"/>
    <x v="0"/>
    <x v="1"/>
    <s v="13:45–14:15"/>
    <s v="AlaCarte"/>
    <n v="1"/>
    <n v="14.58"/>
    <s v="Cash"/>
    <s v="Takeaway"/>
    <n v="3"/>
    <n v="0"/>
  </r>
  <r>
    <s v="TXN_000016"/>
    <s v="WALK_065"/>
    <x v="0"/>
    <x v="0"/>
    <x v="1"/>
    <s v="13:45–14:15"/>
    <s v="Buffet"/>
    <n v="5"/>
    <n v="109"/>
    <s v="Credit Card"/>
    <s v="Takeaway"/>
    <n v="3"/>
    <n v="1"/>
  </r>
  <r>
    <s v="TXN_000017"/>
    <s v="WALK_109"/>
    <x v="1"/>
    <x v="1"/>
    <x v="0"/>
    <s v="18:00–18:30"/>
    <s v="AlaCarte"/>
    <n v="4"/>
    <n v="101.66"/>
    <s v="Credit Card"/>
    <s v="In-store"/>
    <n v="4"/>
    <n v="0"/>
  </r>
  <r>
    <s v="TXN_000018"/>
    <s v="WALK_047"/>
    <x v="1"/>
    <x v="1"/>
    <x v="0"/>
    <s v="18:30–19:00"/>
    <s v="AlaCarte"/>
    <n v="2"/>
    <n v="84.5"/>
    <s v="Credit Card"/>
    <s v="In-store"/>
    <n v="4"/>
    <n v="0"/>
  </r>
  <r>
    <s v="TXN_000019"/>
    <s v="WALK_052"/>
    <x v="1"/>
    <x v="1"/>
    <x v="0"/>
    <s v="18:30–19:00"/>
    <s v="AlaCarte"/>
    <n v="5"/>
    <n v="268.02"/>
    <s v="Digital Wallet"/>
    <s v="Takeaway"/>
    <n v="4"/>
    <n v="0"/>
  </r>
  <r>
    <s v="TXN_000020"/>
    <s v="HOTEL_028"/>
    <x v="1"/>
    <x v="1"/>
    <x v="0"/>
    <s v="18:30–19:00"/>
    <s v="AlaCarte"/>
    <n v="3"/>
    <n v="67.739999999999995"/>
    <s v="Credit Card"/>
    <s v="In-store"/>
    <n v="4"/>
    <n v="0"/>
  </r>
  <r>
    <s v="TXN_000021"/>
    <s v="WALK_057"/>
    <x v="1"/>
    <x v="1"/>
    <x v="0"/>
    <s v="19:00–19:30"/>
    <s v="AlaCarte"/>
    <n v="3"/>
    <n v="90.4"/>
    <s v="Credit Card"/>
    <s v="In-store"/>
    <n v="4"/>
    <n v="0"/>
  </r>
  <r>
    <s v="TXN_000022"/>
    <s v="WALK_094"/>
    <x v="1"/>
    <x v="1"/>
    <x v="0"/>
    <s v="19:00–19:30"/>
    <s v="AlaCarte"/>
    <n v="2"/>
    <n v="48.61"/>
    <s v="Cash"/>
    <s v="In-store"/>
    <n v="4"/>
    <n v="0"/>
  </r>
  <r>
    <s v="TXN_000023"/>
    <s v="CORP_013"/>
    <x v="1"/>
    <x v="1"/>
    <x v="0"/>
    <s v="19:00–19:30"/>
    <s v="AlaCarte"/>
    <n v="3"/>
    <n v="96.26"/>
    <s v="Credit Card"/>
    <s v="Takeaway"/>
    <n v="4"/>
    <n v="0"/>
  </r>
  <r>
    <s v="TXN_000024"/>
    <s v="HOTEL_040"/>
    <x v="1"/>
    <x v="1"/>
    <x v="0"/>
    <s v="20:00–20:30"/>
    <s v="AlaCarte"/>
    <n v="2"/>
    <n v="74.75"/>
    <s v="Credit Card"/>
    <s v="Takeaway"/>
    <n v="4"/>
    <n v="0"/>
  </r>
  <r>
    <s v="TXN_000025"/>
    <s v="WALK_086"/>
    <x v="1"/>
    <x v="1"/>
    <x v="0"/>
    <s v="20:00–20:30"/>
    <s v="AlaCarte"/>
    <n v="2"/>
    <n v="78.8"/>
    <s v="Digital Wallet"/>
    <s v="Takeaway"/>
    <n v="4"/>
    <n v="0"/>
  </r>
  <r>
    <s v="TXN_000026"/>
    <s v="WALK_019"/>
    <x v="1"/>
    <x v="1"/>
    <x v="0"/>
    <s v="20:00–20:30"/>
    <s v="AlaCarte"/>
    <n v="2"/>
    <n v="89.41"/>
    <s v="Credit Card"/>
    <s v="In-store"/>
    <n v="4"/>
    <n v="0"/>
  </r>
  <r>
    <s v="TXN_000027"/>
    <s v="CORP_072"/>
    <x v="1"/>
    <x v="1"/>
    <x v="1"/>
    <s v="12:15–12:45"/>
    <s v="Buffet"/>
    <n v="1"/>
    <n v="24.5"/>
    <s v="Credit Card"/>
    <s v="In-store"/>
    <n v="4"/>
    <n v="1"/>
  </r>
  <r>
    <s v="TXN_000028"/>
    <s v="CORP_060"/>
    <x v="1"/>
    <x v="1"/>
    <x v="1"/>
    <s v="12:15–12:45"/>
    <s v="Buffet"/>
    <n v="1"/>
    <n v="20"/>
    <s v="Credit Card"/>
    <s v="In-store"/>
    <n v="4"/>
    <n v="1"/>
  </r>
  <r>
    <s v="TXN_000029"/>
    <s v="CORP_043"/>
    <x v="1"/>
    <x v="1"/>
    <x v="1"/>
    <s v="12:15–12:45"/>
    <s v="Buffet"/>
    <n v="2"/>
    <n v="44.5"/>
    <s v="Cash"/>
    <s v="In-store"/>
    <n v="4"/>
    <n v="1"/>
  </r>
  <r>
    <s v="TXN_000030"/>
    <s v="CORP_054"/>
    <x v="1"/>
    <x v="1"/>
    <x v="1"/>
    <s v="12:45–13:15"/>
    <s v="Buffet"/>
    <n v="2"/>
    <n v="44.5"/>
    <s v="Credit Card"/>
    <s v="Takeaway"/>
    <n v="4"/>
    <n v="1"/>
  </r>
  <r>
    <s v="TXN_000031"/>
    <s v="WALK_032"/>
    <x v="1"/>
    <x v="1"/>
    <x v="1"/>
    <s v="12:45–13:15"/>
    <s v="Buffet"/>
    <n v="3"/>
    <n v="60"/>
    <s v="Credit Card"/>
    <s v="In-store"/>
    <n v="4"/>
    <n v="1"/>
  </r>
  <r>
    <s v="TXN_000032"/>
    <s v="CORP_061"/>
    <x v="1"/>
    <x v="1"/>
    <x v="1"/>
    <s v="13:15–13:45"/>
    <s v="Buffet"/>
    <n v="3"/>
    <n v="73.5"/>
    <s v="Credit Card"/>
    <s v="In-store"/>
    <n v="4"/>
    <n v="1"/>
  </r>
  <r>
    <s v="TXN_000033"/>
    <s v="CORP_028"/>
    <x v="1"/>
    <x v="1"/>
    <x v="1"/>
    <s v="13:45–14:15"/>
    <s v="AlaCarte"/>
    <n v="2"/>
    <n v="71.8"/>
    <s v="Credit Card"/>
    <s v="In-store"/>
    <n v="4"/>
    <n v="0"/>
  </r>
  <r>
    <s v="TXN_000034"/>
    <s v="CORP_055"/>
    <x v="1"/>
    <x v="1"/>
    <x v="1"/>
    <s v="13:45–14:15"/>
    <s v="Buffet"/>
    <n v="4"/>
    <n v="89"/>
    <s v="Credit Card"/>
    <s v="In-store"/>
    <n v="4"/>
    <n v="1"/>
  </r>
  <r>
    <s v="TXN_000035"/>
    <s v="WALK_010"/>
    <x v="2"/>
    <x v="2"/>
    <x v="0"/>
    <s v="18:30–19:00"/>
    <s v="AlaCarte"/>
    <n v="3"/>
    <n v="120.99"/>
    <s v="Credit Card"/>
    <s v="In-store"/>
    <n v="5"/>
    <n v="0"/>
  </r>
  <r>
    <s v="TXN_000036"/>
    <s v="WALK_104"/>
    <x v="2"/>
    <x v="2"/>
    <x v="0"/>
    <s v="18:30–19:00"/>
    <s v="AlaCarte"/>
    <n v="2"/>
    <n v="42.07"/>
    <s v="Cash"/>
    <s v="Takeaway"/>
    <n v="5"/>
    <n v="0"/>
  </r>
  <r>
    <s v="TXN_000037"/>
    <s v="CORP_049"/>
    <x v="2"/>
    <x v="2"/>
    <x v="0"/>
    <s v="19:00–19:30"/>
    <s v="AlaCarte"/>
    <n v="3"/>
    <n v="59.24"/>
    <s v="Credit Card"/>
    <s v="In-store"/>
    <n v="5"/>
    <n v="0"/>
  </r>
  <r>
    <s v="TXN_000038"/>
    <s v="WALK_117"/>
    <x v="2"/>
    <x v="2"/>
    <x v="0"/>
    <s v="19:30–20:00"/>
    <s v="AlaCarte"/>
    <n v="4"/>
    <n v="85.26"/>
    <s v="Cash"/>
    <s v="In-store"/>
    <n v="5"/>
    <n v="0"/>
  </r>
  <r>
    <s v="TXN_000039"/>
    <s v="CORP_068"/>
    <x v="2"/>
    <x v="2"/>
    <x v="1"/>
    <s v="12:15–12:45"/>
    <s v="AlaCarte"/>
    <n v="2"/>
    <n v="58.57"/>
    <s v="Digital Wallet"/>
    <s v="Takeaway"/>
    <n v="5"/>
    <n v="0"/>
  </r>
  <r>
    <s v="TXN_000040"/>
    <s v="CORP_017"/>
    <x v="2"/>
    <x v="2"/>
    <x v="1"/>
    <s v="12:15–12:45"/>
    <s v="AlaCarte"/>
    <n v="3"/>
    <n v="60.6"/>
    <s v="Cash"/>
    <s v="In-store"/>
    <n v="5"/>
    <n v="0"/>
  </r>
  <r>
    <s v="TXN_000041"/>
    <s v="CORP_049"/>
    <x v="2"/>
    <x v="2"/>
    <x v="1"/>
    <s v="12:15–12:45"/>
    <s v="Buffet"/>
    <n v="6"/>
    <n v="124.5"/>
    <s v="Credit Card"/>
    <s v="In-store"/>
    <n v="5"/>
    <n v="1"/>
  </r>
  <r>
    <s v="TXN_000042"/>
    <s v="CORP_005"/>
    <x v="2"/>
    <x v="2"/>
    <x v="1"/>
    <s v="12:15–12:45"/>
    <s v="Buffet"/>
    <n v="2"/>
    <n v="40"/>
    <s v="Credit Card"/>
    <s v="In-store"/>
    <n v="5"/>
    <n v="1"/>
  </r>
  <r>
    <s v="TXN_000043"/>
    <s v="CORP_070"/>
    <x v="2"/>
    <x v="2"/>
    <x v="1"/>
    <s v="12:15–12:45"/>
    <s v="Buffet"/>
    <n v="2"/>
    <n v="44.5"/>
    <s v="Digital Wallet"/>
    <s v="Takeaway"/>
    <n v="5"/>
    <n v="1"/>
  </r>
  <r>
    <s v="TXN_000044"/>
    <s v="CORP_054"/>
    <x v="2"/>
    <x v="2"/>
    <x v="1"/>
    <s v="12:15–12:45"/>
    <s v="Buffet"/>
    <n v="2"/>
    <n v="49"/>
    <s v="Credit Card"/>
    <s v="In-store"/>
    <n v="5"/>
    <n v="1"/>
  </r>
  <r>
    <s v="TXN_000045"/>
    <s v="CORP_068"/>
    <x v="2"/>
    <x v="2"/>
    <x v="1"/>
    <s v="12:45–13:15"/>
    <s v="AlaCarte"/>
    <n v="3"/>
    <n v="43.39"/>
    <s v="Credit Card"/>
    <s v="Takeaway"/>
    <n v="5"/>
    <n v="0"/>
  </r>
  <r>
    <s v="TXN_000046"/>
    <s v="WALK_018"/>
    <x v="2"/>
    <x v="2"/>
    <x v="1"/>
    <s v="13:15–13:45"/>
    <s v="AlaCarte"/>
    <n v="1"/>
    <n v="13.86"/>
    <s v="Cash"/>
    <s v="In-store"/>
    <n v="5"/>
    <n v="0"/>
  </r>
  <r>
    <s v="TXN_000047"/>
    <s v="CORP_065"/>
    <x v="2"/>
    <x v="2"/>
    <x v="1"/>
    <s v="13:15–13:45"/>
    <s v="Buffet"/>
    <n v="2"/>
    <n v="40"/>
    <s v="Cash"/>
    <s v="In-store"/>
    <n v="5"/>
    <n v="1"/>
  </r>
  <r>
    <s v="TXN_000048"/>
    <s v="CORP_072"/>
    <x v="2"/>
    <x v="2"/>
    <x v="1"/>
    <s v="13:15–13:45"/>
    <s v="AlaCarte"/>
    <n v="1"/>
    <n v="19.41"/>
    <s v="Credit Card"/>
    <s v="In-store"/>
    <n v="5"/>
    <n v="0"/>
  </r>
  <r>
    <s v="TXN_000049"/>
    <s v="WALK_097"/>
    <x v="2"/>
    <x v="2"/>
    <x v="1"/>
    <s v="13:15–13:45"/>
    <s v="Buffet"/>
    <n v="1"/>
    <n v="20"/>
    <s v="Credit Card"/>
    <s v="In-store"/>
    <n v="5"/>
    <n v="1"/>
  </r>
  <r>
    <s v="TXN_000050"/>
    <s v="WALK_027"/>
    <x v="2"/>
    <x v="2"/>
    <x v="1"/>
    <s v="13:45–14:15"/>
    <s v="Buffet"/>
    <n v="2"/>
    <n v="40"/>
    <s v="Cash"/>
    <s v="Takeaway"/>
    <n v="5"/>
    <n v="1"/>
  </r>
  <r>
    <s v="TXN_000051"/>
    <s v="CORP_041"/>
    <x v="2"/>
    <x v="2"/>
    <x v="1"/>
    <s v="13:45–14:15"/>
    <s v="AlaCarte"/>
    <n v="2"/>
    <n v="45.77"/>
    <s v="Digital Wallet"/>
    <s v="In-store"/>
    <n v="5"/>
    <n v="0"/>
  </r>
  <r>
    <s v="TXN_000052"/>
    <s v="CORP_076"/>
    <x v="3"/>
    <x v="3"/>
    <x v="0"/>
    <s v="18:00–18:30"/>
    <s v="AlaCarte"/>
    <n v="4"/>
    <n v="102.25"/>
    <s v="Cash"/>
    <s v="In-store"/>
    <n v="6"/>
    <n v="0"/>
  </r>
  <r>
    <s v="TXN_000053"/>
    <s v="HOTEL_031"/>
    <x v="3"/>
    <x v="3"/>
    <x v="0"/>
    <s v="18:30–19:00"/>
    <s v="AlaCarte"/>
    <n v="3"/>
    <n v="59.45"/>
    <s v="Digital Wallet"/>
    <s v="Takeaway"/>
    <n v="6"/>
    <n v="0"/>
  </r>
  <r>
    <s v="TXN_000054"/>
    <s v="WALK_034"/>
    <x v="3"/>
    <x v="3"/>
    <x v="0"/>
    <s v="18:30–19:00"/>
    <s v="AlaCarte"/>
    <n v="2"/>
    <n v="49.93"/>
    <s v="Credit Card"/>
    <s v="In-store"/>
    <n v="6"/>
    <n v="0"/>
  </r>
  <r>
    <s v="TXN_000055"/>
    <s v="WALK_073"/>
    <x v="3"/>
    <x v="3"/>
    <x v="0"/>
    <s v="18:30–19:00"/>
    <s v="AlaCarte"/>
    <n v="5"/>
    <n v="142.03"/>
    <s v="Cash"/>
    <s v="In-store"/>
    <n v="6"/>
    <n v="0"/>
  </r>
  <r>
    <s v="TXN_000056"/>
    <s v="HOTEL_022"/>
    <x v="3"/>
    <x v="3"/>
    <x v="0"/>
    <s v="18:30–19:00"/>
    <s v="AlaCarte"/>
    <n v="1"/>
    <n v="40.909999999999997"/>
    <s v="Cash"/>
    <s v="Takeaway"/>
    <n v="6"/>
    <n v="0"/>
  </r>
  <r>
    <s v="TXN_000057"/>
    <s v="WALK_117"/>
    <x v="3"/>
    <x v="3"/>
    <x v="0"/>
    <s v="19:00–19:30"/>
    <s v="AlaCarte"/>
    <n v="2"/>
    <n v="32.83"/>
    <s v="Cash"/>
    <s v="In-store"/>
    <n v="6"/>
    <n v="0"/>
  </r>
  <r>
    <s v="TXN_000058"/>
    <s v="WALK_022"/>
    <x v="3"/>
    <x v="3"/>
    <x v="0"/>
    <s v="19:00–19:30"/>
    <s v="AlaCarte"/>
    <n v="1"/>
    <n v="20.38"/>
    <s v="Credit Card"/>
    <s v="In-store"/>
    <n v="6"/>
    <n v="0"/>
  </r>
  <r>
    <s v="TXN_000059"/>
    <s v="WALK_059"/>
    <x v="3"/>
    <x v="3"/>
    <x v="0"/>
    <s v="19:00–19:30"/>
    <s v="AlaCarte"/>
    <n v="5"/>
    <n v="178.41"/>
    <s v="Digital Wallet"/>
    <s v="In-store"/>
    <n v="6"/>
    <n v="0"/>
  </r>
  <r>
    <s v="TXN_000060"/>
    <s v="WALK_014"/>
    <x v="3"/>
    <x v="3"/>
    <x v="0"/>
    <s v="19:00–19:30"/>
    <s v="AlaCarte"/>
    <n v="2"/>
    <n v="35.97"/>
    <s v="Cash"/>
    <s v="In-store"/>
    <n v="6"/>
    <n v="0"/>
  </r>
  <r>
    <s v="TXN_000061"/>
    <s v="HOTEL_007"/>
    <x v="3"/>
    <x v="3"/>
    <x v="0"/>
    <s v="19:00–19:30"/>
    <s v="AlaCarte"/>
    <n v="1"/>
    <n v="43.56"/>
    <s v="Cash"/>
    <s v="In-store"/>
    <n v="6"/>
    <n v="0"/>
  </r>
  <r>
    <s v="TXN_000062"/>
    <s v="WALK_037"/>
    <x v="3"/>
    <x v="3"/>
    <x v="0"/>
    <s v="19:00–19:30"/>
    <s v="AlaCarte"/>
    <n v="2"/>
    <n v="51.41"/>
    <s v="Cash"/>
    <s v="Takeaway"/>
    <n v="6"/>
    <n v="0"/>
  </r>
  <r>
    <s v="TXN_000063"/>
    <s v="WALK_038"/>
    <x v="3"/>
    <x v="3"/>
    <x v="0"/>
    <s v="19:00–19:30"/>
    <s v="AlaCarte"/>
    <n v="3"/>
    <n v="75.599999999999994"/>
    <s v="Credit Card"/>
    <s v="In-store"/>
    <n v="6"/>
    <n v="0"/>
  </r>
  <r>
    <s v="TXN_000064"/>
    <s v="HOTEL_018"/>
    <x v="3"/>
    <x v="3"/>
    <x v="0"/>
    <s v="19:00–19:30"/>
    <s v="AlaCarte"/>
    <n v="2"/>
    <n v="41.59"/>
    <s v="Digital Wallet"/>
    <s v="In-store"/>
    <n v="6"/>
    <n v="0"/>
  </r>
  <r>
    <s v="TXN_000065"/>
    <s v="WALK_021"/>
    <x v="3"/>
    <x v="3"/>
    <x v="0"/>
    <s v="19:30–20:00"/>
    <s v="AlaCarte"/>
    <n v="4"/>
    <n v="101.47"/>
    <s v="Credit Card"/>
    <s v="In-store"/>
    <n v="6"/>
    <n v="0"/>
  </r>
  <r>
    <s v="TXN_000066"/>
    <s v="HOTEL_002"/>
    <x v="3"/>
    <x v="3"/>
    <x v="0"/>
    <s v="19:30–20:00"/>
    <s v="AlaCarte"/>
    <n v="2"/>
    <n v="47.93"/>
    <s v="Cash"/>
    <s v="In-store"/>
    <n v="6"/>
    <n v="0"/>
  </r>
  <r>
    <s v="TXN_000067"/>
    <s v="HOTEL_034"/>
    <x v="3"/>
    <x v="3"/>
    <x v="0"/>
    <s v="19:30–20:00"/>
    <s v="AlaCarte"/>
    <n v="3"/>
    <n v="67.39"/>
    <s v="Digital Wallet"/>
    <s v="In-store"/>
    <n v="6"/>
    <n v="0"/>
  </r>
  <r>
    <s v="TXN_000068"/>
    <s v="WALK_033"/>
    <x v="3"/>
    <x v="3"/>
    <x v="0"/>
    <s v="19:30–20:00"/>
    <s v="AlaCarte"/>
    <n v="4"/>
    <n v="137.5"/>
    <s v="Cash"/>
    <s v="In-store"/>
    <n v="6"/>
    <n v="0"/>
  </r>
  <r>
    <s v="TXN_000069"/>
    <s v="WALK_016"/>
    <x v="3"/>
    <x v="3"/>
    <x v="0"/>
    <s v="20:00–20:30"/>
    <s v="AlaCarte"/>
    <n v="1"/>
    <n v="26.98"/>
    <s v="Credit Card"/>
    <s v="Takeaway"/>
    <n v="6"/>
    <n v="0"/>
  </r>
  <r>
    <s v="TXN_000070"/>
    <s v="CORP_036"/>
    <x v="3"/>
    <x v="3"/>
    <x v="0"/>
    <s v="20:00–20:30"/>
    <s v="AlaCarte"/>
    <n v="4"/>
    <n v="98.35"/>
    <s v="Cash"/>
    <s v="In-store"/>
    <n v="6"/>
    <n v="0"/>
  </r>
  <r>
    <s v="TXN_000071"/>
    <s v="HOTEL_023"/>
    <x v="3"/>
    <x v="3"/>
    <x v="0"/>
    <s v="20:00–20:30"/>
    <s v="AlaCarte"/>
    <n v="6"/>
    <n v="245.84"/>
    <s v="Credit Card"/>
    <s v="In-store"/>
    <n v="6"/>
    <n v="0"/>
  </r>
  <r>
    <s v="TXN_000072"/>
    <s v="WALK_105"/>
    <x v="3"/>
    <x v="3"/>
    <x v="0"/>
    <s v="20:00–20:30"/>
    <s v="AlaCarte"/>
    <n v="4"/>
    <n v="76.84"/>
    <s v="Credit Card"/>
    <s v="In-store"/>
    <n v="6"/>
    <n v="0"/>
  </r>
  <r>
    <s v="TXN_000073"/>
    <s v="CORP_032"/>
    <x v="3"/>
    <x v="3"/>
    <x v="0"/>
    <s v="20:00–20:30"/>
    <s v="AlaCarte"/>
    <n v="5"/>
    <n v="219.47"/>
    <s v="Digital Wallet"/>
    <s v="In-store"/>
    <n v="6"/>
    <n v="0"/>
  </r>
  <r>
    <s v="TXN_000074"/>
    <s v="CORP_048"/>
    <x v="3"/>
    <x v="3"/>
    <x v="1"/>
    <s v="13:15–13:45"/>
    <s v="AlaCarte"/>
    <n v="3"/>
    <n v="67.16"/>
    <s v="Credit Card"/>
    <s v="Takeaway"/>
    <n v="6"/>
    <n v="0"/>
  </r>
  <r>
    <s v="TXN_000075"/>
    <s v="HOTEL_003"/>
    <x v="4"/>
    <x v="4"/>
    <x v="0"/>
    <s v="18:00–18:30"/>
    <s v="AlaCarte"/>
    <n v="5"/>
    <n v="292.7"/>
    <s v="Credit Card"/>
    <s v="Takeaway"/>
    <n v="7"/>
    <n v="0"/>
  </r>
  <r>
    <s v="TXN_000076"/>
    <s v="WALK_010"/>
    <x v="4"/>
    <x v="4"/>
    <x v="0"/>
    <s v="18:00–18:30"/>
    <s v="AlaCarte"/>
    <n v="1"/>
    <n v="18.37"/>
    <s v="Cash"/>
    <s v="Takeaway"/>
    <n v="7"/>
    <n v="0"/>
  </r>
  <r>
    <s v="TXN_000077"/>
    <s v="HOTEL_012"/>
    <x v="4"/>
    <x v="4"/>
    <x v="0"/>
    <s v="18:30–19:00"/>
    <s v="AlaCarte"/>
    <n v="5"/>
    <n v="175.32"/>
    <s v="Digital Wallet"/>
    <s v="In-store"/>
    <n v="7"/>
    <n v="0"/>
  </r>
  <r>
    <s v="TXN_000078"/>
    <s v="WALK_114"/>
    <x v="4"/>
    <x v="4"/>
    <x v="0"/>
    <s v="18:30–19:00"/>
    <s v="AlaCarte"/>
    <n v="5"/>
    <n v="106.23"/>
    <s v="Credit Card"/>
    <s v="Takeaway"/>
    <n v="7"/>
    <n v="0"/>
  </r>
  <r>
    <s v="TXN_000079"/>
    <s v="WALK_036"/>
    <x v="4"/>
    <x v="4"/>
    <x v="0"/>
    <s v="18:30–19:00"/>
    <s v="AlaCarte"/>
    <n v="5"/>
    <n v="149.76"/>
    <s v="Cash"/>
    <s v="In-store"/>
    <n v="7"/>
    <n v="0"/>
  </r>
  <r>
    <s v="TXN_000080"/>
    <s v="WALK_062"/>
    <x v="4"/>
    <x v="4"/>
    <x v="0"/>
    <s v="18:30–19:00"/>
    <s v="AlaCarte"/>
    <n v="4"/>
    <n v="61.58"/>
    <s v="Credit Card"/>
    <s v="Takeaway"/>
    <n v="7"/>
    <n v="0"/>
  </r>
  <r>
    <s v="TXN_000081"/>
    <s v="HOTEL_026"/>
    <x v="4"/>
    <x v="4"/>
    <x v="0"/>
    <s v="18:30–19:00"/>
    <s v="AlaCarte"/>
    <n v="5"/>
    <n v="97.41"/>
    <s v="Cash"/>
    <s v="In-store"/>
    <n v="7"/>
    <n v="0"/>
  </r>
  <r>
    <s v="TXN_000082"/>
    <s v="WALK_059"/>
    <x v="4"/>
    <x v="4"/>
    <x v="0"/>
    <s v="19:00–19:30"/>
    <s v="AlaCarte"/>
    <n v="2"/>
    <n v="68.66"/>
    <s v="Credit Card"/>
    <s v="Takeaway"/>
    <n v="7"/>
    <n v="0"/>
  </r>
  <r>
    <s v="TXN_000083"/>
    <s v="CORP_010"/>
    <x v="4"/>
    <x v="4"/>
    <x v="0"/>
    <s v="19:00–19:30"/>
    <s v="AlaCarte"/>
    <n v="5"/>
    <n v="116.34"/>
    <s v="Credit Card"/>
    <s v="Takeaway"/>
    <n v="7"/>
    <n v="0"/>
  </r>
  <r>
    <s v="TXN_000084"/>
    <s v="HOTEL_026"/>
    <x v="4"/>
    <x v="4"/>
    <x v="0"/>
    <s v="19:00–19:30"/>
    <s v="AlaCarte"/>
    <n v="3"/>
    <n v="89.82"/>
    <s v="Cash"/>
    <s v="Takeaway"/>
    <n v="7"/>
    <n v="0"/>
  </r>
  <r>
    <s v="TXN_000085"/>
    <s v="HOTEL_006"/>
    <x v="4"/>
    <x v="4"/>
    <x v="0"/>
    <s v="19:00–19:30"/>
    <s v="AlaCarte"/>
    <n v="3"/>
    <n v="59.15"/>
    <s v="Credit Card"/>
    <s v="In-store"/>
    <n v="7"/>
    <n v="0"/>
  </r>
  <r>
    <s v="TXN_000086"/>
    <s v="WALK_057"/>
    <x v="4"/>
    <x v="4"/>
    <x v="0"/>
    <s v="19:30–20:00"/>
    <s v="AlaCarte"/>
    <n v="5"/>
    <n v="243.17"/>
    <s v="Credit Card"/>
    <s v="In-store"/>
    <n v="7"/>
    <n v="0"/>
  </r>
  <r>
    <s v="TXN_000087"/>
    <s v="WALK_114"/>
    <x v="4"/>
    <x v="4"/>
    <x v="0"/>
    <s v="19:30–20:00"/>
    <s v="AlaCarte"/>
    <n v="4"/>
    <n v="101.84"/>
    <s v="Credit Card"/>
    <s v="In-store"/>
    <n v="7"/>
    <n v="0"/>
  </r>
  <r>
    <s v="TXN_000088"/>
    <s v="HOTEL_008"/>
    <x v="4"/>
    <x v="4"/>
    <x v="0"/>
    <s v="19:30–20:00"/>
    <s v="AlaCarte"/>
    <n v="3"/>
    <n v="99.35"/>
    <s v="Credit Card"/>
    <s v="Takeaway"/>
    <n v="7"/>
    <n v="0"/>
  </r>
  <r>
    <s v="TXN_000089"/>
    <s v="CORP_031"/>
    <x v="4"/>
    <x v="4"/>
    <x v="0"/>
    <s v="19:30–20:00"/>
    <s v="AlaCarte"/>
    <n v="2"/>
    <n v="111.63"/>
    <s v="Credit Card"/>
    <s v="In-store"/>
    <n v="7"/>
    <n v="0"/>
  </r>
  <r>
    <s v="TXN_000090"/>
    <s v="WALK_002"/>
    <x v="4"/>
    <x v="4"/>
    <x v="0"/>
    <s v="19:30–20:00"/>
    <s v="AlaCarte"/>
    <n v="3"/>
    <n v="118.92"/>
    <s v="Digital Wallet"/>
    <s v="Takeaway"/>
    <n v="7"/>
    <n v="0"/>
  </r>
  <r>
    <s v="TXN_000091"/>
    <s v="HOTEL_039"/>
    <x v="4"/>
    <x v="4"/>
    <x v="0"/>
    <s v="20:00–20:30"/>
    <s v="AlaCarte"/>
    <n v="4"/>
    <n v="207.71"/>
    <s v="Credit Card"/>
    <s v="In-store"/>
    <n v="7"/>
    <n v="0"/>
  </r>
  <r>
    <s v="TXN_000092"/>
    <s v="HOTEL_027"/>
    <x v="4"/>
    <x v="4"/>
    <x v="0"/>
    <s v="20:00–20:30"/>
    <s v="AlaCarte"/>
    <n v="2"/>
    <n v="61.79"/>
    <s v="Cash"/>
    <s v="In-store"/>
    <n v="7"/>
    <n v="0"/>
  </r>
  <r>
    <s v="TXN_000093"/>
    <s v="WALK_084"/>
    <x v="4"/>
    <x v="4"/>
    <x v="0"/>
    <s v="20:00–20:30"/>
    <s v="AlaCarte"/>
    <n v="3"/>
    <n v="47.26"/>
    <s v="Credit Card"/>
    <s v="In-store"/>
    <n v="7"/>
    <n v="0"/>
  </r>
  <r>
    <s v="TXN_000094"/>
    <s v="WALK_118"/>
    <x v="4"/>
    <x v="4"/>
    <x v="0"/>
    <s v="20:00–20:30"/>
    <s v="AlaCarte"/>
    <n v="1"/>
    <n v="25.42"/>
    <s v="Cash"/>
    <s v="In-store"/>
    <n v="7"/>
    <n v="0"/>
  </r>
  <r>
    <s v="TXN_000095"/>
    <s v="HOTEL_004"/>
    <x v="4"/>
    <x v="4"/>
    <x v="0"/>
    <s v="20:00–20:30"/>
    <s v="AlaCarte"/>
    <n v="5"/>
    <n v="58.4"/>
    <s v="Credit Card"/>
    <s v="In-store"/>
    <n v="7"/>
    <n v="0"/>
  </r>
  <r>
    <s v="TXN_000096"/>
    <s v="WALK_085"/>
    <x v="4"/>
    <x v="4"/>
    <x v="1"/>
    <s v="12:15–12:45"/>
    <s v="AlaCarte"/>
    <n v="2"/>
    <n v="41.13"/>
    <s v="Digital Wallet"/>
    <s v="In-store"/>
    <n v="7"/>
    <n v="0"/>
  </r>
  <r>
    <s v="TXN_000097"/>
    <s v="CORP_070"/>
    <x v="4"/>
    <x v="4"/>
    <x v="1"/>
    <s v="12:15–12:45"/>
    <s v="AlaCarte"/>
    <n v="2"/>
    <n v="31.04"/>
    <s v="Cash"/>
    <s v="Takeaway"/>
    <n v="7"/>
    <n v="0"/>
  </r>
  <r>
    <s v="TXN_000098"/>
    <s v="WALK_041"/>
    <x v="4"/>
    <x v="4"/>
    <x v="1"/>
    <s v="12:45–13:15"/>
    <s v="AlaCarte"/>
    <n v="4"/>
    <n v="66.209999999999994"/>
    <s v="Credit Card"/>
    <s v="Takeaway"/>
    <n v="7"/>
    <n v="0"/>
  </r>
  <r>
    <s v="TXN_000099"/>
    <s v="HOTEL_007"/>
    <x v="5"/>
    <x v="5"/>
    <x v="0"/>
    <s v="18:00–18:30"/>
    <s v="AlaCarte"/>
    <n v="2"/>
    <n v="99.02"/>
    <s v="Credit Card"/>
    <s v="In-store"/>
    <n v="1"/>
    <n v="0"/>
  </r>
  <r>
    <s v="TXN_000100"/>
    <s v="CORP_014"/>
    <x v="5"/>
    <x v="5"/>
    <x v="0"/>
    <s v="18:00–18:30"/>
    <s v="AlaCarte"/>
    <n v="6"/>
    <n v="126.08"/>
    <s v="Credit Card"/>
    <s v="In-store"/>
    <n v="1"/>
    <n v="0"/>
  </r>
  <r>
    <s v="TXN_000101"/>
    <s v="WALK_027"/>
    <x v="5"/>
    <x v="5"/>
    <x v="0"/>
    <s v="18:00–18:30"/>
    <s v="AlaCarte"/>
    <n v="3"/>
    <n v="85.91"/>
    <s v="Digital Wallet"/>
    <s v="In-store"/>
    <n v="1"/>
    <n v="0"/>
  </r>
  <r>
    <s v="TXN_000102"/>
    <s v="HOTEL_039"/>
    <x v="5"/>
    <x v="5"/>
    <x v="0"/>
    <s v="18:30–19:00"/>
    <s v="AlaCarte"/>
    <n v="5"/>
    <n v="104.22"/>
    <s v="Credit Card"/>
    <s v="In-store"/>
    <n v="1"/>
    <n v="0"/>
  </r>
  <r>
    <s v="TXN_000103"/>
    <s v="WALK_095"/>
    <x v="5"/>
    <x v="5"/>
    <x v="0"/>
    <s v="18:30–19:00"/>
    <s v="AlaCarte"/>
    <n v="2"/>
    <n v="34.1"/>
    <s v="Cash"/>
    <s v="In-store"/>
    <n v="1"/>
    <n v="0"/>
  </r>
  <r>
    <s v="TXN_000104"/>
    <s v="WALK_019"/>
    <x v="5"/>
    <x v="5"/>
    <x v="0"/>
    <s v="18:30–19:00"/>
    <s v="AlaCarte"/>
    <n v="4"/>
    <n v="104.62"/>
    <s v="Credit Card"/>
    <s v="In-store"/>
    <n v="1"/>
    <n v="0"/>
  </r>
  <r>
    <s v="TXN_000105"/>
    <s v="WALK_120"/>
    <x v="5"/>
    <x v="5"/>
    <x v="0"/>
    <s v="18:30–19:00"/>
    <s v="AlaCarte"/>
    <n v="3"/>
    <n v="72.91"/>
    <s v="Credit Card"/>
    <s v="In-store"/>
    <n v="1"/>
    <n v="0"/>
  </r>
  <r>
    <s v="TXN_000106"/>
    <s v="CORP_049"/>
    <x v="5"/>
    <x v="5"/>
    <x v="0"/>
    <s v="19:00–19:30"/>
    <s v="AlaCarte"/>
    <n v="2"/>
    <n v="76.14"/>
    <s v="Credit Card"/>
    <s v="In-store"/>
    <n v="1"/>
    <n v="0"/>
  </r>
  <r>
    <s v="TXN_000107"/>
    <s v="WALK_041"/>
    <x v="5"/>
    <x v="5"/>
    <x v="0"/>
    <s v="19:00–19:30"/>
    <s v="AlaCarte"/>
    <n v="4"/>
    <n v="96.46"/>
    <s v="Credit Card"/>
    <s v="In-store"/>
    <n v="1"/>
    <n v="0"/>
  </r>
  <r>
    <s v="TXN_000108"/>
    <s v="WALK_055"/>
    <x v="5"/>
    <x v="5"/>
    <x v="0"/>
    <s v="19:00–19:30"/>
    <s v="AlaCarte"/>
    <n v="1"/>
    <n v="28.87"/>
    <s v="Cash"/>
    <s v="Takeaway"/>
    <n v="1"/>
    <n v="0"/>
  </r>
  <r>
    <s v="TXN_000109"/>
    <s v="CORP_062"/>
    <x v="5"/>
    <x v="5"/>
    <x v="0"/>
    <s v="19:00–19:30"/>
    <s v="AlaCarte"/>
    <n v="3"/>
    <n v="195.44"/>
    <s v="Credit Card"/>
    <s v="In-store"/>
    <n v="1"/>
    <n v="0"/>
  </r>
  <r>
    <s v="TXN_000110"/>
    <s v="WALK_022"/>
    <x v="5"/>
    <x v="5"/>
    <x v="0"/>
    <s v="19:00–19:30"/>
    <s v="AlaCarte"/>
    <n v="3"/>
    <n v="83.71"/>
    <s v="Credit Card"/>
    <s v="In-store"/>
    <n v="1"/>
    <n v="0"/>
  </r>
  <r>
    <s v="TXN_000111"/>
    <s v="CORP_042"/>
    <x v="5"/>
    <x v="5"/>
    <x v="0"/>
    <s v="19:00–19:30"/>
    <s v="AlaCarte"/>
    <n v="6"/>
    <n v="94.78"/>
    <s v="Digital Wallet"/>
    <s v="Takeaway"/>
    <n v="1"/>
    <n v="0"/>
  </r>
  <r>
    <s v="TXN_000112"/>
    <s v="WALK_042"/>
    <x v="5"/>
    <x v="5"/>
    <x v="0"/>
    <s v="19:30–20:00"/>
    <s v="AlaCarte"/>
    <n v="3"/>
    <n v="142.19999999999999"/>
    <s v="Credit Card"/>
    <s v="In-store"/>
    <n v="1"/>
    <n v="0"/>
  </r>
  <r>
    <s v="TXN_000113"/>
    <s v="WALK_020"/>
    <x v="5"/>
    <x v="5"/>
    <x v="0"/>
    <s v="19:30–20:00"/>
    <s v="AlaCarte"/>
    <n v="2"/>
    <n v="32.92"/>
    <s v="Credit Card"/>
    <s v="In-store"/>
    <n v="1"/>
    <n v="0"/>
  </r>
  <r>
    <s v="TXN_000114"/>
    <s v="WALK_028"/>
    <x v="5"/>
    <x v="5"/>
    <x v="0"/>
    <s v="19:30–20:00"/>
    <s v="AlaCarte"/>
    <n v="3"/>
    <n v="60.09"/>
    <s v="Digital Wallet"/>
    <s v="In-store"/>
    <n v="1"/>
    <n v="0"/>
  </r>
  <r>
    <s v="TXN_000115"/>
    <s v="WALK_008"/>
    <x v="5"/>
    <x v="5"/>
    <x v="0"/>
    <s v="19:30–20:00"/>
    <s v="AlaCarte"/>
    <n v="2"/>
    <n v="28.23"/>
    <s v="Digital Wallet"/>
    <s v="Takeaway"/>
    <n v="1"/>
    <n v="0"/>
  </r>
  <r>
    <s v="TXN_000116"/>
    <s v="HOTEL_003"/>
    <x v="5"/>
    <x v="5"/>
    <x v="0"/>
    <s v="20:00–20:30"/>
    <s v="AlaCarte"/>
    <n v="2"/>
    <n v="73.63"/>
    <s v="Digital Wallet"/>
    <s v="In-store"/>
    <n v="1"/>
    <n v="0"/>
  </r>
  <r>
    <s v="TXN_000117"/>
    <s v="WALK_059"/>
    <x v="5"/>
    <x v="5"/>
    <x v="0"/>
    <s v="20:00–20:30"/>
    <s v="AlaCarte"/>
    <n v="3"/>
    <n v="67.91"/>
    <s v="Credit Card"/>
    <s v="Takeaway"/>
    <n v="1"/>
    <n v="0"/>
  </r>
  <r>
    <s v="TXN_000118"/>
    <s v="CORP_046"/>
    <x v="5"/>
    <x v="5"/>
    <x v="1"/>
    <s v="12:15–12:45"/>
    <s v="AlaCarte"/>
    <n v="4"/>
    <n v="85.18"/>
    <s v="Credit Card"/>
    <s v="Takeaway"/>
    <n v="1"/>
    <n v="0"/>
  </r>
  <r>
    <s v="TXN_000119"/>
    <s v="WALK_010"/>
    <x v="5"/>
    <x v="5"/>
    <x v="1"/>
    <s v="12:45–13:15"/>
    <s v="AlaCarte"/>
    <n v="5"/>
    <n v="133.91999999999999"/>
    <s v="Credit Card"/>
    <s v="Takeaway"/>
    <n v="1"/>
    <n v="0"/>
  </r>
  <r>
    <s v="TXN_000120"/>
    <s v="WALK_005"/>
    <x v="5"/>
    <x v="5"/>
    <x v="1"/>
    <s v="12:45–13:15"/>
    <s v="AlaCarte"/>
    <n v="1"/>
    <n v="22.22"/>
    <s v="Credit Card"/>
    <s v="In-store"/>
    <n v="1"/>
    <n v="0"/>
  </r>
  <r>
    <s v="TXN_000121"/>
    <s v="CORP_077"/>
    <x v="5"/>
    <x v="5"/>
    <x v="1"/>
    <s v="12:45–13:15"/>
    <s v="AlaCarte"/>
    <n v="3"/>
    <n v="65.86"/>
    <s v="Credit Card"/>
    <s v="In-store"/>
    <n v="1"/>
    <n v="0"/>
  </r>
  <r>
    <s v="TXN_000122"/>
    <s v="WALK_108"/>
    <x v="6"/>
    <x v="6"/>
    <x v="0"/>
    <s v="18:00–18:30"/>
    <s v="AlaCarte"/>
    <n v="2"/>
    <n v="33.07"/>
    <s v="Cash"/>
    <s v="In-store"/>
    <n v="2"/>
    <n v="0"/>
  </r>
  <r>
    <s v="TXN_000123"/>
    <s v="WALK_026"/>
    <x v="6"/>
    <x v="6"/>
    <x v="0"/>
    <s v="18:00–18:30"/>
    <s v="AlaCarte"/>
    <n v="1"/>
    <n v="27.24"/>
    <s v="Digital Wallet"/>
    <s v="In-store"/>
    <n v="2"/>
    <n v="0"/>
  </r>
  <r>
    <s v="TXN_000124"/>
    <s v="WALK_011"/>
    <x v="6"/>
    <x v="6"/>
    <x v="0"/>
    <s v="18:30–19:00"/>
    <s v="AlaCarte"/>
    <n v="4"/>
    <n v="135.86000000000001"/>
    <s v="Credit Card"/>
    <s v="In-store"/>
    <n v="2"/>
    <n v="0"/>
  </r>
  <r>
    <s v="TXN_000125"/>
    <s v="WALK_043"/>
    <x v="6"/>
    <x v="6"/>
    <x v="0"/>
    <s v="18:30–19:00"/>
    <s v="AlaCarte"/>
    <n v="5"/>
    <n v="258.07"/>
    <s v="Credit Card"/>
    <s v="Takeaway"/>
    <n v="2"/>
    <n v="0"/>
  </r>
  <r>
    <s v="TXN_000126"/>
    <s v="WALK_024"/>
    <x v="6"/>
    <x v="6"/>
    <x v="0"/>
    <s v="18:30–19:00"/>
    <s v="AlaCarte"/>
    <n v="5"/>
    <n v="150.82"/>
    <s v="Digital Wallet"/>
    <s v="In-store"/>
    <n v="2"/>
    <n v="0"/>
  </r>
  <r>
    <s v="TXN_000127"/>
    <s v="WALK_045"/>
    <x v="6"/>
    <x v="6"/>
    <x v="0"/>
    <s v="18:30–19:00"/>
    <s v="AlaCarte"/>
    <n v="4"/>
    <n v="182.73"/>
    <s v="Credit Card"/>
    <s v="In-store"/>
    <n v="2"/>
    <n v="0"/>
  </r>
  <r>
    <s v="TXN_000128"/>
    <s v="HOTEL_035"/>
    <x v="6"/>
    <x v="6"/>
    <x v="0"/>
    <s v="18:30–19:00"/>
    <s v="AlaCarte"/>
    <n v="2"/>
    <n v="50.83"/>
    <s v="Cash"/>
    <s v="In-store"/>
    <n v="2"/>
    <n v="0"/>
  </r>
  <r>
    <s v="TXN_000129"/>
    <s v="WALK_078"/>
    <x v="6"/>
    <x v="6"/>
    <x v="0"/>
    <s v="18:30–19:00"/>
    <s v="AlaCarte"/>
    <n v="1"/>
    <n v="30.75"/>
    <s v="Digital Wallet"/>
    <s v="Takeaway"/>
    <n v="2"/>
    <n v="0"/>
  </r>
  <r>
    <s v="TXN_000130"/>
    <s v="WALK_069"/>
    <x v="6"/>
    <x v="6"/>
    <x v="0"/>
    <s v="18:30–19:00"/>
    <s v="AlaCarte"/>
    <n v="2"/>
    <n v="116.4"/>
    <s v="Cash"/>
    <s v="Takeaway"/>
    <n v="2"/>
    <n v="0"/>
  </r>
  <r>
    <s v="TXN_000131"/>
    <s v="CORP_021"/>
    <x v="6"/>
    <x v="6"/>
    <x v="0"/>
    <s v="19:00–19:30"/>
    <s v="AlaCarte"/>
    <n v="3"/>
    <n v="87.06"/>
    <s v="Cash"/>
    <s v="In-store"/>
    <n v="2"/>
    <n v="0"/>
  </r>
  <r>
    <s v="TXN_000132"/>
    <s v="WALK_074"/>
    <x v="6"/>
    <x v="6"/>
    <x v="0"/>
    <s v="19:00–19:30"/>
    <s v="AlaCarte"/>
    <n v="2"/>
    <n v="94.99"/>
    <s v="Credit Card"/>
    <s v="In-store"/>
    <n v="2"/>
    <n v="0"/>
  </r>
  <r>
    <s v="TXN_000133"/>
    <s v="HOTEL_033"/>
    <x v="6"/>
    <x v="6"/>
    <x v="0"/>
    <s v="19:00–19:30"/>
    <s v="AlaCarte"/>
    <n v="3"/>
    <n v="158.08000000000001"/>
    <s v="Digital Wallet"/>
    <s v="In-store"/>
    <n v="2"/>
    <n v="0"/>
  </r>
  <r>
    <s v="TXN_000134"/>
    <s v="WALK_001"/>
    <x v="6"/>
    <x v="6"/>
    <x v="0"/>
    <s v="19:00–19:30"/>
    <s v="AlaCarte"/>
    <n v="2"/>
    <n v="49.95"/>
    <s v="Credit Card"/>
    <s v="In-store"/>
    <n v="2"/>
    <n v="0"/>
  </r>
  <r>
    <s v="TXN_000135"/>
    <s v="HOTEL_028"/>
    <x v="6"/>
    <x v="6"/>
    <x v="0"/>
    <s v="19:00–19:30"/>
    <s v="AlaCarte"/>
    <n v="3"/>
    <n v="59.68"/>
    <s v="Credit Card"/>
    <s v="In-store"/>
    <n v="2"/>
    <n v="0"/>
  </r>
  <r>
    <s v="TXN_000136"/>
    <s v="WALK_105"/>
    <x v="6"/>
    <x v="6"/>
    <x v="0"/>
    <s v="19:30–20:00"/>
    <s v="AlaCarte"/>
    <n v="4"/>
    <n v="89.23"/>
    <s v="Credit Card"/>
    <s v="Takeaway"/>
    <n v="2"/>
    <n v="0"/>
  </r>
  <r>
    <s v="TXN_000137"/>
    <s v="WALK_006"/>
    <x v="6"/>
    <x v="6"/>
    <x v="0"/>
    <s v="19:30–20:00"/>
    <s v="AlaCarte"/>
    <n v="4"/>
    <n v="108.73"/>
    <s v="Cash"/>
    <s v="In-store"/>
    <n v="2"/>
    <n v="0"/>
  </r>
  <r>
    <s v="TXN_000138"/>
    <s v="WALK_052"/>
    <x v="6"/>
    <x v="6"/>
    <x v="0"/>
    <s v="20:00–20:30"/>
    <s v="AlaCarte"/>
    <n v="4"/>
    <n v="157.19999999999999"/>
    <s v="Credit Card"/>
    <s v="Takeaway"/>
    <n v="2"/>
    <n v="0"/>
  </r>
  <r>
    <s v="TXN_000139"/>
    <s v="WALK_042"/>
    <x v="6"/>
    <x v="6"/>
    <x v="1"/>
    <s v="12:15–12:45"/>
    <s v="AlaCarte"/>
    <n v="2"/>
    <n v="41.17"/>
    <s v="Cash"/>
    <s v="In-store"/>
    <n v="2"/>
    <n v="0"/>
  </r>
  <r>
    <s v="TXN_000140"/>
    <s v="WALK_057"/>
    <x v="6"/>
    <x v="6"/>
    <x v="1"/>
    <s v="12:45–13:15"/>
    <s v="AlaCarte"/>
    <n v="5"/>
    <n v="87.71"/>
    <s v="Digital Wallet"/>
    <s v="In-store"/>
    <n v="2"/>
    <n v="0"/>
  </r>
  <r>
    <s v="TXN_000141"/>
    <s v="CORP_018"/>
    <x v="6"/>
    <x v="6"/>
    <x v="1"/>
    <s v="12:45–13:15"/>
    <s v="AlaCarte"/>
    <n v="3"/>
    <n v="49.63"/>
    <s v="Cash"/>
    <s v="In-store"/>
    <n v="2"/>
    <n v="0"/>
  </r>
  <r>
    <s v="TXN_000142"/>
    <s v="CORP_039"/>
    <x v="6"/>
    <x v="6"/>
    <x v="1"/>
    <s v="13:45–14:15"/>
    <s v="AlaCarte"/>
    <n v="4"/>
    <n v="66.290000000000006"/>
    <s v="Cash"/>
    <s v="In-store"/>
    <n v="2"/>
    <n v="0"/>
  </r>
  <r>
    <s v="TXN_000143"/>
    <s v="WALK_019"/>
    <x v="7"/>
    <x v="0"/>
    <x v="0"/>
    <s v="18:00–18:30"/>
    <s v="AlaCarte"/>
    <n v="2"/>
    <n v="124.12"/>
    <s v="Credit Card"/>
    <s v="In-store"/>
    <n v="3"/>
    <n v="0"/>
  </r>
  <r>
    <s v="TXN_000144"/>
    <s v="WALK_055"/>
    <x v="7"/>
    <x v="0"/>
    <x v="0"/>
    <s v="18:30–19:00"/>
    <s v="AlaCarte"/>
    <n v="3"/>
    <n v="160.88"/>
    <s v="Credit Card"/>
    <s v="In-store"/>
    <n v="3"/>
    <n v="0"/>
  </r>
  <r>
    <s v="TXN_000145"/>
    <s v="WALK_053"/>
    <x v="7"/>
    <x v="0"/>
    <x v="0"/>
    <s v="18:30–19:00"/>
    <s v="AlaCarte"/>
    <n v="2"/>
    <n v="44.05"/>
    <s v="Credit Card"/>
    <s v="In-store"/>
    <n v="3"/>
    <n v="0"/>
  </r>
  <r>
    <s v="TXN_000146"/>
    <s v="WALK_085"/>
    <x v="7"/>
    <x v="0"/>
    <x v="0"/>
    <s v="19:00–19:30"/>
    <s v="AlaCarte"/>
    <n v="1"/>
    <n v="19.55"/>
    <s v="Credit Card"/>
    <s v="In-store"/>
    <n v="3"/>
    <n v="0"/>
  </r>
  <r>
    <s v="TXN_000147"/>
    <s v="CORP_037"/>
    <x v="7"/>
    <x v="0"/>
    <x v="0"/>
    <s v="19:00–19:30"/>
    <s v="AlaCarte"/>
    <n v="1"/>
    <n v="31.77"/>
    <s v="Digital Wallet"/>
    <s v="Takeaway"/>
    <n v="3"/>
    <n v="0"/>
  </r>
  <r>
    <s v="TXN_000148"/>
    <s v="WALK_062"/>
    <x v="7"/>
    <x v="0"/>
    <x v="0"/>
    <s v="19:30–20:00"/>
    <s v="AlaCarte"/>
    <n v="2"/>
    <n v="65.52"/>
    <s v="Credit Card"/>
    <s v="In-store"/>
    <n v="3"/>
    <n v="0"/>
  </r>
  <r>
    <s v="TXN_000149"/>
    <s v="WALK_029"/>
    <x v="7"/>
    <x v="0"/>
    <x v="0"/>
    <s v="19:30–20:00"/>
    <s v="AlaCarte"/>
    <n v="3"/>
    <n v="62.15"/>
    <s v="Credit Card"/>
    <s v="In-store"/>
    <n v="3"/>
    <n v="0"/>
  </r>
  <r>
    <s v="TXN_000150"/>
    <s v="HOTEL_001"/>
    <x v="7"/>
    <x v="0"/>
    <x v="0"/>
    <s v="20:00–20:30"/>
    <s v="AlaCarte"/>
    <n v="5"/>
    <n v="99.83"/>
    <s v="Credit Card"/>
    <s v="In-store"/>
    <n v="3"/>
    <n v="0"/>
  </r>
  <r>
    <s v="TXN_000151"/>
    <s v="CORP_028"/>
    <x v="7"/>
    <x v="0"/>
    <x v="1"/>
    <s v="12:15–12:45"/>
    <s v="Buffet"/>
    <n v="2"/>
    <n v="40"/>
    <s v="Digital Wallet"/>
    <s v="In-store"/>
    <n v="3"/>
    <n v="1"/>
  </r>
  <r>
    <s v="TXN_000152"/>
    <s v="CORP_070"/>
    <x v="7"/>
    <x v="0"/>
    <x v="1"/>
    <s v="12:15–12:45"/>
    <s v="Buffet"/>
    <n v="3"/>
    <n v="60"/>
    <s v="Credit Card"/>
    <s v="Takeaway"/>
    <n v="3"/>
    <n v="1"/>
  </r>
  <r>
    <s v="TXN_000153"/>
    <s v="CORP_018"/>
    <x v="7"/>
    <x v="0"/>
    <x v="1"/>
    <s v="12:15–12:45"/>
    <s v="Buffet"/>
    <n v="4"/>
    <n v="84.5"/>
    <s v="Credit Card"/>
    <s v="In-store"/>
    <n v="3"/>
    <n v="1"/>
  </r>
  <r>
    <s v="TXN_000154"/>
    <s v="CORP_026"/>
    <x v="7"/>
    <x v="0"/>
    <x v="1"/>
    <s v="12:15–12:45"/>
    <s v="AlaCarte"/>
    <n v="2"/>
    <n v="43.47"/>
    <s v="Credit Card"/>
    <s v="In-store"/>
    <n v="3"/>
    <n v="0"/>
  </r>
  <r>
    <s v="TXN_000155"/>
    <s v="CORP_005"/>
    <x v="7"/>
    <x v="0"/>
    <x v="1"/>
    <s v="12:15–12:45"/>
    <s v="Buffet"/>
    <n v="7"/>
    <n v="149"/>
    <s v="Cash"/>
    <s v="In-store"/>
    <n v="3"/>
    <n v="1"/>
  </r>
  <r>
    <s v="TXN_000156"/>
    <s v="WALK_024"/>
    <x v="7"/>
    <x v="0"/>
    <x v="1"/>
    <s v="12:15–12:45"/>
    <s v="Buffet"/>
    <n v="3"/>
    <n v="69"/>
    <s v="Credit Card"/>
    <s v="In-store"/>
    <n v="3"/>
    <n v="1"/>
  </r>
  <r>
    <s v="TXN_000157"/>
    <s v="CORP_024"/>
    <x v="7"/>
    <x v="0"/>
    <x v="1"/>
    <s v="12:15–12:45"/>
    <s v="Buffet"/>
    <n v="3"/>
    <n v="64.5"/>
    <s v="Credit Card"/>
    <s v="In-store"/>
    <n v="3"/>
    <n v="1"/>
  </r>
  <r>
    <s v="TXN_000158"/>
    <s v="WALK_034"/>
    <x v="7"/>
    <x v="0"/>
    <x v="1"/>
    <s v="12:15–12:45"/>
    <s v="Buffet"/>
    <n v="6"/>
    <n v="133.5"/>
    <s v="Cash"/>
    <s v="In-store"/>
    <n v="3"/>
    <n v="1"/>
  </r>
  <r>
    <s v="TXN_000159"/>
    <s v="CORP_012"/>
    <x v="7"/>
    <x v="0"/>
    <x v="1"/>
    <s v="12:45–13:15"/>
    <s v="Buffet"/>
    <n v="3"/>
    <n v="64.5"/>
    <s v="Digital Wallet"/>
    <s v="In-store"/>
    <n v="3"/>
    <n v="1"/>
  </r>
  <r>
    <s v="TXN_000160"/>
    <s v="WALK_011"/>
    <x v="7"/>
    <x v="0"/>
    <x v="1"/>
    <s v="13:15–13:45"/>
    <s v="AlaCarte"/>
    <n v="2"/>
    <n v="39.840000000000003"/>
    <s v="Credit Card"/>
    <s v="In-store"/>
    <n v="3"/>
    <n v="0"/>
  </r>
  <r>
    <s v="TXN_000161"/>
    <s v="CORP_007"/>
    <x v="7"/>
    <x v="0"/>
    <x v="1"/>
    <s v="13:15–13:45"/>
    <s v="Buffet"/>
    <n v="1"/>
    <n v="20"/>
    <s v="Credit Card"/>
    <s v="In-store"/>
    <n v="3"/>
    <n v="1"/>
  </r>
  <r>
    <s v="TXN_000162"/>
    <s v="CORP_010"/>
    <x v="7"/>
    <x v="0"/>
    <x v="1"/>
    <s v="13:15–13:45"/>
    <s v="Buffet"/>
    <n v="3"/>
    <n v="69"/>
    <s v="Digital Wallet"/>
    <s v="In-store"/>
    <n v="3"/>
    <n v="1"/>
  </r>
  <r>
    <s v="TXN_000163"/>
    <s v="WALK_047"/>
    <x v="7"/>
    <x v="0"/>
    <x v="1"/>
    <s v="13:15–13:45"/>
    <s v="Buffet"/>
    <n v="2"/>
    <n v="44.5"/>
    <s v="Credit Card"/>
    <s v="Takeaway"/>
    <n v="3"/>
    <n v="1"/>
  </r>
  <r>
    <s v="TXN_000164"/>
    <s v="WALK_082"/>
    <x v="7"/>
    <x v="0"/>
    <x v="1"/>
    <s v="13:45–14:15"/>
    <s v="AlaCarte"/>
    <n v="5"/>
    <n v="108.68"/>
    <s v="Digital Wallet"/>
    <s v="Takeaway"/>
    <n v="3"/>
    <n v="0"/>
  </r>
  <r>
    <s v="TXN_000165"/>
    <s v="HOTEL_013"/>
    <x v="8"/>
    <x v="1"/>
    <x v="0"/>
    <s v="18:00–18:30"/>
    <s v="AlaCarte"/>
    <n v="2"/>
    <n v="72.900000000000006"/>
    <s v="Credit Card"/>
    <s v="In-store"/>
    <n v="4"/>
    <n v="0"/>
  </r>
  <r>
    <s v="TXN_000166"/>
    <s v="WALK_021"/>
    <x v="8"/>
    <x v="1"/>
    <x v="0"/>
    <s v="18:00–18:30"/>
    <s v="AlaCarte"/>
    <n v="3"/>
    <n v="65.290000000000006"/>
    <s v="Digital Wallet"/>
    <s v="In-store"/>
    <n v="4"/>
    <n v="0"/>
  </r>
  <r>
    <s v="TXN_000167"/>
    <s v="WALK_107"/>
    <x v="8"/>
    <x v="1"/>
    <x v="0"/>
    <s v="18:30–19:00"/>
    <s v="AlaCarte"/>
    <n v="3"/>
    <n v="51.43"/>
    <s v="Credit Card"/>
    <s v="In-store"/>
    <n v="4"/>
    <n v="0"/>
  </r>
  <r>
    <s v="TXN_000168"/>
    <s v="WALK_052"/>
    <x v="8"/>
    <x v="1"/>
    <x v="0"/>
    <s v="18:30–19:00"/>
    <s v="AlaCarte"/>
    <n v="4"/>
    <n v="174.59"/>
    <s v="Credit Card"/>
    <s v="Takeaway"/>
    <n v="4"/>
    <n v="0"/>
  </r>
  <r>
    <s v="TXN_000169"/>
    <s v="WALK_032"/>
    <x v="8"/>
    <x v="1"/>
    <x v="0"/>
    <s v="18:30–19:00"/>
    <s v="AlaCarte"/>
    <n v="2"/>
    <n v="56.66"/>
    <s v="Credit Card"/>
    <s v="In-store"/>
    <n v="4"/>
    <n v="0"/>
  </r>
  <r>
    <s v="TXN_000170"/>
    <s v="WALK_045"/>
    <x v="8"/>
    <x v="1"/>
    <x v="0"/>
    <s v="19:00–19:30"/>
    <s v="AlaCarte"/>
    <n v="2"/>
    <n v="60.73"/>
    <s v="Credit Card"/>
    <s v="In-store"/>
    <n v="4"/>
    <n v="0"/>
  </r>
  <r>
    <s v="TXN_000171"/>
    <s v="WALK_070"/>
    <x v="8"/>
    <x v="1"/>
    <x v="0"/>
    <s v="19:00–19:30"/>
    <s v="AlaCarte"/>
    <n v="3"/>
    <n v="121.85"/>
    <s v="Cash"/>
    <s v="In-store"/>
    <n v="4"/>
    <n v="0"/>
  </r>
  <r>
    <s v="TXN_000172"/>
    <s v="WALK_047"/>
    <x v="8"/>
    <x v="1"/>
    <x v="0"/>
    <s v="19:30–20:00"/>
    <s v="AlaCarte"/>
    <n v="5"/>
    <n v="178.95"/>
    <s v="Credit Card"/>
    <s v="In-store"/>
    <n v="4"/>
    <n v="0"/>
  </r>
  <r>
    <s v="TXN_000173"/>
    <s v="WALK_031"/>
    <x v="8"/>
    <x v="1"/>
    <x v="0"/>
    <s v="20:00–20:30"/>
    <s v="AlaCarte"/>
    <n v="3"/>
    <n v="77.989999999999995"/>
    <s v="Credit Card"/>
    <s v="In-store"/>
    <n v="4"/>
    <n v="0"/>
  </r>
  <r>
    <s v="TXN_000174"/>
    <s v="WALK_037"/>
    <x v="8"/>
    <x v="1"/>
    <x v="0"/>
    <s v="20:00–20:30"/>
    <s v="AlaCarte"/>
    <n v="2"/>
    <n v="44.95"/>
    <s v="Credit Card"/>
    <s v="In-store"/>
    <n v="4"/>
    <n v="0"/>
  </r>
  <r>
    <s v="TXN_000175"/>
    <s v="CORP_069"/>
    <x v="8"/>
    <x v="1"/>
    <x v="1"/>
    <s v="12:15–12:45"/>
    <s v="AlaCarte"/>
    <n v="2"/>
    <n v="32.82"/>
    <s v="Credit Card"/>
    <s v="In-store"/>
    <n v="4"/>
    <n v="0"/>
  </r>
  <r>
    <s v="TXN_000176"/>
    <s v="CORP_014"/>
    <x v="8"/>
    <x v="1"/>
    <x v="1"/>
    <s v="12:15–12:45"/>
    <s v="AlaCarte"/>
    <n v="4"/>
    <n v="74.510000000000005"/>
    <s v="Credit Card"/>
    <s v="In-store"/>
    <n v="4"/>
    <n v="0"/>
  </r>
  <r>
    <s v="TXN_000177"/>
    <s v="CORP_016"/>
    <x v="8"/>
    <x v="1"/>
    <x v="1"/>
    <s v="12:15–12:45"/>
    <s v="Buffet"/>
    <n v="2"/>
    <n v="40"/>
    <s v="Credit Card"/>
    <s v="In-store"/>
    <n v="4"/>
    <n v="1"/>
  </r>
  <r>
    <s v="TXN_000178"/>
    <s v="CORP_071"/>
    <x v="8"/>
    <x v="1"/>
    <x v="1"/>
    <s v="12:45–13:15"/>
    <s v="Buffet"/>
    <n v="3"/>
    <n v="64.5"/>
    <s v="Digital Wallet"/>
    <s v="In-store"/>
    <n v="4"/>
    <n v="1"/>
  </r>
  <r>
    <s v="TXN_000179"/>
    <s v="CORP_054"/>
    <x v="8"/>
    <x v="1"/>
    <x v="1"/>
    <s v="12:45–13:15"/>
    <s v="Buffet"/>
    <n v="2"/>
    <n v="40"/>
    <s v="Credit Card"/>
    <s v="Takeaway"/>
    <n v="4"/>
    <n v="1"/>
  </r>
  <r>
    <s v="TXN_000180"/>
    <s v="WALK_067"/>
    <x v="8"/>
    <x v="1"/>
    <x v="1"/>
    <s v="12:45–13:15"/>
    <s v="Buffet"/>
    <n v="5"/>
    <n v="113.5"/>
    <s v="Credit Card"/>
    <s v="Takeaway"/>
    <n v="4"/>
    <n v="1"/>
  </r>
  <r>
    <s v="TXN_000181"/>
    <s v="CORP_042"/>
    <x v="8"/>
    <x v="1"/>
    <x v="1"/>
    <s v="12:45–13:15"/>
    <s v="AlaCarte"/>
    <n v="2"/>
    <n v="49.65"/>
    <s v="Digital Wallet"/>
    <s v="Takeaway"/>
    <n v="4"/>
    <n v="0"/>
  </r>
  <r>
    <s v="TXN_000182"/>
    <s v="CORP_077"/>
    <x v="8"/>
    <x v="1"/>
    <x v="1"/>
    <s v="12:45–13:15"/>
    <s v="Buffet"/>
    <n v="3"/>
    <n v="60"/>
    <s v="Credit Card"/>
    <s v="In-store"/>
    <n v="4"/>
    <n v="1"/>
  </r>
  <r>
    <s v="TXN_000183"/>
    <s v="CORP_066"/>
    <x v="8"/>
    <x v="1"/>
    <x v="1"/>
    <s v="13:15–13:45"/>
    <s v="AlaCarte"/>
    <n v="3"/>
    <n v="81.78"/>
    <s v="Credit Card"/>
    <s v="In-store"/>
    <n v="4"/>
    <n v="0"/>
  </r>
  <r>
    <s v="TXN_000184"/>
    <s v="WALK_062"/>
    <x v="8"/>
    <x v="1"/>
    <x v="1"/>
    <s v="13:45–14:15"/>
    <s v="Buffet"/>
    <n v="4"/>
    <n v="84.5"/>
    <s v="Cash"/>
    <s v="In-store"/>
    <n v="4"/>
    <n v="1"/>
  </r>
  <r>
    <s v="TXN_000185"/>
    <s v="HOTEL_033"/>
    <x v="9"/>
    <x v="2"/>
    <x v="0"/>
    <s v="18:00–18:30"/>
    <s v="AlaCarte"/>
    <n v="1"/>
    <n v="13.7"/>
    <s v="Cash"/>
    <s v="In-store"/>
    <n v="5"/>
    <n v="0"/>
  </r>
  <r>
    <s v="TXN_000186"/>
    <s v="WALK_053"/>
    <x v="9"/>
    <x v="2"/>
    <x v="0"/>
    <s v="18:30–19:00"/>
    <s v="AlaCarte"/>
    <n v="2"/>
    <n v="29.75"/>
    <s v="Credit Card"/>
    <s v="In-store"/>
    <n v="5"/>
    <n v="0"/>
  </r>
  <r>
    <s v="TXN_000187"/>
    <s v="WALK_079"/>
    <x v="9"/>
    <x v="2"/>
    <x v="0"/>
    <s v="19:00–19:30"/>
    <s v="AlaCarte"/>
    <n v="3"/>
    <n v="114.35"/>
    <s v="Cash"/>
    <s v="In-store"/>
    <n v="5"/>
    <n v="0"/>
  </r>
  <r>
    <s v="TXN_000188"/>
    <s v="WALK_007"/>
    <x v="9"/>
    <x v="2"/>
    <x v="0"/>
    <s v="19:00–19:30"/>
    <s v="AlaCarte"/>
    <n v="3"/>
    <n v="77.28"/>
    <s v="Credit Card"/>
    <s v="In-store"/>
    <n v="5"/>
    <n v="0"/>
  </r>
  <r>
    <s v="TXN_000189"/>
    <s v="WALK_053"/>
    <x v="9"/>
    <x v="2"/>
    <x v="0"/>
    <s v="19:00–19:30"/>
    <s v="AlaCarte"/>
    <n v="2"/>
    <n v="57.03"/>
    <s v="Cash"/>
    <s v="In-store"/>
    <n v="5"/>
    <n v="0"/>
  </r>
  <r>
    <s v="TXN_000190"/>
    <s v="WALK_090"/>
    <x v="9"/>
    <x v="2"/>
    <x v="0"/>
    <s v="19:30–20:00"/>
    <s v="AlaCarte"/>
    <n v="4"/>
    <n v="137.61000000000001"/>
    <s v="Credit Card"/>
    <s v="Takeaway"/>
    <n v="5"/>
    <n v="0"/>
  </r>
  <r>
    <s v="TXN_000191"/>
    <s v="WALK_055"/>
    <x v="9"/>
    <x v="2"/>
    <x v="0"/>
    <s v="20:00–20:30"/>
    <s v="AlaCarte"/>
    <n v="3"/>
    <n v="62.5"/>
    <s v="Credit Card"/>
    <s v="In-store"/>
    <n v="5"/>
    <n v="0"/>
  </r>
  <r>
    <s v="TXN_000192"/>
    <s v="WALK_074"/>
    <x v="9"/>
    <x v="2"/>
    <x v="0"/>
    <s v="20:00–20:30"/>
    <s v="AlaCarte"/>
    <n v="3"/>
    <n v="89.31"/>
    <s v="Credit Card"/>
    <s v="In-store"/>
    <n v="5"/>
    <n v="0"/>
  </r>
  <r>
    <s v="TXN_000193"/>
    <s v="WALK_120"/>
    <x v="9"/>
    <x v="2"/>
    <x v="1"/>
    <s v="12:15–12:45"/>
    <s v="Buffet"/>
    <n v="1"/>
    <n v="20"/>
    <s v="Digital Wallet"/>
    <s v="Takeaway"/>
    <n v="5"/>
    <n v="1"/>
  </r>
  <r>
    <s v="TXN_000194"/>
    <s v="CORP_075"/>
    <x v="9"/>
    <x v="2"/>
    <x v="1"/>
    <s v="12:15–12:45"/>
    <s v="Buffet"/>
    <n v="2"/>
    <n v="44.5"/>
    <s v="Digital Wallet"/>
    <s v="In-store"/>
    <n v="5"/>
    <n v="1"/>
  </r>
  <r>
    <s v="TXN_000195"/>
    <s v="CORP_066"/>
    <x v="9"/>
    <x v="2"/>
    <x v="1"/>
    <s v="12:15–12:45"/>
    <s v="Buffet"/>
    <n v="3"/>
    <n v="60"/>
    <s v="Credit Card"/>
    <s v="In-store"/>
    <n v="5"/>
    <n v="1"/>
  </r>
  <r>
    <s v="TXN_000196"/>
    <s v="CORP_075"/>
    <x v="9"/>
    <x v="2"/>
    <x v="1"/>
    <s v="12:15–12:45"/>
    <s v="AlaCarte"/>
    <n v="3"/>
    <n v="104.72"/>
    <s v="Digital Wallet"/>
    <s v="In-store"/>
    <n v="5"/>
    <n v="0"/>
  </r>
  <r>
    <s v="TXN_000197"/>
    <s v="CORP_070"/>
    <x v="9"/>
    <x v="2"/>
    <x v="1"/>
    <s v="12:45–13:15"/>
    <s v="AlaCarte"/>
    <n v="1"/>
    <n v="19.72"/>
    <s v="Digital Wallet"/>
    <s v="Takeaway"/>
    <n v="5"/>
    <n v="0"/>
  </r>
  <r>
    <s v="TXN_000198"/>
    <s v="CORP_079"/>
    <x v="9"/>
    <x v="2"/>
    <x v="1"/>
    <s v="13:15–13:45"/>
    <s v="AlaCarte"/>
    <n v="3"/>
    <n v="29.86"/>
    <s v="Cash"/>
    <s v="In-store"/>
    <n v="5"/>
    <n v="0"/>
  </r>
  <r>
    <s v="TXN_000199"/>
    <s v="CORP_051"/>
    <x v="9"/>
    <x v="2"/>
    <x v="1"/>
    <s v="13:15–13:45"/>
    <s v="Buffet"/>
    <n v="3"/>
    <n v="64.5"/>
    <s v="Digital Wallet"/>
    <s v="In-store"/>
    <n v="5"/>
    <n v="1"/>
  </r>
  <r>
    <s v="TXN_000200"/>
    <s v="CORP_023"/>
    <x v="9"/>
    <x v="2"/>
    <x v="1"/>
    <s v="13:15–13:45"/>
    <s v="Buffet"/>
    <n v="2"/>
    <n v="44.5"/>
    <s v="Credit Card"/>
    <s v="In-store"/>
    <n v="5"/>
    <n v="1"/>
  </r>
  <r>
    <s v="TXN_000201"/>
    <s v="WALK_052"/>
    <x v="9"/>
    <x v="2"/>
    <x v="1"/>
    <s v="13:15–13:45"/>
    <s v="Buffet"/>
    <n v="5"/>
    <n v="109"/>
    <s v="Digital Wallet"/>
    <s v="In-store"/>
    <n v="5"/>
    <n v="1"/>
  </r>
  <r>
    <s v="TXN_000202"/>
    <s v="CORP_042"/>
    <x v="9"/>
    <x v="2"/>
    <x v="1"/>
    <s v="13:45–14:15"/>
    <s v="AlaCarte"/>
    <n v="2"/>
    <n v="62.9"/>
    <s v="Cash"/>
    <s v="In-store"/>
    <n v="5"/>
    <n v="0"/>
  </r>
  <r>
    <s v="TXN_000203"/>
    <s v="CORP_046"/>
    <x v="9"/>
    <x v="2"/>
    <x v="1"/>
    <s v="13:45–14:15"/>
    <s v="Buffet"/>
    <n v="2"/>
    <n v="44.5"/>
    <s v="Digital Wallet"/>
    <s v="In-store"/>
    <n v="5"/>
    <n v="1"/>
  </r>
  <r>
    <s v="TXN_000204"/>
    <s v="WALK_080"/>
    <x v="9"/>
    <x v="2"/>
    <x v="1"/>
    <s v="13:45–14:15"/>
    <s v="Buffet"/>
    <n v="2"/>
    <n v="44.5"/>
    <s v="Cash"/>
    <s v="In-store"/>
    <n v="5"/>
    <n v="1"/>
  </r>
  <r>
    <s v="TXN_000205"/>
    <s v="CORP_032"/>
    <x v="10"/>
    <x v="3"/>
    <x v="0"/>
    <s v="18:00–18:30"/>
    <s v="AlaCarte"/>
    <n v="5"/>
    <n v="124.92"/>
    <s v="Digital Wallet"/>
    <s v="In-store"/>
    <n v="6"/>
    <n v="0"/>
  </r>
  <r>
    <s v="TXN_000206"/>
    <s v="HOTEL_010"/>
    <x v="10"/>
    <x v="3"/>
    <x v="0"/>
    <s v="18:30–19:00"/>
    <s v="AlaCarte"/>
    <n v="2"/>
    <n v="40.1"/>
    <s v="Digital Wallet"/>
    <s v="In-store"/>
    <n v="6"/>
    <n v="0"/>
  </r>
  <r>
    <s v="TXN_000207"/>
    <s v="HOTEL_027"/>
    <x v="10"/>
    <x v="3"/>
    <x v="0"/>
    <s v="18:30–19:00"/>
    <s v="AlaCarte"/>
    <n v="3"/>
    <n v="55.43"/>
    <s v="Cash"/>
    <s v="In-store"/>
    <n v="6"/>
    <n v="0"/>
  </r>
  <r>
    <s v="TXN_000208"/>
    <s v="WALK_107"/>
    <x v="10"/>
    <x v="3"/>
    <x v="0"/>
    <s v="18:30–19:00"/>
    <s v="AlaCarte"/>
    <n v="2"/>
    <n v="60.22"/>
    <s v="Credit Card"/>
    <s v="In-store"/>
    <n v="6"/>
    <n v="0"/>
  </r>
  <r>
    <s v="TXN_000209"/>
    <s v="WALK_006"/>
    <x v="10"/>
    <x v="3"/>
    <x v="0"/>
    <s v="19:00–19:30"/>
    <s v="AlaCarte"/>
    <n v="6"/>
    <n v="251.35"/>
    <s v="Credit Card"/>
    <s v="In-store"/>
    <n v="6"/>
    <n v="0"/>
  </r>
  <r>
    <s v="TXN_000210"/>
    <s v="WALK_113"/>
    <x v="10"/>
    <x v="3"/>
    <x v="0"/>
    <s v="19:00–19:30"/>
    <s v="AlaCarte"/>
    <n v="1"/>
    <n v="39.43"/>
    <s v="Digital Wallet"/>
    <s v="In-store"/>
    <n v="6"/>
    <n v="0"/>
  </r>
  <r>
    <s v="TXN_000211"/>
    <s v="WALK_017"/>
    <x v="10"/>
    <x v="3"/>
    <x v="0"/>
    <s v="19:00–19:30"/>
    <s v="AlaCarte"/>
    <n v="2"/>
    <n v="59.34"/>
    <s v="Credit Card"/>
    <s v="In-store"/>
    <n v="6"/>
    <n v="0"/>
  </r>
  <r>
    <s v="TXN_000212"/>
    <s v="WALK_081"/>
    <x v="10"/>
    <x v="3"/>
    <x v="0"/>
    <s v="19:30–20:00"/>
    <s v="AlaCarte"/>
    <n v="3"/>
    <n v="68.56"/>
    <s v="Credit Card"/>
    <s v="Takeaway"/>
    <n v="6"/>
    <n v="0"/>
  </r>
  <r>
    <s v="TXN_000213"/>
    <s v="WALK_068"/>
    <x v="10"/>
    <x v="3"/>
    <x v="0"/>
    <s v="19:30–20:00"/>
    <s v="AlaCarte"/>
    <n v="2"/>
    <n v="41.6"/>
    <s v="Credit Card"/>
    <s v="In-store"/>
    <n v="6"/>
    <n v="0"/>
  </r>
  <r>
    <s v="TXN_000214"/>
    <s v="WALK_009"/>
    <x v="10"/>
    <x v="3"/>
    <x v="0"/>
    <s v="19:30–20:00"/>
    <s v="AlaCarte"/>
    <n v="4"/>
    <n v="194.28"/>
    <s v="Credit Card"/>
    <s v="In-store"/>
    <n v="6"/>
    <n v="0"/>
  </r>
  <r>
    <s v="TXN_000215"/>
    <s v="WALK_052"/>
    <x v="10"/>
    <x v="3"/>
    <x v="0"/>
    <s v="19:30–20:00"/>
    <s v="AlaCarte"/>
    <n v="4"/>
    <n v="126.08"/>
    <s v="Cash"/>
    <s v="Takeaway"/>
    <n v="6"/>
    <n v="0"/>
  </r>
  <r>
    <s v="TXN_000216"/>
    <s v="WALK_027"/>
    <x v="10"/>
    <x v="3"/>
    <x v="0"/>
    <s v="19:30–20:00"/>
    <s v="AlaCarte"/>
    <n v="4"/>
    <n v="223.53"/>
    <s v="Credit Card"/>
    <s v="In-store"/>
    <n v="6"/>
    <n v="0"/>
  </r>
  <r>
    <s v="TXN_000217"/>
    <s v="HOTEL_006"/>
    <x v="10"/>
    <x v="3"/>
    <x v="0"/>
    <s v="20:00–20:30"/>
    <s v="AlaCarte"/>
    <n v="4"/>
    <n v="151.87"/>
    <s v="Credit Card"/>
    <s v="In-store"/>
    <n v="6"/>
    <n v="0"/>
  </r>
  <r>
    <s v="TXN_000218"/>
    <s v="WALK_051"/>
    <x v="10"/>
    <x v="3"/>
    <x v="0"/>
    <s v="20:00–20:30"/>
    <s v="AlaCarte"/>
    <n v="2"/>
    <n v="48.5"/>
    <s v="Credit Card"/>
    <s v="In-store"/>
    <n v="6"/>
    <n v="0"/>
  </r>
  <r>
    <s v="TXN_000219"/>
    <s v="WALK_119"/>
    <x v="10"/>
    <x v="3"/>
    <x v="1"/>
    <s v="12:15–12:45"/>
    <s v="AlaCarte"/>
    <n v="3"/>
    <n v="48.6"/>
    <s v="Cash"/>
    <s v="Takeaway"/>
    <n v="6"/>
    <n v="0"/>
  </r>
  <r>
    <s v="TXN_000220"/>
    <s v="CORP_050"/>
    <x v="10"/>
    <x v="3"/>
    <x v="1"/>
    <s v="13:15–13:45"/>
    <s v="AlaCarte"/>
    <n v="3"/>
    <n v="54.21"/>
    <s v="Credit Card"/>
    <s v="In-store"/>
    <n v="6"/>
    <n v="0"/>
  </r>
  <r>
    <s v="TXN_000221"/>
    <s v="WALK_097"/>
    <x v="10"/>
    <x v="3"/>
    <x v="1"/>
    <s v="13:15–13:45"/>
    <s v="AlaCarte"/>
    <n v="2"/>
    <n v="31.5"/>
    <s v="Credit Card"/>
    <s v="In-store"/>
    <n v="6"/>
    <n v="0"/>
  </r>
  <r>
    <s v="TXN_000222"/>
    <s v="CORP_075"/>
    <x v="10"/>
    <x v="3"/>
    <x v="1"/>
    <s v="13:15–13:45"/>
    <s v="AlaCarte"/>
    <n v="4"/>
    <n v="58.12"/>
    <s v="Credit Card"/>
    <s v="In-store"/>
    <n v="6"/>
    <n v="0"/>
  </r>
  <r>
    <s v="TXN_000223"/>
    <s v="CORP_040"/>
    <x v="10"/>
    <x v="3"/>
    <x v="1"/>
    <s v="13:45–14:15"/>
    <s v="AlaCarte"/>
    <n v="3"/>
    <n v="29.94"/>
    <s v="Credit Card"/>
    <s v="Takeaway"/>
    <n v="6"/>
    <n v="0"/>
  </r>
  <r>
    <s v="TXN_000224"/>
    <s v="HOTEL_036"/>
    <x v="11"/>
    <x v="4"/>
    <x v="0"/>
    <s v="18:00–18:30"/>
    <s v="AlaCarte"/>
    <n v="5"/>
    <n v="113.19"/>
    <s v="Digital Wallet"/>
    <s v="Takeaway"/>
    <n v="7"/>
    <n v="0"/>
  </r>
  <r>
    <s v="TXN_000225"/>
    <s v="HOTEL_032"/>
    <x v="11"/>
    <x v="4"/>
    <x v="0"/>
    <s v="18:30–19:00"/>
    <s v="AlaCarte"/>
    <n v="5"/>
    <n v="98.43"/>
    <s v="Credit Card"/>
    <s v="Takeaway"/>
    <n v="7"/>
    <n v="0"/>
  </r>
  <r>
    <s v="TXN_000226"/>
    <s v="WALK_039"/>
    <x v="11"/>
    <x v="4"/>
    <x v="0"/>
    <s v="18:30–19:00"/>
    <s v="AlaCarte"/>
    <n v="5"/>
    <n v="105.17"/>
    <s v="Cash"/>
    <s v="In-store"/>
    <n v="7"/>
    <n v="0"/>
  </r>
  <r>
    <s v="TXN_000227"/>
    <s v="WALK_014"/>
    <x v="11"/>
    <x v="4"/>
    <x v="0"/>
    <s v="19:00–19:30"/>
    <s v="AlaCarte"/>
    <n v="5"/>
    <n v="104.35"/>
    <s v="Digital Wallet"/>
    <s v="In-store"/>
    <n v="7"/>
    <n v="0"/>
  </r>
  <r>
    <s v="TXN_000228"/>
    <s v="HOTEL_027"/>
    <x v="11"/>
    <x v="4"/>
    <x v="0"/>
    <s v="19:00–19:30"/>
    <s v="AlaCarte"/>
    <n v="3"/>
    <n v="62.45"/>
    <s v="Cash"/>
    <s v="In-store"/>
    <n v="7"/>
    <n v="0"/>
  </r>
  <r>
    <s v="TXN_000229"/>
    <s v="HOTEL_023"/>
    <x v="11"/>
    <x v="4"/>
    <x v="0"/>
    <s v="19:00–19:30"/>
    <s v="AlaCarte"/>
    <n v="4"/>
    <n v="134.81"/>
    <s v="Digital Wallet"/>
    <s v="Takeaway"/>
    <n v="7"/>
    <n v="0"/>
  </r>
  <r>
    <s v="TXN_000230"/>
    <s v="WALK_119"/>
    <x v="11"/>
    <x v="4"/>
    <x v="0"/>
    <s v="19:00–19:30"/>
    <s v="AlaCarte"/>
    <n v="3"/>
    <n v="89.6"/>
    <s v="Credit Card"/>
    <s v="In-store"/>
    <n v="7"/>
    <n v="0"/>
  </r>
  <r>
    <s v="TXN_000231"/>
    <s v="WALK_015"/>
    <x v="11"/>
    <x v="4"/>
    <x v="0"/>
    <s v="19:00–19:30"/>
    <s v="AlaCarte"/>
    <n v="1"/>
    <n v="32.619999999999997"/>
    <s v="Credit Card"/>
    <s v="Takeaway"/>
    <n v="7"/>
    <n v="0"/>
  </r>
  <r>
    <s v="TXN_000232"/>
    <s v="WALK_112"/>
    <x v="11"/>
    <x v="4"/>
    <x v="0"/>
    <s v="19:00–19:30"/>
    <s v="AlaCarte"/>
    <n v="6"/>
    <n v="150.34"/>
    <s v="Credit Card"/>
    <s v="In-store"/>
    <n v="7"/>
    <n v="0"/>
  </r>
  <r>
    <s v="TXN_000233"/>
    <s v="WALK_017"/>
    <x v="11"/>
    <x v="4"/>
    <x v="0"/>
    <s v="19:30–20:00"/>
    <s v="AlaCarte"/>
    <n v="3"/>
    <n v="61.85"/>
    <s v="Credit Card"/>
    <s v="In-store"/>
    <n v="7"/>
    <n v="0"/>
  </r>
  <r>
    <s v="TXN_000234"/>
    <s v="WALK_089"/>
    <x v="11"/>
    <x v="4"/>
    <x v="0"/>
    <s v="19:30–20:00"/>
    <s v="AlaCarte"/>
    <n v="4"/>
    <n v="187.53"/>
    <s v="Digital Wallet"/>
    <s v="Takeaway"/>
    <n v="7"/>
    <n v="0"/>
  </r>
  <r>
    <s v="TXN_000235"/>
    <s v="WALK_112"/>
    <x v="11"/>
    <x v="4"/>
    <x v="0"/>
    <s v="19:30–20:00"/>
    <s v="AlaCarte"/>
    <n v="7"/>
    <n v="106.54"/>
    <s v="Credit Card"/>
    <s v="Takeaway"/>
    <n v="7"/>
    <n v="0"/>
  </r>
  <r>
    <s v="TXN_000236"/>
    <s v="WALK_043"/>
    <x v="11"/>
    <x v="4"/>
    <x v="0"/>
    <s v="20:00–20:30"/>
    <s v="AlaCarte"/>
    <n v="4"/>
    <n v="85.15"/>
    <s v="Credit Card"/>
    <s v="In-store"/>
    <n v="7"/>
    <n v="0"/>
  </r>
  <r>
    <s v="TXN_000237"/>
    <s v="WALK_099"/>
    <x v="11"/>
    <x v="4"/>
    <x v="0"/>
    <s v="20:00–20:30"/>
    <s v="AlaCarte"/>
    <n v="2"/>
    <n v="66.510000000000005"/>
    <s v="Credit Card"/>
    <s v="In-store"/>
    <n v="7"/>
    <n v="0"/>
  </r>
  <r>
    <s v="TXN_000238"/>
    <s v="HOTEL_028"/>
    <x v="11"/>
    <x v="4"/>
    <x v="0"/>
    <s v="20:00–20:30"/>
    <s v="AlaCarte"/>
    <n v="4"/>
    <n v="217.58"/>
    <s v="Credit Card"/>
    <s v="In-store"/>
    <n v="7"/>
    <n v="0"/>
  </r>
  <r>
    <s v="TXN_000239"/>
    <s v="WALK_105"/>
    <x v="11"/>
    <x v="4"/>
    <x v="1"/>
    <s v="12:45–13:15"/>
    <s v="AlaCarte"/>
    <n v="3"/>
    <n v="54.04"/>
    <s v="Cash"/>
    <s v="In-store"/>
    <n v="7"/>
    <n v="0"/>
  </r>
  <r>
    <s v="TXN_000240"/>
    <s v="WALK_076"/>
    <x v="11"/>
    <x v="4"/>
    <x v="1"/>
    <s v="12:45–13:15"/>
    <s v="AlaCarte"/>
    <n v="1"/>
    <n v="11.31"/>
    <s v="Cash"/>
    <s v="In-store"/>
    <n v="7"/>
    <n v="0"/>
  </r>
  <r>
    <s v="TXN_000241"/>
    <s v="CORP_062"/>
    <x v="11"/>
    <x v="4"/>
    <x v="1"/>
    <s v="13:15–13:45"/>
    <s v="AlaCarte"/>
    <n v="3"/>
    <n v="29.08"/>
    <s v="Cash"/>
    <s v="Takeaway"/>
    <n v="7"/>
    <n v="0"/>
  </r>
  <r>
    <s v="TXN_000242"/>
    <s v="CORP_023"/>
    <x v="11"/>
    <x v="4"/>
    <x v="1"/>
    <s v="13:15–13:45"/>
    <s v="AlaCarte"/>
    <n v="2"/>
    <n v="41.25"/>
    <s v="Credit Card"/>
    <s v="In-store"/>
    <n v="7"/>
    <n v="0"/>
  </r>
  <r>
    <s v="TXN_000243"/>
    <s v="WALK_044"/>
    <x v="12"/>
    <x v="5"/>
    <x v="0"/>
    <s v="18:00–18:30"/>
    <s v="AlaCarte"/>
    <n v="6"/>
    <n v="241.48"/>
    <s v="Credit Card"/>
    <s v="Takeaway"/>
    <n v="1"/>
    <n v="0"/>
  </r>
  <r>
    <s v="TXN_000244"/>
    <s v="HOTEL_024"/>
    <x v="12"/>
    <x v="5"/>
    <x v="0"/>
    <s v="18:00–18:30"/>
    <s v="AlaCarte"/>
    <n v="4"/>
    <n v="119.91"/>
    <s v="Credit Card"/>
    <s v="In-store"/>
    <n v="1"/>
    <n v="0"/>
  </r>
  <r>
    <s v="TXN_000245"/>
    <s v="WALK_006"/>
    <x v="12"/>
    <x v="5"/>
    <x v="0"/>
    <s v="18:30–19:00"/>
    <s v="AlaCarte"/>
    <n v="3"/>
    <n v="60.79"/>
    <s v="Credit Card"/>
    <s v="In-store"/>
    <n v="1"/>
    <n v="0"/>
  </r>
  <r>
    <s v="TXN_000246"/>
    <s v="WALK_107"/>
    <x v="12"/>
    <x v="5"/>
    <x v="0"/>
    <s v="18:30–19:00"/>
    <s v="AlaCarte"/>
    <n v="2"/>
    <n v="50.28"/>
    <s v="Credit Card"/>
    <s v="Takeaway"/>
    <n v="1"/>
    <n v="0"/>
  </r>
  <r>
    <s v="TXN_000247"/>
    <s v="WALK_072"/>
    <x v="12"/>
    <x v="5"/>
    <x v="0"/>
    <s v="18:30–19:00"/>
    <s v="AlaCarte"/>
    <n v="6"/>
    <n v="266.77999999999997"/>
    <s v="Credit Card"/>
    <s v="Takeaway"/>
    <n v="1"/>
    <n v="0"/>
  </r>
  <r>
    <s v="TXN_000248"/>
    <s v="WALK_099"/>
    <x v="12"/>
    <x v="5"/>
    <x v="0"/>
    <s v="18:30–19:00"/>
    <s v="AlaCarte"/>
    <n v="3"/>
    <n v="86.17"/>
    <s v="Cash"/>
    <s v="In-store"/>
    <n v="1"/>
    <n v="0"/>
  </r>
  <r>
    <s v="TXN_000249"/>
    <s v="WALK_032"/>
    <x v="12"/>
    <x v="5"/>
    <x v="0"/>
    <s v="18:30–19:00"/>
    <s v="AlaCarte"/>
    <n v="4"/>
    <n v="113.33"/>
    <s v="Cash"/>
    <s v="In-store"/>
    <n v="1"/>
    <n v="0"/>
  </r>
  <r>
    <s v="TXN_000250"/>
    <s v="WALK_059"/>
    <x v="12"/>
    <x v="5"/>
    <x v="0"/>
    <s v="19:00–19:30"/>
    <s v="AlaCarte"/>
    <n v="4"/>
    <n v="60.52"/>
    <s v="Cash"/>
    <s v="In-store"/>
    <n v="1"/>
    <n v="0"/>
  </r>
  <r>
    <s v="TXN_000251"/>
    <s v="CORP_006"/>
    <x v="12"/>
    <x v="5"/>
    <x v="0"/>
    <s v="19:30–20:00"/>
    <s v="AlaCarte"/>
    <n v="2"/>
    <n v="42.09"/>
    <s v="Credit Card"/>
    <s v="In-store"/>
    <n v="1"/>
    <n v="0"/>
  </r>
  <r>
    <s v="TXN_000252"/>
    <s v="HOTEL_009"/>
    <x v="12"/>
    <x v="5"/>
    <x v="0"/>
    <s v="19:30–20:00"/>
    <s v="AlaCarte"/>
    <n v="1"/>
    <n v="30.62"/>
    <s v="Cash"/>
    <s v="Takeaway"/>
    <n v="1"/>
    <n v="0"/>
  </r>
  <r>
    <s v="TXN_000253"/>
    <s v="WALK_022"/>
    <x v="12"/>
    <x v="5"/>
    <x v="0"/>
    <s v="19:30–20:00"/>
    <s v="AlaCarte"/>
    <n v="4"/>
    <n v="91.45"/>
    <s v="Cash"/>
    <s v="In-store"/>
    <n v="1"/>
    <n v="0"/>
  </r>
  <r>
    <s v="TXN_000254"/>
    <s v="WALK_061"/>
    <x v="12"/>
    <x v="5"/>
    <x v="0"/>
    <s v="19:30–20:00"/>
    <s v="AlaCarte"/>
    <n v="3"/>
    <n v="74.11"/>
    <s v="Credit Card"/>
    <s v="In-store"/>
    <n v="1"/>
    <n v="0"/>
  </r>
  <r>
    <s v="TXN_000255"/>
    <s v="WALK_071"/>
    <x v="12"/>
    <x v="5"/>
    <x v="0"/>
    <s v="20:00–20:30"/>
    <s v="AlaCarte"/>
    <n v="3"/>
    <n v="95.93"/>
    <s v="Credit Card"/>
    <s v="In-store"/>
    <n v="1"/>
    <n v="0"/>
  </r>
  <r>
    <s v="TXN_000256"/>
    <s v="WALK_088"/>
    <x v="12"/>
    <x v="5"/>
    <x v="0"/>
    <s v="20:00–20:30"/>
    <s v="AlaCarte"/>
    <n v="4"/>
    <n v="71.08"/>
    <s v="Digital Wallet"/>
    <s v="Takeaway"/>
    <n v="1"/>
    <n v="0"/>
  </r>
  <r>
    <s v="TXN_000257"/>
    <s v="WALK_017"/>
    <x v="12"/>
    <x v="5"/>
    <x v="0"/>
    <s v="20:00–20:30"/>
    <s v="AlaCarte"/>
    <n v="3"/>
    <n v="67.86"/>
    <s v="Cash"/>
    <s v="In-store"/>
    <n v="1"/>
    <n v="0"/>
  </r>
  <r>
    <s v="TXN_000258"/>
    <s v="WALK_031"/>
    <x v="12"/>
    <x v="5"/>
    <x v="0"/>
    <s v="20:00–20:30"/>
    <s v="AlaCarte"/>
    <n v="2"/>
    <n v="34.81"/>
    <s v="Cash"/>
    <s v="In-store"/>
    <n v="1"/>
    <n v="0"/>
  </r>
  <r>
    <s v="TXN_000259"/>
    <s v="WALK_014"/>
    <x v="12"/>
    <x v="5"/>
    <x v="0"/>
    <s v="20:00–20:30"/>
    <s v="AlaCarte"/>
    <n v="2"/>
    <n v="40.29"/>
    <s v="Credit Card"/>
    <s v="In-store"/>
    <n v="1"/>
    <n v="0"/>
  </r>
  <r>
    <s v="TXN_000260"/>
    <s v="HOTEL_028"/>
    <x v="12"/>
    <x v="5"/>
    <x v="0"/>
    <s v="20:00–20:30"/>
    <s v="AlaCarte"/>
    <n v="5"/>
    <n v="180.65"/>
    <s v="Digital Wallet"/>
    <s v="In-store"/>
    <n v="1"/>
    <n v="0"/>
  </r>
  <r>
    <s v="TXN_000261"/>
    <s v="WALK_022"/>
    <x v="12"/>
    <x v="5"/>
    <x v="1"/>
    <s v="12:15–12:45"/>
    <s v="AlaCarte"/>
    <n v="2"/>
    <n v="28.03"/>
    <s v="Cash"/>
    <s v="Takeaway"/>
    <n v="1"/>
    <n v="0"/>
  </r>
  <r>
    <s v="TXN_000262"/>
    <s v="WALK_054"/>
    <x v="12"/>
    <x v="5"/>
    <x v="1"/>
    <s v="13:45–14:15"/>
    <s v="AlaCarte"/>
    <n v="1"/>
    <n v="33.75"/>
    <s v="Cash"/>
    <s v="Takeaway"/>
    <n v="1"/>
    <n v="0"/>
  </r>
  <r>
    <s v="TXN_000263"/>
    <s v="CORP_004"/>
    <x v="12"/>
    <x v="5"/>
    <x v="1"/>
    <s v="13:45–14:15"/>
    <s v="AlaCarte"/>
    <n v="2"/>
    <n v="35.85"/>
    <s v="Credit Card"/>
    <s v="In-store"/>
    <n v="1"/>
    <n v="0"/>
  </r>
  <r>
    <s v="TXN_000264"/>
    <s v="WALK_002"/>
    <x v="13"/>
    <x v="6"/>
    <x v="0"/>
    <s v="18:00–18:30"/>
    <s v="AlaCarte"/>
    <n v="2"/>
    <n v="64.83"/>
    <s v="Cash"/>
    <s v="In-store"/>
    <n v="2"/>
    <n v="0"/>
  </r>
  <r>
    <s v="TXN_000265"/>
    <s v="WALK_049"/>
    <x v="13"/>
    <x v="6"/>
    <x v="0"/>
    <s v="18:00–18:30"/>
    <s v="AlaCarte"/>
    <n v="4"/>
    <n v="121.1"/>
    <s v="Cash"/>
    <s v="In-store"/>
    <n v="2"/>
    <n v="0"/>
  </r>
  <r>
    <s v="TXN_000266"/>
    <s v="HOTEL_034"/>
    <x v="13"/>
    <x v="6"/>
    <x v="0"/>
    <s v="18:30–19:00"/>
    <s v="AlaCarte"/>
    <n v="3"/>
    <n v="69.66"/>
    <s v="Credit Card"/>
    <s v="In-store"/>
    <n v="2"/>
    <n v="0"/>
  </r>
  <r>
    <s v="TXN_000267"/>
    <s v="WALK_043"/>
    <x v="13"/>
    <x v="6"/>
    <x v="0"/>
    <s v="18:30–19:00"/>
    <s v="AlaCarte"/>
    <n v="6"/>
    <n v="140.69999999999999"/>
    <s v="Cash"/>
    <s v="Takeaway"/>
    <n v="2"/>
    <n v="0"/>
  </r>
  <r>
    <s v="TXN_000268"/>
    <s v="CORP_024"/>
    <x v="13"/>
    <x v="6"/>
    <x v="0"/>
    <s v="18:30–19:00"/>
    <s v="AlaCarte"/>
    <n v="5"/>
    <n v="151.30000000000001"/>
    <s v="Credit Card"/>
    <s v="In-store"/>
    <n v="2"/>
    <n v="0"/>
  </r>
  <r>
    <s v="TXN_000269"/>
    <s v="HOTEL_034"/>
    <x v="13"/>
    <x v="6"/>
    <x v="0"/>
    <s v="19:00–19:30"/>
    <s v="AlaCarte"/>
    <n v="3"/>
    <n v="61.6"/>
    <s v="Digital Wallet"/>
    <s v="In-store"/>
    <n v="2"/>
    <n v="0"/>
  </r>
  <r>
    <s v="TXN_000270"/>
    <s v="WALK_015"/>
    <x v="13"/>
    <x v="6"/>
    <x v="0"/>
    <s v="19:00–19:30"/>
    <s v="AlaCarte"/>
    <n v="2"/>
    <n v="41.81"/>
    <s v="Digital Wallet"/>
    <s v="Takeaway"/>
    <n v="2"/>
    <n v="0"/>
  </r>
  <r>
    <s v="TXN_000271"/>
    <s v="WALK_090"/>
    <x v="13"/>
    <x v="6"/>
    <x v="0"/>
    <s v="19:00–19:30"/>
    <s v="AlaCarte"/>
    <n v="1"/>
    <n v="47.56"/>
    <s v="Credit Card"/>
    <s v="Takeaway"/>
    <n v="2"/>
    <n v="0"/>
  </r>
  <r>
    <s v="TXN_000272"/>
    <s v="WALK_083"/>
    <x v="13"/>
    <x v="6"/>
    <x v="0"/>
    <s v="19:30–20:00"/>
    <s v="AlaCarte"/>
    <n v="4"/>
    <n v="88.48"/>
    <s v="Credit Card"/>
    <s v="In-store"/>
    <n v="2"/>
    <n v="0"/>
  </r>
  <r>
    <s v="TXN_000273"/>
    <s v="HOTEL_035"/>
    <x v="13"/>
    <x v="6"/>
    <x v="0"/>
    <s v="19:30–20:00"/>
    <s v="AlaCarte"/>
    <n v="4"/>
    <n v="93.83"/>
    <s v="Credit Card"/>
    <s v="In-store"/>
    <n v="2"/>
    <n v="0"/>
  </r>
  <r>
    <s v="TXN_000274"/>
    <s v="WALK_008"/>
    <x v="13"/>
    <x v="6"/>
    <x v="0"/>
    <s v="19:30–20:00"/>
    <s v="AlaCarte"/>
    <n v="3"/>
    <n v="87.91"/>
    <s v="Digital Wallet"/>
    <s v="In-store"/>
    <n v="2"/>
    <n v="0"/>
  </r>
  <r>
    <s v="TXN_000275"/>
    <s v="WALK_012"/>
    <x v="13"/>
    <x v="6"/>
    <x v="0"/>
    <s v="20:00–20:30"/>
    <s v="AlaCarte"/>
    <n v="3"/>
    <n v="131.91"/>
    <s v="Credit Card"/>
    <s v="In-store"/>
    <n v="2"/>
    <n v="0"/>
  </r>
  <r>
    <s v="TXN_000276"/>
    <s v="CORP_055"/>
    <x v="13"/>
    <x v="6"/>
    <x v="1"/>
    <s v="12:15–12:45"/>
    <s v="AlaCarte"/>
    <n v="2"/>
    <n v="39.93"/>
    <s v="Cash"/>
    <s v="In-store"/>
    <n v="2"/>
    <n v="0"/>
  </r>
  <r>
    <s v="TXN_000277"/>
    <s v="CORP_053"/>
    <x v="13"/>
    <x v="6"/>
    <x v="1"/>
    <s v="12:15–12:45"/>
    <s v="AlaCarte"/>
    <n v="5"/>
    <n v="92.5"/>
    <s v="Cash"/>
    <s v="In-store"/>
    <n v="2"/>
    <n v="0"/>
  </r>
  <r>
    <s v="TXN_000278"/>
    <s v="WALK_064"/>
    <x v="13"/>
    <x v="6"/>
    <x v="1"/>
    <s v="12:15–12:45"/>
    <s v="AlaCarte"/>
    <n v="6"/>
    <n v="219.34"/>
    <s v="Credit Card"/>
    <s v="Takeaway"/>
    <n v="2"/>
    <n v="0"/>
  </r>
  <r>
    <s v="TXN_000279"/>
    <s v="WALK_014"/>
    <x v="13"/>
    <x v="6"/>
    <x v="1"/>
    <s v="12:15–12:45"/>
    <s v="AlaCarte"/>
    <n v="2"/>
    <n v="59.9"/>
    <s v="Credit Card"/>
    <s v="Takeaway"/>
    <n v="2"/>
    <n v="0"/>
  </r>
  <r>
    <s v="TXN_000280"/>
    <s v="CORP_014"/>
    <x v="13"/>
    <x v="6"/>
    <x v="1"/>
    <s v="12:15–12:45"/>
    <s v="AlaCarte"/>
    <n v="7"/>
    <n v="84.81"/>
    <s v="Digital Wallet"/>
    <s v="Takeaway"/>
    <n v="2"/>
    <n v="0"/>
  </r>
  <r>
    <s v="TXN_000281"/>
    <s v="CORP_074"/>
    <x v="13"/>
    <x v="6"/>
    <x v="1"/>
    <s v="12:15–12:45"/>
    <s v="AlaCarte"/>
    <n v="2"/>
    <n v="41"/>
    <s v="Digital Wallet"/>
    <s v="Takeaway"/>
    <n v="2"/>
    <n v="0"/>
  </r>
  <r>
    <s v="TXN_000282"/>
    <s v="CORP_076"/>
    <x v="13"/>
    <x v="6"/>
    <x v="1"/>
    <s v="13:15–13:45"/>
    <s v="AlaCarte"/>
    <n v="1"/>
    <n v="17.5"/>
    <s v="Digital Wallet"/>
    <s v="Takeaway"/>
    <n v="2"/>
    <n v="0"/>
  </r>
  <r>
    <s v="TXN_000283"/>
    <s v="WALK_111"/>
    <x v="13"/>
    <x v="6"/>
    <x v="1"/>
    <s v="13:15–13:45"/>
    <s v="AlaCarte"/>
    <n v="3"/>
    <n v="32.14"/>
    <s v="Credit Card"/>
    <s v="Takeaway"/>
    <n v="2"/>
    <n v="0"/>
  </r>
  <r>
    <s v="TXN_000284"/>
    <s v="WALK_049"/>
    <x v="14"/>
    <x v="0"/>
    <x v="0"/>
    <s v="18:00–18:30"/>
    <s v="AlaCarte"/>
    <n v="2"/>
    <n v="65.099999999999994"/>
    <s v="Credit Card"/>
    <s v="In-store"/>
    <n v="3"/>
    <n v="0"/>
  </r>
  <r>
    <s v="TXN_000285"/>
    <s v="WALK_100"/>
    <x v="14"/>
    <x v="0"/>
    <x v="0"/>
    <s v="18:00–18:30"/>
    <s v="AlaCarte"/>
    <n v="3"/>
    <n v="67.69"/>
    <s v="Digital Wallet"/>
    <s v="Takeaway"/>
    <n v="3"/>
    <n v="0"/>
  </r>
  <r>
    <s v="TXN_000286"/>
    <s v="WALK_019"/>
    <x v="14"/>
    <x v="0"/>
    <x v="0"/>
    <s v="18:00–18:30"/>
    <s v="AlaCarte"/>
    <n v="5"/>
    <n v="117.87"/>
    <s v="Cash"/>
    <s v="Takeaway"/>
    <n v="3"/>
    <n v="0"/>
  </r>
  <r>
    <s v="TXN_000287"/>
    <s v="CORP_024"/>
    <x v="14"/>
    <x v="0"/>
    <x v="0"/>
    <s v="18:30–19:00"/>
    <s v="AlaCarte"/>
    <n v="2"/>
    <n v="35.11"/>
    <s v="Credit Card"/>
    <s v="In-store"/>
    <n v="3"/>
    <n v="0"/>
  </r>
  <r>
    <s v="TXN_000288"/>
    <s v="WALK_041"/>
    <x v="14"/>
    <x v="0"/>
    <x v="0"/>
    <s v="18:30–19:00"/>
    <s v="AlaCarte"/>
    <n v="3"/>
    <n v="106.83"/>
    <s v="Credit Card"/>
    <s v="Takeaway"/>
    <n v="3"/>
    <n v="0"/>
  </r>
  <r>
    <s v="TXN_000289"/>
    <s v="WALK_083"/>
    <x v="14"/>
    <x v="0"/>
    <x v="0"/>
    <s v="19:00–19:30"/>
    <s v="AlaCarte"/>
    <n v="2"/>
    <n v="32.18"/>
    <s v="Credit Card"/>
    <s v="In-store"/>
    <n v="3"/>
    <n v="0"/>
  </r>
  <r>
    <s v="TXN_000290"/>
    <s v="WALK_070"/>
    <x v="14"/>
    <x v="0"/>
    <x v="0"/>
    <s v="19:00–19:30"/>
    <s v="AlaCarte"/>
    <n v="2"/>
    <n v="52.48"/>
    <s v="Credit Card"/>
    <s v="In-store"/>
    <n v="3"/>
    <n v="0"/>
  </r>
  <r>
    <s v="TXN_000291"/>
    <s v="WALK_115"/>
    <x v="14"/>
    <x v="0"/>
    <x v="0"/>
    <s v="19:00–19:30"/>
    <s v="AlaCarte"/>
    <n v="4"/>
    <n v="95.87"/>
    <s v="Credit Card"/>
    <s v="In-store"/>
    <n v="3"/>
    <n v="0"/>
  </r>
  <r>
    <s v="TXN_000292"/>
    <s v="WALK_110"/>
    <x v="14"/>
    <x v="0"/>
    <x v="0"/>
    <s v="19:30–20:00"/>
    <s v="AlaCarte"/>
    <n v="2"/>
    <n v="134.88"/>
    <s v="Digital Wallet"/>
    <s v="Takeaway"/>
    <n v="3"/>
    <n v="0"/>
  </r>
  <r>
    <s v="TXN_000293"/>
    <s v="WALK_006"/>
    <x v="14"/>
    <x v="0"/>
    <x v="0"/>
    <s v="19:30–20:00"/>
    <s v="AlaCarte"/>
    <n v="4"/>
    <n v="108.13"/>
    <s v="Cash"/>
    <s v="Takeaway"/>
    <n v="3"/>
    <n v="0"/>
  </r>
  <r>
    <s v="TXN_000294"/>
    <s v="HOTEL_029"/>
    <x v="14"/>
    <x v="0"/>
    <x v="0"/>
    <s v="20:00–20:30"/>
    <s v="AlaCarte"/>
    <n v="3"/>
    <n v="62.76"/>
    <s v="Credit Card"/>
    <s v="In-store"/>
    <n v="3"/>
    <n v="0"/>
  </r>
  <r>
    <s v="TXN_000295"/>
    <s v="WALK_008"/>
    <x v="14"/>
    <x v="0"/>
    <x v="0"/>
    <s v="20:00–20:30"/>
    <s v="AlaCarte"/>
    <n v="3"/>
    <n v="88.33"/>
    <s v="Credit Card"/>
    <s v="In-store"/>
    <n v="3"/>
    <n v="0"/>
  </r>
  <r>
    <s v="TXN_000296"/>
    <s v="CORP_001"/>
    <x v="14"/>
    <x v="0"/>
    <x v="1"/>
    <s v="12:15–12:45"/>
    <s v="Buffet"/>
    <n v="3"/>
    <n v="64.5"/>
    <s v="Credit Card"/>
    <s v="Takeaway"/>
    <n v="3"/>
    <n v="1"/>
  </r>
  <r>
    <s v="TXN_000297"/>
    <s v="WALK_106"/>
    <x v="14"/>
    <x v="0"/>
    <x v="1"/>
    <s v="12:15–12:45"/>
    <s v="Buffet"/>
    <n v="5"/>
    <n v="113.5"/>
    <s v="Credit Card"/>
    <s v="In-store"/>
    <n v="3"/>
    <n v="1"/>
  </r>
  <r>
    <s v="TXN_000298"/>
    <s v="CORP_065"/>
    <x v="14"/>
    <x v="0"/>
    <x v="1"/>
    <s v="12:15–12:45"/>
    <s v="Buffet"/>
    <n v="4"/>
    <n v="89"/>
    <s v="Cash"/>
    <s v="In-store"/>
    <n v="3"/>
    <n v="1"/>
  </r>
  <r>
    <s v="TXN_000299"/>
    <s v="WALK_055"/>
    <x v="14"/>
    <x v="0"/>
    <x v="1"/>
    <s v="12:15–12:45"/>
    <s v="AlaCarte"/>
    <n v="3"/>
    <n v="46.19"/>
    <s v="Credit Card"/>
    <s v="Takeaway"/>
    <n v="3"/>
    <n v="0"/>
  </r>
  <r>
    <s v="TXN_000300"/>
    <s v="CORP_012"/>
    <x v="14"/>
    <x v="0"/>
    <x v="1"/>
    <s v="12:15–12:45"/>
    <s v="Buffet"/>
    <n v="3"/>
    <n v="64.5"/>
    <s v="Cash"/>
    <s v="Takeaway"/>
    <n v="3"/>
    <n v="1"/>
  </r>
  <r>
    <s v="TXN_000301"/>
    <s v="WALK_108"/>
    <x v="14"/>
    <x v="0"/>
    <x v="1"/>
    <s v="12:15–12:45"/>
    <s v="Buffet"/>
    <n v="2"/>
    <n v="44.5"/>
    <s v="Digital Wallet"/>
    <s v="In-store"/>
    <n v="3"/>
    <n v="1"/>
  </r>
  <r>
    <s v="TXN_000302"/>
    <s v="CORP_069"/>
    <x v="14"/>
    <x v="0"/>
    <x v="1"/>
    <s v="12:45–13:15"/>
    <s v="Buffet"/>
    <n v="4"/>
    <n v="89"/>
    <s v="Cash"/>
    <s v="In-store"/>
    <n v="3"/>
    <n v="1"/>
  </r>
  <r>
    <s v="TXN_000303"/>
    <s v="CORP_006"/>
    <x v="14"/>
    <x v="0"/>
    <x v="1"/>
    <s v="12:45–13:15"/>
    <s v="Buffet"/>
    <n v="6"/>
    <n v="129"/>
    <s v="Cash"/>
    <s v="In-store"/>
    <n v="3"/>
    <n v="1"/>
  </r>
  <r>
    <s v="TXN_000304"/>
    <s v="CORP_072"/>
    <x v="14"/>
    <x v="0"/>
    <x v="1"/>
    <s v="13:45–14:15"/>
    <s v="Buffet"/>
    <n v="7"/>
    <n v="149"/>
    <s v="Credit Card"/>
    <s v="In-store"/>
    <n v="3"/>
    <n v="1"/>
  </r>
  <r>
    <s v="TXN_000305"/>
    <s v="HOTEL_038"/>
    <x v="15"/>
    <x v="1"/>
    <x v="0"/>
    <s v="18:30–19:00"/>
    <s v="AlaCarte"/>
    <n v="6"/>
    <n v="172.88"/>
    <s v="Credit Card"/>
    <s v="Takeaway"/>
    <n v="4"/>
    <n v="0"/>
  </r>
  <r>
    <s v="TXN_000306"/>
    <s v="WALK_078"/>
    <x v="15"/>
    <x v="1"/>
    <x v="0"/>
    <s v="18:30–19:00"/>
    <s v="AlaCarte"/>
    <n v="5"/>
    <n v="167.61"/>
    <s v="Digital Wallet"/>
    <s v="In-store"/>
    <n v="4"/>
    <n v="0"/>
  </r>
  <r>
    <s v="TXN_000307"/>
    <s v="WALK_057"/>
    <x v="15"/>
    <x v="1"/>
    <x v="0"/>
    <s v="19:00–19:30"/>
    <s v="AlaCarte"/>
    <n v="2"/>
    <n v="54.56"/>
    <s v="Digital Wallet"/>
    <s v="In-store"/>
    <n v="4"/>
    <n v="0"/>
  </r>
  <r>
    <s v="TXN_000308"/>
    <s v="WALK_065"/>
    <x v="15"/>
    <x v="1"/>
    <x v="0"/>
    <s v="19:00–19:30"/>
    <s v="AlaCarte"/>
    <n v="3"/>
    <n v="131.13"/>
    <s v="Cash"/>
    <s v="In-store"/>
    <n v="4"/>
    <n v="0"/>
  </r>
  <r>
    <s v="TXN_000309"/>
    <s v="WALK_074"/>
    <x v="15"/>
    <x v="1"/>
    <x v="0"/>
    <s v="19:00–19:30"/>
    <s v="AlaCarte"/>
    <n v="2"/>
    <n v="52.53"/>
    <s v="Credit Card"/>
    <s v="In-store"/>
    <n v="4"/>
    <n v="0"/>
  </r>
  <r>
    <s v="TXN_000310"/>
    <s v="WALK_098"/>
    <x v="15"/>
    <x v="1"/>
    <x v="0"/>
    <s v="19:00–19:30"/>
    <s v="AlaCarte"/>
    <n v="5"/>
    <n v="132.82"/>
    <s v="Cash"/>
    <s v="In-store"/>
    <n v="4"/>
    <n v="0"/>
  </r>
  <r>
    <s v="TXN_000311"/>
    <s v="WALK_028"/>
    <x v="15"/>
    <x v="1"/>
    <x v="0"/>
    <s v="19:30–20:00"/>
    <s v="AlaCarte"/>
    <n v="3"/>
    <n v="82.08"/>
    <s v="Credit Card"/>
    <s v="In-store"/>
    <n v="4"/>
    <n v="0"/>
  </r>
  <r>
    <s v="TXN_000312"/>
    <s v="WALK_064"/>
    <x v="15"/>
    <x v="1"/>
    <x v="0"/>
    <s v="19:30–20:00"/>
    <s v="AlaCarte"/>
    <n v="6"/>
    <n v="243.93"/>
    <s v="Cash"/>
    <s v="In-store"/>
    <n v="4"/>
    <n v="0"/>
  </r>
  <r>
    <s v="TXN_000313"/>
    <s v="CORP_078"/>
    <x v="15"/>
    <x v="1"/>
    <x v="0"/>
    <s v="19:30–20:00"/>
    <s v="AlaCarte"/>
    <n v="3"/>
    <n v="81.489999999999995"/>
    <s v="Credit Card"/>
    <s v="In-store"/>
    <n v="4"/>
    <n v="0"/>
  </r>
  <r>
    <s v="TXN_000314"/>
    <s v="WALK_029"/>
    <x v="15"/>
    <x v="1"/>
    <x v="1"/>
    <s v="12:15–12:45"/>
    <s v="Buffet"/>
    <n v="1"/>
    <n v="24.5"/>
    <s v="Credit Card"/>
    <s v="Takeaway"/>
    <n v="4"/>
    <n v="1"/>
  </r>
  <r>
    <s v="TXN_000315"/>
    <s v="CORP_001"/>
    <x v="15"/>
    <x v="1"/>
    <x v="1"/>
    <s v="12:15–12:45"/>
    <s v="AlaCarte"/>
    <n v="3"/>
    <n v="80.78"/>
    <s v="Credit Card"/>
    <s v="Takeaway"/>
    <n v="4"/>
    <n v="0"/>
  </r>
  <r>
    <s v="TXN_000316"/>
    <s v="CORP_040"/>
    <x v="15"/>
    <x v="1"/>
    <x v="1"/>
    <s v="12:15–12:45"/>
    <s v="Buffet"/>
    <n v="5"/>
    <n v="109"/>
    <s v="Credit Card"/>
    <s v="Takeaway"/>
    <n v="4"/>
    <n v="1"/>
  </r>
  <r>
    <s v="TXN_000317"/>
    <s v="CORP_033"/>
    <x v="15"/>
    <x v="1"/>
    <x v="1"/>
    <s v="12:15–12:45"/>
    <s v="Buffet"/>
    <n v="4"/>
    <n v="84.5"/>
    <s v="Credit Card"/>
    <s v="Takeaway"/>
    <n v="4"/>
    <n v="1"/>
  </r>
  <r>
    <s v="TXN_000318"/>
    <s v="CORP_022"/>
    <x v="15"/>
    <x v="1"/>
    <x v="1"/>
    <s v="12:45–13:15"/>
    <s v="Buffet"/>
    <n v="4"/>
    <n v="89"/>
    <s v="Cash"/>
    <s v="Takeaway"/>
    <n v="4"/>
    <n v="1"/>
  </r>
  <r>
    <s v="TXN_000319"/>
    <s v="CORP_005"/>
    <x v="15"/>
    <x v="1"/>
    <x v="1"/>
    <s v="12:45–13:15"/>
    <s v="Buffet"/>
    <n v="2"/>
    <n v="44.5"/>
    <s v="Cash"/>
    <s v="In-store"/>
    <n v="4"/>
    <n v="1"/>
  </r>
  <r>
    <s v="TXN_000320"/>
    <s v="CORP_019"/>
    <x v="15"/>
    <x v="1"/>
    <x v="1"/>
    <s v="12:45–13:15"/>
    <s v="AlaCarte"/>
    <n v="2"/>
    <n v="39.409999999999997"/>
    <s v="Cash"/>
    <s v="In-store"/>
    <n v="4"/>
    <n v="0"/>
  </r>
  <r>
    <s v="TXN_000321"/>
    <s v="CORP_041"/>
    <x v="15"/>
    <x v="1"/>
    <x v="1"/>
    <s v="12:45–13:15"/>
    <s v="Buffet"/>
    <n v="7"/>
    <n v="153.5"/>
    <s v="Cash"/>
    <s v="In-store"/>
    <n v="4"/>
    <n v="1"/>
  </r>
  <r>
    <s v="TXN_000322"/>
    <s v="CORP_054"/>
    <x v="15"/>
    <x v="1"/>
    <x v="1"/>
    <s v="12:45–13:15"/>
    <s v="Buffet"/>
    <n v="4"/>
    <n v="89"/>
    <s v="Cash"/>
    <s v="Takeaway"/>
    <n v="4"/>
    <n v="1"/>
  </r>
  <r>
    <s v="TXN_000323"/>
    <s v="CORP_049"/>
    <x v="15"/>
    <x v="1"/>
    <x v="1"/>
    <s v="12:45–13:15"/>
    <s v="Buffet"/>
    <n v="3"/>
    <n v="64.5"/>
    <s v="Credit Card"/>
    <s v="In-store"/>
    <n v="4"/>
    <n v="1"/>
  </r>
  <r>
    <s v="TXN_000324"/>
    <s v="WALK_077"/>
    <x v="15"/>
    <x v="1"/>
    <x v="1"/>
    <s v="13:15–13:45"/>
    <s v="AlaCarte"/>
    <n v="1"/>
    <n v="13.17"/>
    <s v="Credit Card"/>
    <s v="Takeaway"/>
    <n v="4"/>
    <n v="0"/>
  </r>
  <r>
    <s v="TXN_000325"/>
    <s v="CORP_042"/>
    <x v="15"/>
    <x v="1"/>
    <x v="1"/>
    <s v="13:15–13:45"/>
    <s v="Buffet"/>
    <n v="4"/>
    <n v="89"/>
    <s v="Credit Card"/>
    <s v="Takeaway"/>
    <n v="4"/>
    <n v="1"/>
  </r>
  <r>
    <s v="TXN_000326"/>
    <s v="WALK_058"/>
    <x v="15"/>
    <x v="1"/>
    <x v="1"/>
    <s v="13:45–14:15"/>
    <s v="Buffet"/>
    <n v="4"/>
    <n v="89"/>
    <s v="Credit Card"/>
    <s v="Takeaway"/>
    <n v="4"/>
    <n v="1"/>
  </r>
  <r>
    <s v="TXN_000327"/>
    <s v="CORP_064"/>
    <x v="15"/>
    <x v="1"/>
    <x v="1"/>
    <s v="13:45–14:15"/>
    <s v="Buffet"/>
    <n v="3"/>
    <n v="64.5"/>
    <s v="Digital Wallet"/>
    <s v="Takeaway"/>
    <n v="4"/>
    <n v="1"/>
  </r>
  <r>
    <s v="TXN_000328"/>
    <s v="CORP_055"/>
    <x v="15"/>
    <x v="1"/>
    <x v="1"/>
    <s v="13:45–14:15"/>
    <s v="Buffet"/>
    <n v="5"/>
    <n v="109"/>
    <s v="Credit Card"/>
    <s v="In-store"/>
    <n v="4"/>
    <n v="1"/>
  </r>
  <r>
    <s v="TXN_000329"/>
    <s v="WALK_103"/>
    <x v="15"/>
    <x v="1"/>
    <x v="1"/>
    <s v="13:45–14:15"/>
    <s v="Buffet"/>
    <n v="3"/>
    <n v="64.5"/>
    <s v="Digital Wallet"/>
    <s v="In-store"/>
    <n v="4"/>
    <n v="1"/>
  </r>
  <r>
    <s v="TXN_000330"/>
    <s v="HOTEL_001"/>
    <x v="16"/>
    <x v="2"/>
    <x v="0"/>
    <s v="18:00–18:30"/>
    <s v="AlaCarte"/>
    <n v="4"/>
    <n v="123.56"/>
    <s v="Credit Card"/>
    <s v="Takeaway"/>
    <n v="5"/>
    <n v="0"/>
  </r>
  <r>
    <s v="TXN_000331"/>
    <s v="CORP_036"/>
    <x v="16"/>
    <x v="2"/>
    <x v="0"/>
    <s v="18:30–19:00"/>
    <s v="AlaCarte"/>
    <n v="3"/>
    <n v="68.959999999999994"/>
    <s v="Cash"/>
    <s v="In-store"/>
    <n v="5"/>
    <n v="0"/>
  </r>
  <r>
    <s v="TXN_000332"/>
    <s v="WALK_055"/>
    <x v="16"/>
    <x v="2"/>
    <x v="0"/>
    <s v="18:30–19:00"/>
    <s v="AlaCarte"/>
    <n v="4"/>
    <n v="117.29"/>
    <s v="Credit Card"/>
    <s v="In-store"/>
    <n v="5"/>
    <n v="0"/>
  </r>
  <r>
    <s v="TXN_000333"/>
    <s v="CORP_054"/>
    <x v="16"/>
    <x v="2"/>
    <x v="0"/>
    <s v="18:30–19:00"/>
    <s v="AlaCarte"/>
    <n v="1"/>
    <n v="24.01"/>
    <s v="Digital Wallet"/>
    <s v="In-store"/>
    <n v="5"/>
    <n v="0"/>
  </r>
  <r>
    <s v="TXN_000334"/>
    <s v="CORP_076"/>
    <x v="16"/>
    <x v="2"/>
    <x v="0"/>
    <s v="19:00–19:30"/>
    <s v="AlaCarte"/>
    <n v="1"/>
    <n v="17.89"/>
    <s v="Credit Card"/>
    <s v="In-store"/>
    <n v="5"/>
    <n v="0"/>
  </r>
  <r>
    <s v="TXN_000335"/>
    <s v="HOTEL_032"/>
    <x v="16"/>
    <x v="2"/>
    <x v="0"/>
    <s v="19:00–19:30"/>
    <s v="AlaCarte"/>
    <n v="3"/>
    <n v="92.28"/>
    <s v="Credit Card"/>
    <s v="In-store"/>
    <n v="5"/>
    <n v="0"/>
  </r>
  <r>
    <s v="TXN_000336"/>
    <s v="WALK_098"/>
    <x v="16"/>
    <x v="2"/>
    <x v="0"/>
    <s v="19:00–19:30"/>
    <s v="AlaCarte"/>
    <n v="1"/>
    <n v="13.56"/>
    <s v="Credit Card"/>
    <s v="In-store"/>
    <n v="5"/>
    <n v="0"/>
  </r>
  <r>
    <s v="TXN_000337"/>
    <s v="CORP_023"/>
    <x v="16"/>
    <x v="2"/>
    <x v="1"/>
    <s v="12:15–12:45"/>
    <s v="AlaCarte"/>
    <n v="4"/>
    <n v="93.95"/>
    <s v="Credit Card"/>
    <s v="In-store"/>
    <n v="5"/>
    <n v="0"/>
  </r>
  <r>
    <s v="TXN_000338"/>
    <s v="WALK_014"/>
    <x v="16"/>
    <x v="2"/>
    <x v="1"/>
    <s v="12:15–12:45"/>
    <s v="Buffet"/>
    <n v="2"/>
    <n v="49"/>
    <s v="Credit Card"/>
    <s v="Takeaway"/>
    <n v="5"/>
    <n v="1"/>
  </r>
  <r>
    <s v="TXN_000339"/>
    <s v="CORP_005"/>
    <x v="16"/>
    <x v="2"/>
    <x v="1"/>
    <s v="12:15–12:45"/>
    <s v="Buffet"/>
    <n v="3"/>
    <n v="64.5"/>
    <s v="Credit Card"/>
    <s v="Takeaway"/>
    <n v="5"/>
    <n v="1"/>
  </r>
  <r>
    <s v="TXN_000340"/>
    <s v="CORP_036"/>
    <x v="16"/>
    <x v="2"/>
    <x v="1"/>
    <s v="12:15–12:45"/>
    <s v="AlaCarte"/>
    <n v="3"/>
    <n v="52.5"/>
    <s v="Credit Card"/>
    <s v="In-store"/>
    <n v="5"/>
    <n v="0"/>
  </r>
  <r>
    <s v="TXN_000341"/>
    <s v="CORP_040"/>
    <x v="16"/>
    <x v="2"/>
    <x v="1"/>
    <s v="12:15–12:45"/>
    <s v="Buffet"/>
    <n v="6"/>
    <n v="120"/>
    <s v="Credit Card"/>
    <s v="Takeaway"/>
    <n v="5"/>
    <n v="1"/>
  </r>
  <r>
    <s v="TXN_000342"/>
    <s v="CORP_005"/>
    <x v="16"/>
    <x v="2"/>
    <x v="1"/>
    <s v="12:15–12:45"/>
    <s v="Buffet"/>
    <n v="3"/>
    <n v="64.5"/>
    <s v="Credit Card"/>
    <s v="Takeaway"/>
    <n v="5"/>
    <n v="1"/>
  </r>
  <r>
    <s v="TXN_000343"/>
    <s v="CORP_054"/>
    <x v="16"/>
    <x v="2"/>
    <x v="1"/>
    <s v="12:15–12:45"/>
    <s v="AlaCarte"/>
    <n v="3"/>
    <n v="53.97"/>
    <s v="Cash"/>
    <s v="Takeaway"/>
    <n v="5"/>
    <n v="0"/>
  </r>
  <r>
    <s v="TXN_000344"/>
    <s v="CORP_053"/>
    <x v="16"/>
    <x v="2"/>
    <x v="1"/>
    <s v="12:45–13:15"/>
    <s v="Buffet"/>
    <n v="3"/>
    <n v="64.5"/>
    <s v="Credit Card"/>
    <s v="In-store"/>
    <n v="5"/>
    <n v="1"/>
  </r>
  <r>
    <s v="TXN_000345"/>
    <s v="CORP_004"/>
    <x v="16"/>
    <x v="2"/>
    <x v="1"/>
    <s v="12:45–13:15"/>
    <s v="Buffet"/>
    <n v="2"/>
    <n v="40"/>
    <s v="Digital Wallet"/>
    <s v="In-store"/>
    <n v="5"/>
    <n v="1"/>
  </r>
  <r>
    <s v="TXN_000346"/>
    <s v="CORP_077"/>
    <x v="16"/>
    <x v="2"/>
    <x v="1"/>
    <s v="12:45–13:15"/>
    <s v="Buffet"/>
    <n v="5"/>
    <n v="109"/>
    <s v="Digital Wallet"/>
    <s v="Takeaway"/>
    <n v="5"/>
    <n v="1"/>
  </r>
  <r>
    <s v="TXN_000347"/>
    <s v="CORP_044"/>
    <x v="16"/>
    <x v="2"/>
    <x v="1"/>
    <s v="13:15–13:45"/>
    <s v="Buffet"/>
    <n v="2"/>
    <n v="44.5"/>
    <s v="Credit Card"/>
    <s v="In-store"/>
    <n v="5"/>
    <n v="1"/>
  </r>
  <r>
    <s v="TXN_000348"/>
    <s v="WALK_059"/>
    <x v="16"/>
    <x v="2"/>
    <x v="1"/>
    <s v="13:45–14:15"/>
    <s v="Buffet"/>
    <n v="3"/>
    <n v="69"/>
    <s v="Digital Wallet"/>
    <s v="In-store"/>
    <n v="5"/>
    <n v="1"/>
  </r>
  <r>
    <s v="TXN_000349"/>
    <s v="WALK_048"/>
    <x v="17"/>
    <x v="3"/>
    <x v="0"/>
    <s v="18:00–18:30"/>
    <s v="AlaCarte"/>
    <n v="4"/>
    <n v="118.9"/>
    <s v="Credit Card"/>
    <s v="In-store"/>
    <n v="6"/>
    <n v="0"/>
  </r>
  <r>
    <s v="TXN_000350"/>
    <s v="HOTEL_036"/>
    <x v="17"/>
    <x v="3"/>
    <x v="0"/>
    <s v="18:00–18:30"/>
    <s v="AlaCarte"/>
    <n v="3"/>
    <n v="107.08"/>
    <s v="Credit Card"/>
    <s v="In-store"/>
    <n v="6"/>
    <n v="0"/>
  </r>
  <r>
    <s v="TXN_000351"/>
    <s v="WALK_109"/>
    <x v="17"/>
    <x v="3"/>
    <x v="0"/>
    <s v="18:00–18:30"/>
    <s v="AlaCarte"/>
    <n v="4"/>
    <n v="88.59"/>
    <s v="Digital Wallet"/>
    <s v="Takeaway"/>
    <n v="6"/>
    <n v="0"/>
  </r>
  <r>
    <s v="TXN_000352"/>
    <s v="WALK_019"/>
    <x v="17"/>
    <x v="3"/>
    <x v="0"/>
    <s v="18:00–18:30"/>
    <s v="AlaCarte"/>
    <n v="4"/>
    <n v="52.02"/>
    <s v="Credit Card"/>
    <s v="Takeaway"/>
    <n v="6"/>
    <n v="0"/>
  </r>
  <r>
    <s v="TXN_000353"/>
    <s v="WALK_012"/>
    <x v="17"/>
    <x v="3"/>
    <x v="0"/>
    <s v="18:00–18:30"/>
    <s v="AlaCarte"/>
    <n v="6"/>
    <n v="146.06"/>
    <s v="Credit Card"/>
    <s v="In-store"/>
    <n v="6"/>
    <n v="0"/>
  </r>
  <r>
    <s v="TXN_000354"/>
    <s v="HOTEL_027"/>
    <x v="17"/>
    <x v="3"/>
    <x v="0"/>
    <s v="18:30–19:00"/>
    <s v="AlaCarte"/>
    <n v="4"/>
    <n v="106.56"/>
    <s v="Credit Card"/>
    <s v="Takeaway"/>
    <n v="6"/>
    <n v="0"/>
  </r>
  <r>
    <s v="TXN_000355"/>
    <s v="HOTEL_001"/>
    <x v="17"/>
    <x v="3"/>
    <x v="0"/>
    <s v="18:30–19:00"/>
    <s v="AlaCarte"/>
    <n v="2"/>
    <n v="52.4"/>
    <s v="Cash"/>
    <s v="In-store"/>
    <n v="6"/>
    <n v="0"/>
  </r>
  <r>
    <s v="TXN_000356"/>
    <s v="CORP_019"/>
    <x v="17"/>
    <x v="3"/>
    <x v="0"/>
    <s v="18:30–19:00"/>
    <s v="AlaCarte"/>
    <n v="2"/>
    <n v="41.34"/>
    <s v="Credit Card"/>
    <s v="In-store"/>
    <n v="6"/>
    <n v="0"/>
  </r>
  <r>
    <s v="TXN_000357"/>
    <s v="HOTEL_027"/>
    <x v="17"/>
    <x v="3"/>
    <x v="0"/>
    <s v="18:30–19:00"/>
    <s v="AlaCarte"/>
    <n v="6"/>
    <n v="111.5"/>
    <s v="Cash"/>
    <s v="Takeaway"/>
    <n v="6"/>
    <n v="0"/>
  </r>
  <r>
    <s v="TXN_000358"/>
    <s v="CORP_070"/>
    <x v="17"/>
    <x v="3"/>
    <x v="0"/>
    <s v="19:00–19:30"/>
    <s v="AlaCarte"/>
    <n v="2"/>
    <n v="56.96"/>
    <s v="Digital Wallet"/>
    <s v="Takeaway"/>
    <n v="6"/>
    <n v="0"/>
  </r>
  <r>
    <s v="TXN_000359"/>
    <s v="HOTEL_024"/>
    <x v="17"/>
    <x v="3"/>
    <x v="0"/>
    <s v="19:00–19:30"/>
    <s v="AlaCarte"/>
    <n v="3"/>
    <n v="75.58"/>
    <s v="Credit Card"/>
    <s v="In-store"/>
    <n v="6"/>
    <n v="0"/>
  </r>
  <r>
    <s v="TXN_000360"/>
    <s v="HOTEL_014"/>
    <x v="17"/>
    <x v="3"/>
    <x v="0"/>
    <s v="19:00–19:30"/>
    <s v="AlaCarte"/>
    <n v="3"/>
    <n v="120.69"/>
    <s v="Cash"/>
    <s v="In-store"/>
    <n v="6"/>
    <n v="0"/>
  </r>
  <r>
    <s v="TXN_000361"/>
    <s v="WALK_087"/>
    <x v="17"/>
    <x v="3"/>
    <x v="0"/>
    <s v="19:00–19:30"/>
    <s v="AlaCarte"/>
    <n v="3"/>
    <n v="85.42"/>
    <s v="Credit Card"/>
    <s v="In-store"/>
    <n v="6"/>
    <n v="0"/>
  </r>
  <r>
    <s v="TXN_000362"/>
    <s v="WALK_074"/>
    <x v="17"/>
    <x v="3"/>
    <x v="0"/>
    <s v="19:00–19:30"/>
    <s v="AlaCarte"/>
    <n v="4"/>
    <n v="124.06"/>
    <s v="Credit Card"/>
    <s v="Takeaway"/>
    <n v="6"/>
    <n v="0"/>
  </r>
  <r>
    <s v="TXN_000363"/>
    <s v="HOTEL_019"/>
    <x v="17"/>
    <x v="3"/>
    <x v="0"/>
    <s v="19:30–20:00"/>
    <s v="AlaCarte"/>
    <n v="2"/>
    <n v="28.86"/>
    <s v="Digital Wallet"/>
    <s v="In-store"/>
    <n v="6"/>
    <n v="0"/>
  </r>
  <r>
    <s v="TXN_000364"/>
    <s v="WALK_016"/>
    <x v="17"/>
    <x v="3"/>
    <x v="0"/>
    <s v="19:30–20:00"/>
    <s v="AlaCarte"/>
    <n v="3"/>
    <n v="71.52"/>
    <s v="Credit Card"/>
    <s v="Takeaway"/>
    <n v="6"/>
    <n v="0"/>
  </r>
  <r>
    <s v="TXN_000365"/>
    <s v="WALK_009"/>
    <x v="17"/>
    <x v="3"/>
    <x v="0"/>
    <s v="19:30–20:00"/>
    <s v="AlaCarte"/>
    <n v="4"/>
    <n v="112.71"/>
    <s v="Cash"/>
    <s v="In-store"/>
    <n v="6"/>
    <n v="0"/>
  </r>
  <r>
    <s v="TXN_000366"/>
    <s v="WALK_008"/>
    <x v="17"/>
    <x v="3"/>
    <x v="0"/>
    <s v="19:30–20:00"/>
    <s v="AlaCarte"/>
    <n v="2"/>
    <n v="40.9"/>
    <s v="Credit Card"/>
    <s v="In-store"/>
    <n v="6"/>
    <n v="0"/>
  </r>
  <r>
    <s v="TXN_000367"/>
    <s v="WALK_054"/>
    <x v="17"/>
    <x v="3"/>
    <x v="0"/>
    <s v="19:30–20:00"/>
    <s v="AlaCarte"/>
    <n v="1"/>
    <n v="33.89"/>
    <s v="Credit Card"/>
    <s v="In-store"/>
    <n v="6"/>
    <n v="0"/>
  </r>
  <r>
    <s v="TXN_000368"/>
    <s v="WALK_041"/>
    <x v="17"/>
    <x v="3"/>
    <x v="0"/>
    <s v="19:30–20:00"/>
    <s v="AlaCarte"/>
    <n v="1"/>
    <n v="12.72"/>
    <s v="Credit Card"/>
    <s v="In-store"/>
    <n v="6"/>
    <n v="0"/>
  </r>
  <r>
    <s v="TXN_000369"/>
    <s v="CORP_015"/>
    <x v="17"/>
    <x v="3"/>
    <x v="0"/>
    <s v="19:30–20:00"/>
    <s v="AlaCarte"/>
    <n v="6"/>
    <n v="313.95999999999998"/>
    <s v="Digital Wallet"/>
    <s v="Takeaway"/>
    <n v="6"/>
    <n v="0"/>
  </r>
  <r>
    <s v="TXN_000370"/>
    <s v="HOTEL_010"/>
    <x v="17"/>
    <x v="3"/>
    <x v="0"/>
    <s v="20:00–20:30"/>
    <s v="AlaCarte"/>
    <n v="2"/>
    <n v="46.95"/>
    <s v="Credit Card"/>
    <s v="In-store"/>
    <n v="6"/>
    <n v="0"/>
  </r>
  <r>
    <s v="TXN_000371"/>
    <s v="HOTEL_023"/>
    <x v="17"/>
    <x v="3"/>
    <x v="0"/>
    <s v="20:00–20:30"/>
    <s v="AlaCarte"/>
    <n v="2"/>
    <n v="85.62"/>
    <s v="Digital Wallet"/>
    <s v="In-store"/>
    <n v="6"/>
    <n v="0"/>
  </r>
  <r>
    <s v="TXN_000372"/>
    <s v="HOTEL_010"/>
    <x v="17"/>
    <x v="3"/>
    <x v="0"/>
    <s v="20:00–20:30"/>
    <s v="AlaCarte"/>
    <n v="2"/>
    <n v="124.76"/>
    <s v="Cash"/>
    <s v="In-store"/>
    <n v="6"/>
    <n v="0"/>
  </r>
  <r>
    <s v="TXN_000373"/>
    <s v="WALK_080"/>
    <x v="17"/>
    <x v="3"/>
    <x v="0"/>
    <s v="20:00–20:30"/>
    <s v="AlaCarte"/>
    <n v="4"/>
    <n v="86.08"/>
    <s v="Cash"/>
    <s v="In-store"/>
    <n v="6"/>
    <n v="0"/>
  </r>
  <r>
    <s v="TXN_000374"/>
    <s v="WALK_063"/>
    <x v="17"/>
    <x v="3"/>
    <x v="0"/>
    <s v="20:00–20:30"/>
    <s v="AlaCarte"/>
    <n v="1"/>
    <n v="30.58"/>
    <s v="Cash"/>
    <s v="Takeaway"/>
    <n v="6"/>
    <n v="0"/>
  </r>
  <r>
    <s v="TXN_000375"/>
    <s v="WALK_047"/>
    <x v="17"/>
    <x v="3"/>
    <x v="0"/>
    <s v="20:00–20:30"/>
    <s v="AlaCarte"/>
    <n v="5"/>
    <n v="172.26"/>
    <s v="Digital Wallet"/>
    <s v="In-store"/>
    <n v="6"/>
    <n v="0"/>
  </r>
  <r>
    <s v="TXN_000376"/>
    <s v="WALK_029"/>
    <x v="17"/>
    <x v="3"/>
    <x v="1"/>
    <s v="12:15–12:45"/>
    <s v="AlaCarte"/>
    <n v="2"/>
    <n v="27.35"/>
    <s v="Cash"/>
    <s v="Takeaway"/>
    <n v="6"/>
    <n v="0"/>
  </r>
  <r>
    <s v="TXN_000377"/>
    <s v="CORP_074"/>
    <x v="17"/>
    <x v="3"/>
    <x v="1"/>
    <s v="12:15–12:45"/>
    <s v="AlaCarte"/>
    <n v="3"/>
    <n v="26.21"/>
    <s v="Cash"/>
    <s v="In-store"/>
    <n v="6"/>
    <n v="0"/>
  </r>
  <r>
    <s v="TXN_000378"/>
    <s v="CORP_032"/>
    <x v="17"/>
    <x v="3"/>
    <x v="1"/>
    <s v="12:15–12:45"/>
    <s v="AlaCarte"/>
    <n v="5"/>
    <n v="99.21"/>
    <s v="Credit Card"/>
    <s v="In-store"/>
    <n v="6"/>
    <n v="0"/>
  </r>
  <r>
    <s v="TXN_000379"/>
    <s v="CORP_071"/>
    <x v="17"/>
    <x v="3"/>
    <x v="1"/>
    <s v="13:15–13:45"/>
    <s v="AlaCarte"/>
    <n v="3"/>
    <n v="30.5"/>
    <s v="Cash"/>
    <s v="Takeaway"/>
    <n v="6"/>
    <n v="0"/>
  </r>
  <r>
    <s v="TXN_000380"/>
    <s v="HOTEL_023"/>
    <x v="18"/>
    <x v="4"/>
    <x v="0"/>
    <s v="18:30–19:00"/>
    <s v="AlaCarte"/>
    <n v="2"/>
    <n v="79.12"/>
    <s v="Digital Wallet"/>
    <s v="In-store"/>
    <n v="7"/>
    <n v="0"/>
  </r>
  <r>
    <s v="TXN_000381"/>
    <s v="HOTEL_034"/>
    <x v="18"/>
    <x v="4"/>
    <x v="0"/>
    <s v="18:30–19:00"/>
    <s v="AlaCarte"/>
    <n v="1"/>
    <n v="26.49"/>
    <s v="Credit Card"/>
    <s v="In-store"/>
    <n v="7"/>
    <n v="0"/>
  </r>
  <r>
    <s v="TXN_000382"/>
    <s v="HOTEL_035"/>
    <x v="18"/>
    <x v="4"/>
    <x v="0"/>
    <s v="19:00–19:30"/>
    <s v="AlaCarte"/>
    <n v="2"/>
    <n v="66.62"/>
    <s v="Cash"/>
    <s v="In-store"/>
    <n v="7"/>
    <n v="0"/>
  </r>
  <r>
    <s v="TXN_000383"/>
    <s v="WALK_077"/>
    <x v="18"/>
    <x v="4"/>
    <x v="0"/>
    <s v="19:00–19:30"/>
    <s v="AlaCarte"/>
    <n v="3"/>
    <n v="89.88"/>
    <s v="Credit Card"/>
    <s v="In-store"/>
    <n v="7"/>
    <n v="0"/>
  </r>
  <r>
    <s v="TXN_000384"/>
    <s v="HOTEL_027"/>
    <x v="18"/>
    <x v="4"/>
    <x v="0"/>
    <s v="19:00–19:30"/>
    <s v="AlaCarte"/>
    <n v="4"/>
    <n v="122.72"/>
    <s v="Credit Card"/>
    <s v="In-store"/>
    <n v="7"/>
    <n v="0"/>
  </r>
  <r>
    <s v="TXN_000385"/>
    <s v="WALK_057"/>
    <x v="18"/>
    <x v="4"/>
    <x v="0"/>
    <s v="19:00–19:30"/>
    <s v="AlaCarte"/>
    <n v="3"/>
    <n v="158.29"/>
    <s v="Credit Card"/>
    <s v="In-store"/>
    <n v="7"/>
    <n v="0"/>
  </r>
  <r>
    <s v="TXN_000386"/>
    <s v="WALK_010"/>
    <x v="18"/>
    <x v="4"/>
    <x v="0"/>
    <s v="19:30–20:00"/>
    <s v="AlaCarte"/>
    <n v="6"/>
    <n v="153.80000000000001"/>
    <s v="Credit Card"/>
    <s v="In-store"/>
    <n v="7"/>
    <n v="0"/>
  </r>
  <r>
    <s v="TXN_000387"/>
    <s v="HOTEL_032"/>
    <x v="18"/>
    <x v="4"/>
    <x v="0"/>
    <s v="19:30–20:00"/>
    <s v="AlaCarte"/>
    <n v="1"/>
    <n v="42.05"/>
    <s v="Credit Card"/>
    <s v="Takeaway"/>
    <n v="7"/>
    <n v="0"/>
  </r>
  <r>
    <s v="TXN_000388"/>
    <s v="WALK_034"/>
    <x v="18"/>
    <x v="4"/>
    <x v="0"/>
    <s v="19:30–20:00"/>
    <s v="AlaCarte"/>
    <n v="6"/>
    <n v="162.04"/>
    <s v="Cash"/>
    <s v="In-store"/>
    <n v="7"/>
    <n v="0"/>
  </r>
  <r>
    <s v="TXN_000389"/>
    <s v="HOTEL_027"/>
    <x v="18"/>
    <x v="4"/>
    <x v="0"/>
    <s v="19:30–20:00"/>
    <s v="AlaCarte"/>
    <n v="3"/>
    <n v="38.630000000000003"/>
    <s v="Digital Wallet"/>
    <s v="In-store"/>
    <n v="7"/>
    <n v="0"/>
  </r>
  <r>
    <s v="TXN_000390"/>
    <s v="HOTEL_028"/>
    <x v="18"/>
    <x v="4"/>
    <x v="0"/>
    <s v="19:30–20:00"/>
    <s v="AlaCarte"/>
    <n v="3"/>
    <n v="62.57"/>
    <s v="Credit Card"/>
    <s v="Takeaway"/>
    <n v="7"/>
    <n v="0"/>
  </r>
  <r>
    <s v="TXN_000391"/>
    <s v="HOTEL_002"/>
    <x v="18"/>
    <x v="4"/>
    <x v="0"/>
    <s v="19:30–20:00"/>
    <s v="AlaCarte"/>
    <n v="3"/>
    <n v="61.22"/>
    <s v="Credit Card"/>
    <s v="Takeaway"/>
    <n v="7"/>
    <n v="0"/>
  </r>
  <r>
    <s v="TXN_000392"/>
    <s v="WALK_007"/>
    <x v="18"/>
    <x v="4"/>
    <x v="0"/>
    <s v="19:30–20:00"/>
    <s v="AlaCarte"/>
    <n v="3"/>
    <n v="92.93"/>
    <s v="Credit Card"/>
    <s v="In-store"/>
    <n v="7"/>
    <n v="0"/>
  </r>
  <r>
    <s v="TXN_000393"/>
    <s v="HOTEL_007"/>
    <x v="18"/>
    <x v="4"/>
    <x v="0"/>
    <s v="19:30–20:00"/>
    <s v="AlaCarte"/>
    <n v="2"/>
    <n v="94.33"/>
    <s v="Cash"/>
    <s v="Takeaway"/>
    <n v="7"/>
    <n v="0"/>
  </r>
  <r>
    <s v="TXN_000394"/>
    <s v="WALK_068"/>
    <x v="18"/>
    <x v="4"/>
    <x v="0"/>
    <s v="20:00–20:30"/>
    <s v="AlaCarte"/>
    <n v="6"/>
    <n v="140.38999999999999"/>
    <s v="Cash"/>
    <s v="In-store"/>
    <n v="7"/>
    <n v="0"/>
  </r>
  <r>
    <s v="TXN_000395"/>
    <s v="HOTEL_027"/>
    <x v="18"/>
    <x v="4"/>
    <x v="0"/>
    <s v="20:00–20:30"/>
    <s v="AlaCarte"/>
    <n v="7"/>
    <n v="260.62"/>
    <s v="Credit Card"/>
    <s v="In-store"/>
    <n v="7"/>
    <n v="0"/>
  </r>
  <r>
    <s v="TXN_000396"/>
    <s v="WALK_081"/>
    <x v="18"/>
    <x v="4"/>
    <x v="0"/>
    <s v="20:00–20:30"/>
    <s v="AlaCarte"/>
    <n v="2"/>
    <n v="59.16"/>
    <s v="Cash"/>
    <s v="In-store"/>
    <n v="7"/>
    <n v="0"/>
  </r>
  <r>
    <s v="TXN_000397"/>
    <s v="HOTEL_033"/>
    <x v="18"/>
    <x v="4"/>
    <x v="0"/>
    <s v="20:00–20:30"/>
    <s v="AlaCarte"/>
    <n v="4"/>
    <n v="122.82"/>
    <s v="Cash"/>
    <s v="In-store"/>
    <n v="7"/>
    <n v="0"/>
  </r>
  <r>
    <s v="TXN_000398"/>
    <s v="WALK_022"/>
    <x v="18"/>
    <x v="4"/>
    <x v="0"/>
    <s v="20:00–20:30"/>
    <s v="AlaCarte"/>
    <n v="4"/>
    <n v="138.07"/>
    <s v="Cash"/>
    <s v="Takeaway"/>
    <n v="7"/>
    <n v="0"/>
  </r>
  <r>
    <s v="TXN_000399"/>
    <s v="WALK_024"/>
    <x v="18"/>
    <x v="4"/>
    <x v="1"/>
    <s v="12:15–12:45"/>
    <s v="AlaCarte"/>
    <n v="4"/>
    <n v="70.08"/>
    <s v="Digital Wallet"/>
    <s v="In-store"/>
    <n v="7"/>
    <n v="0"/>
  </r>
  <r>
    <s v="TXN_000400"/>
    <s v="CORP_063"/>
    <x v="18"/>
    <x v="4"/>
    <x v="1"/>
    <s v="12:45–13:15"/>
    <s v="AlaCarte"/>
    <n v="4"/>
    <n v="109.97"/>
    <s v="Credit Card"/>
    <s v="Takeaway"/>
    <n v="7"/>
    <n v="0"/>
  </r>
  <r>
    <s v="TXN_000401"/>
    <s v="CORP_048"/>
    <x v="18"/>
    <x v="4"/>
    <x v="1"/>
    <s v="12:45–13:15"/>
    <s v="AlaCarte"/>
    <n v="4"/>
    <n v="47.7"/>
    <s v="Digital Wallet"/>
    <s v="In-store"/>
    <n v="7"/>
    <n v="0"/>
  </r>
  <r>
    <s v="TXN_000402"/>
    <s v="CORP_022"/>
    <x v="18"/>
    <x v="4"/>
    <x v="1"/>
    <s v="12:45–13:15"/>
    <s v="AlaCarte"/>
    <n v="2"/>
    <n v="45.78"/>
    <s v="Cash"/>
    <s v="Takeaway"/>
    <n v="7"/>
    <n v="0"/>
  </r>
  <r>
    <s v="TXN_000403"/>
    <s v="WALK_058"/>
    <x v="19"/>
    <x v="5"/>
    <x v="0"/>
    <s v="18:00–18:30"/>
    <s v="AlaCarte"/>
    <n v="2"/>
    <n v="72.19"/>
    <s v="Credit Card"/>
    <s v="Takeaway"/>
    <n v="1"/>
    <n v="0"/>
  </r>
  <r>
    <s v="TXN_000404"/>
    <s v="WALK_044"/>
    <x v="19"/>
    <x v="5"/>
    <x v="0"/>
    <s v="18:00–18:30"/>
    <s v="AlaCarte"/>
    <n v="4"/>
    <n v="66.290000000000006"/>
    <s v="Credit Card"/>
    <s v="Takeaway"/>
    <n v="1"/>
    <n v="0"/>
  </r>
  <r>
    <s v="TXN_000405"/>
    <s v="WALK_050"/>
    <x v="19"/>
    <x v="5"/>
    <x v="0"/>
    <s v="18:00–18:30"/>
    <s v="AlaCarte"/>
    <n v="2"/>
    <n v="66.17"/>
    <s v="Credit Card"/>
    <s v="In-store"/>
    <n v="1"/>
    <n v="0"/>
  </r>
  <r>
    <s v="TXN_000406"/>
    <s v="WALK_048"/>
    <x v="19"/>
    <x v="5"/>
    <x v="0"/>
    <s v="18:30–19:00"/>
    <s v="AlaCarte"/>
    <n v="2"/>
    <n v="49.12"/>
    <s v="Credit Card"/>
    <s v="In-store"/>
    <n v="1"/>
    <n v="0"/>
  </r>
  <r>
    <s v="TXN_000407"/>
    <s v="CORP_001"/>
    <x v="19"/>
    <x v="5"/>
    <x v="0"/>
    <s v="18:30–19:00"/>
    <s v="AlaCarte"/>
    <n v="1"/>
    <n v="50.84"/>
    <s v="Digital Wallet"/>
    <s v="In-store"/>
    <n v="1"/>
    <n v="0"/>
  </r>
  <r>
    <s v="TXN_000408"/>
    <s v="WALK_098"/>
    <x v="19"/>
    <x v="5"/>
    <x v="0"/>
    <s v="19:00–19:30"/>
    <s v="AlaCarte"/>
    <n v="5"/>
    <n v="286.64"/>
    <s v="Credit Card"/>
    <s v="In-store"/>
    <n v="1"/>
    <n v="0"/>
  </r>
  <r>
    <s v="TXN_000409"/>
    <s v="CORP_023"/>
    <x v="19"/>
    <x v="5"/>
    <x v="0"/>
    <s v="19:00–19:30"/>
    <s v="AlaCarte"/>
    <n v="3"/>
    <n v="118.31"/>
    <s v="Credit Card"/>
    <s v="Takeaway"/>
    <n v="1"/>
    <n v="0"/>
  </r>
  <r>
    <s v="TXN_000410"/>
    <s v="HOTEL_010"/>
    <x v="19"/>
    <x v="5"/>
    <x v="0"/>
    <s v="19:00–19:30"/>
    <s v="AlaCarte"/>
    <n v="2"/>
    <n v="47.29"/>
    <s v="Credit Card"/>
    <s v="In-store"/>
    <n v="1"/>
    <n v="0"/>
  </r>
  <r>
    <s v="TXN_000411"/>
    <s v="WALK_035"/>
    <x v="19"/>
    <x v="5"/>
    <x v="0"/>
    <s v="19:30–20:00"/>
    <s v="AlaCarte"/>
    <n v="1"/>
    <n v="22.7"/>
    <s v="Credit Card"/>
    <s v="In-store"/>
    <n v="1"/>
    <n v="0"/>
  </r>
  <r>
    <s v="TXN_000412"/>
    <s v="WALK_049"/>
    <x v="19"/>
    <x v="5"/>
    <x v="0"/>
    <s v="19:30–20:00"/>
    <s v="AlaCarte"/>
    <n v="3"/>
    <n v="97.21"/>
    <s v="Credit Card"/>
    <s v="In-store"/>
    <n v="1"/>
    <n v="0"/>
  </r>
  <r>
    <s v="TXN_000413"/>
    <s v="WALK_094"/>
    <x v="19"/>
    <x v="5"/>
    <x v="0"/>
    <s v="19:30–20:00"/>
    <s v="AlaCarte"/>
    <n v="3"/>
    <n v="172.58"/>
    <s v="Cash"/>
    <s v="In-store"/>
    <n v="1"/>
    <n v="0"/>
  </r>
  <r>
    <s v="TXN_000414"/>
    <s v="WALK_098"/>
    <x v="19"/>
    <x v="5"/>
    <x v="0"/>
    <s v="20:00–20:30"/>
    <s v="AlaCarte"/>
    <n v="2"/>
    <n v="56.59"/>
    <s v="Cash"/>
    <s v="In-store"/>
    <n v="1"/>
    <n v="0"/>
  </r>
  <r>
    <s v="TXN_000415"/>
    <s v="HOTEL_008"/>
    <x v="19"/>
    <x v="5"/>
    <x v="0"/>
    <s v="20:00–20:30"/>
    <s v="AlaCarte"/>
    <n v="3"/>
    <n v="97.44"/>
    <s v="Cash"/>
    <s v="In-store"/>
    <n v="1"/>
    <n v="0"/>
  </r>
  <r>
    <s v="TXN_000416"/>
    <s v="WALK_023"/>
    <x v="19"/>
    <x v="5"/>
    <x v="0"/>
    <s v="20:00–20:30"/>
    <s v="AlaCarte"/>
    <n v="5"/>
    <n v="100.44"/>
    <s v="Cash"/>
    <s v="Takeaway"/>
    <n v="1"/>
    <n v="0"/>
  </r>
  <r>
    <s v="TXN_000417"/>
    <s v="CORP_045"/>
    <x v="19"/>
    <x v="5"/>
    <x v="0"/>
    <s v="20:00–20:30"/>
    <s v="AlaCarte"/>
    <n v="4"/>
    <n v="130.62"/>
    <s v="Credit Card"/>
    <s v="Takeaway"/>
    <n v="1"/>
    <n v="0"/>
  </r>
  <r>
    <s v="TXN_000418"/>
    <s v="CORP_077"/>
    <x v="19"/>
    <x v="5"/>
    <x v="1"/>
    <s v="12:15–12:45"/>
    <s v="AlaCarte"/>
    <n v="3"/>
    <n v="46.16"/>
    <s v="Credit Card"/>
    <s v="In-store"/>
    <n v="1"/>
    <n v="0"/>
  </r>
  <r>
    <s v="TXN_000419"/>
    <s v="CORP_073"/>
    <x v="19"/>
    <x v="5"/>
    <x v="1"/>
    <s v="12:15–12:45"/>
    <s v="AlaCarte"/>
    <n v="3"/>
    <n v="55.34"/>
    <s v="Digital Wallet"/>
    <s v="Takeaway"/>
    <n v="1"/>
    <n v="0"/>
  </r>
  <r>
    <s v="TXN_000420"/>
    <s v="CORP_073"/>
    <x v="19"/>
    <x v="5"/>
    <x v="1"/>
    <s v="12:15–12:45"/>
    <s v="AlaCarte"/>
    <n v="1"/>
    <n v="43.19"/>
    <s v="Cash"/>
    <s v="Takeaway"/>
    <n v="1"/>
    <n v="0"/>
  </r>
  <r>
    <s v="TXN_000421"/>
    <s v="WALK_062"/>
    <x v="19"/>
    <x v="5"/>
    <x v="1"/>
    <s v="12:45–13:15"/>
    <s v="AlaCarte"/>
    <n v="3"/>
    <n v="43.56"/>
    <s v="Credit Card"/>
    <s v="Takeaway"/>
    <n v="1"/>
    <n v="0"/>
  </r>
  <r>
    <s v="TXN_000422"/>
    <s v="CORP_046"/>
    <x v="19"/>
    <x v="5"/>
    <x v="1"/>
    <s v="13:15–13:45"/>
    <s v="AlaCarte"/>
    <n v="2"/>
    <n v="25.92"/>
    <s v="Credit Card"/>
    <s v="In-store"/>
    <n v="1"/>
    <n v="0"/>
  </r>
  <r>
    <s v="TXN_000423"/>
    <s v="CORP_038"/>
    <x v="19"/>
    <x v="5"/>
    <x v="1"/>
    <s v="13:15–13:45"/>
    <s v="AlaCarte"/>
    <n v="2"/>
    <n v="56"/>
    <s v="Credit Card"/>
    <s v="Takeaway"/>
    <n v="1"/>
    <n v="0"/>
  </r>
  <r>
    <s v="TXN_000424"/>
    <s v="CORP_070"/>
    <x v="19"/>
    <x v="5"/>
    <x v="1"/>
    <s v="13:45–14:15"/>
    <s v="AlaCarte"/>
    <n v="2"/>
    <n v="20.07"/>
    <s v="Digital Wallet"/>
    <s v="Takeaway"/>
    <n v="1"/>
    <n v="0"/>
  </r>
  <r>
    <s v="TXN_000425"/>
    <s v="WALK_057"/>
    <x v="20"/>
    <x v="6"/>
    <x v="0"/>
    <s v="18:00–18:30"/>
    <s v="AlaCarte"/>
    <n v="6"/>
    <n v="324.63"/>
    <s v="Credit Card"/>
    <s v="In-store"/>
    <n v="2"/>
    <n v="0"/>
  </r>
  <r>
    <s v="TXN_000426"/>
    <s v="CORP_067"/>
    <x v="20"/>
    <x v="6"/>
    <x v="0"/>
    <s v="18:00–18:30"/>
    <s v="AlaCarte"/>
    <n v="7"/>
    <n v="127.78"/>
    <s v="Cash"/>
    <s v="In-store"/>
    <n v="2"/>
    <n v="0"/>
  </r>
  <r>
    <s v="TXN_000427"/>
    <s v="CORP_056"/>
    <x v="20"/>
    <x v="6"/>
    <x v="0"/>
    <s v="18:00–18:30"/>
    <s v="AlaCarte"/>
    <n v="3"/>
    <n v="147.27000000000001"/>
    <s v="Credit Card"/>
    <s v="Takeaway"/>
    <n v="2"/>
    <n v="0"/>
  </r>
  <r>
    <s v="TXN_000428"/>
    <s v="WALK_017"/>
    <x v="20"/>
    <x v="6"/>
    <x v="0"/>
    <s v="18:00–18:30"/>
    <s v="AlaCarte"/>
    <n v="6"/>
    <n v="158.79"/>
    <s v="Credit Card"/>
    <s v="In-store"/>
    <n v="2"/>
    <n v="0"/>
  </r>
  <r>
    <s v="TXN_000429"/>
    <s v="CORP_061"/>
    <x v="20"/>
    <x v="6"/>
    <x v="0"/>
    <s v="18:00–18:30"/>
    <s v="AlaCarte"/>
    <n v="3"/>
    <n v="61.36"/>
    <s v="Credit Card"/>
    <s v="Takeaway"/>
    <n v="2"/>
    <n v="0"/>
  </r>
  <r>
    <s v="TXN_000430"/>
    <s v="WALK_098"/>
    <x v="20"/>
    <x v="6"/>
    <x v="0"/>
    <s v="18:30–19:00"/>
    <s v="AlaCarte"/>
    <n v="3"/>
    <n v="68.77"/>
    <s v="Credit Card"/>
    <s v="In-store"/>
    <n v="2"/>
    <n v="0"/>
  </r>
  <r>
    <s v="TXN_000431"/>
    <s v="CORP_020"/>
    <x v="20"/>
    <x v="6"/>
    <x v="0"/>
    <s v="18:30–19:00"/>
    <s v="AlaCarte"/>
    <n v="2"/>
    <n v="36.799999999999997"/>
    <s v="Cash"/>
    <s v="In-store"/>
    <n v="2"/>
    <n v="0"/>
  </r>
  <r>
    <s v="TXN_000432"/>
    <s v="WALK_049"/>
    <x v="20"/>
    <x v="6"/>
    <x v="0"/>
    <s v="18:30–19:00"/>
    <s v="AlaCarte"/>
    <n v="1"/>
    <n v="25.02"/>
    <s v="Credit Card"/>
    <s v="In-store"/>
    <n v="2"/>
    <n v="0"/>
  </r>
  <r>
    <s v="TXN_000433"/>
    <s v="HOTEL_019"/>
    <x v="20"/>
    <x v="6"/>
    <x v="0"/>
    <s v="18:30–19:00"/>
    <s v="AlaCarte"/>
    <n v="4"/>
    <n v="92.68"/>
    <s v="Digital Wallet"/>
    <s v="Takeaway"/>
    <n v="2"/>
    <n v="0"/>
  </r>
  <r>
    <s v="TXN_000434"/>
    <s v="WALK_032"/>
    <x v="20"/>
    <x v="6"/>
    <x v="0"/>
    <s v="19:00–19:30"/>
    <s v="AlaCarte"/>
    <n v="2"/>
    <n v="56.9"/>
    <s v="Digital Wallet"/>
    <s v="In-store"/>
    <n v="2"/>
    <n v="0"/>
  </r>
  <r>
    <s v="TXN_000435"/>
    <s v="WALK_063"/>
    <x v="20"/>
    <x v="6"/>
    <x v="0"/>
    <s v="19:00–19:30"/>
    <s v="AlaCarte"/>
    <n v="4"/>
    <n v="208.26"/>
    <s v="Credit Card"/>
    <s v="In-store"/>
    <n v="2"/>
    <n v="0"/>
  </r>
  <r>
    <s v="TXN_000436"/>
    <s v="CORP_012"/>
    <x v="20"/>
    <x v="6"/>
    <x v="0"/>
    <s v="19:00–19:30"/>
    <s v="AlaCarte"/>
    <n v="5"/>
    <n v="108.26"/>
    <s v="Credit Card"/>
    <s v="Takeaway"/>
    <n v="2"/>
    <n v="0"/>
  </r>
  <r>
    <s v="TXN_000437"/>
    <s v="WALK_051"/>
    <x v="20"/>
    <x v="6"/>
    <x v="0"/>
    <s v="19:00–19:30"/>
    <s v="AlaCarte"/>
    <n v="3"/>
    <n v="73.78"/>
    <s v="Credit Card"/>
    <s v="Takeaway"/>
    <n v="2"/>
    <n v="0"/>
  </r>
  <r>
    <s v="TXN_000438"/>
    <s v="WALK_070"/>
    <x v="20"/>
    <x v="6"/>
    <x v="0"/>
    <s v="19:00–19:30"/>
    <s v="AlaCarte"/>
    <n v="2"/>
    <n v="50.41"/>
    <s v="Credit Card"/>
    <s v="In-store"/>
    <n v="2"/>
    <n v="0"/>
  </r>
  <r>
    <s v="TXN_000439"/>
    <s v="WALK_021"/>
    <x v="20"/>
    <x v="6"/>
    <x v="0"/>
    <s v="19:00–19:30"/>
    <s v="AlaCarte"/>
    <n v="2"/>
    <n v="51.7"/>
    <s v="Credit Card"/>
    <s v="In-store"/>
    <n v="2"/>
    <n v="0"/>
  </r>
  <r>
    <s v="TXN_000440"/>
    <s v="HOTEL_001"/>
    <x v="20"/>
    <x v="6"/>
    <x v="0"/>
    <s v="19:30–20:00"/>
    <s v="AlaCarte"/>
    <n v="1"/>
    <n v="22.1"/>
    <s v="Credit Card"/>
    <s v="Takeaway"/>
    <n v="2"/>
    <n v="0"/>
  </r>
  <r>
    <s v="TXN_000441"/>
    <s v="WALK_029"/>
    <x v="20"/>
    <x v="6"/>
    <x v="0"/>
    <s v="19:30–20:00"/>
    <s v="AlaCarte"/>
    <n v="2"/>
    <n v="27.52"/>
    <s v="Credit Card"/>
    <s v="In-store"/>
    <n v="2"/>
    <n v="0"/>
  </r>
  <r>
    <s v="TXN_000442"/>
    <s v="WALK_079"/>
    <x v="20"/>
    <x v="6"/>
    <x v="0"/>
    <s v="19:30–20:00"/>
    <s v="AlaCarte"/>
    <n v="4"/>
    <n v="133.47"/>
    <s v="Credit Card"/>
    <s v="In-store"/>
    <n v="2"/>
    <n v="0"/>
  </r>
  <r>
    <s v="TXN_000443"/>
    <s v="WALK_008"/>
    <x v="20"/>
    <x v="6"/>
    <x v="0"/>
    <s v="19:30–20:00"/>
    <s v="AlaCarte"/>
    <n v="2"/>
    <n v="36.01"/>
    <s v="Credit Card"/>
    <s v="In-store"/>
    <n v="2"/>
    <n v="0"/>
  </r>
  <r>
    <s v="TXN_000444"/>
    <s v="WALK_098"/>
    <x v="20"/>
    <x v="6"/>
    <x v="0"/>
    <s v="19:30–20:00"/>
    <s v="AlaCarte"/>
    <n v="5"/>
    <n v="123.55"/>
    <s v="Credit Card"/>
    <s v="In-store"/>
    <n v="2"/>
    <n v="0"/>
  </r>
  <r>
    <s v="TXN_000445"/>
    <s v="CORP_034"/>
    <x v="20"/>
    <x v="6"/>
    <x v="0"/>
    <s v="20:00–20:30"/>
    <s v="AlaCarte"/>
    <n v="2"/>
    <n v="68.66"/>
    <s v="Digital Wallet"/>
    <s v="Takeaway"/>
    <n v="2"/>
    <n v="0"/>
  </r>
  <r>
    <s v="TXN_000446"/>
    <s v="HOTEL_013"/>
    <x v="20"/>
    <x v="6"/>
    <x v="0"/>
    <s v="20:00–20:30"/>
    <s v="AlaCarte"/>
    <n v="3"/>
    <n v="92.84"/>
    <s v="Credit Card"/>
    <s v="In-store"/>
    <n v="2"/>
    <n v="0"/>
  </r>
  <r>
    <s v="TXN_000447"/>
    <s v="CORP_062"/>
    <x v="20"/>
    <x v="6"/>
    <x v="0"/>
    <s v="20:00–20:30"/>
    <s v="AlaCarte"/>
    <n v="2"/>
    <n v="63.34"/>
    <s v="Credit Card"/>
    <s v="Takeaway"/>
    <n v="2"/>
    <n v="0"/>
  </r>
  <r>
    <s v="TXN_000448"/>
    <s v="WALK_030"/>
    <x v="20"/>
    <x v="6"/>
    <x v="0"/>
    <s v="20:00–20:30"/>
    <s v="AlaCarte"/>
    <n v="2"/>
    <n v="30.19"/>
    <s v="Cash"/>
    <s v="In-store"/>
    <n v="2"/>
    <n v="0"/>
  </r>
  <r>
    <s v="TXN_000449"/>
    <s v="CORP_025"/>
    <x v="20"/>
    <x v="6"/>
    <x v="1"/>
    <s v="12:15–12:45"/>
    <s v="AlaCarte"/>
    <n v="3"/>
    <n v="49.15"/>
    <s v="Credit Card"/>
    <s v="In-store"/>
    <n v="2"/>
    <n v="0"/>
  </r>
  <r>
    <s v="TXN_000450"/>
    <s v="WALK_017"/>
    <x v="20"/>
    <x v="6"/>
    <x v="1"/>
    <s v="12:15–12:45"/>
    <s v="AlaCarte"/>
    <n v="6"/>
    <n v="86.38"/>
    <s v="Digital Wallet"/>
    <s v="In-store"/>
    <n v="2"/>
    <n v="0"/>
  </r>
  <r>
    <s v="TXN_000451"/>
    <s v="CORP_010"/>
    <x v="20"/>
    <x v="6"/>
    <x v="1"/>
    <s v="12:45–13:15"/>
    <s v="AlaCarte"/>
    <n v="3"/>
    <n v="70.75"/>
    <s v="Cash"/>
    <s v="Takeaway"/>
    <n v="2"/>
    <n v="0"/>
  </r>
  <r>
    <s v="TXN_000452"/>
    <s v="CORP_005"/>
    <x v="20"/>
    <x v="6"/>
    <x v="1"/>
    <s v="13:15–13:45"/>
    <s v="AlaCarte"/>
    <n v="3"/>
    <n v="51.98"/>
    <s v="Credit Card"/>
    <s v="In-store"/>
    <n v="2"/>
    <n v="0"/>
  </r>
  <r>
    <s v="TXN_000453"/>
    <s v="CORP_042"/>
    <x v="20"/>
    <x v="6"/>
    <x v="1"/>
    <s v="13:15–13:45"/>
    <s v="AlaCarte"/>
    <n v="3"/>
    <n v="77.239999999999995"/>
    <s v="Credit Card"/>
    <s v="Takeaway"/>
    <n v="2"/>
    <n v="0"/>
  </r>
  <r>
    <s v="TXN_000454"/>
    <s v="WALK_039"/>
    <x v="20"/>
    <x v="6"/>
    <x v="1"/>
    <s v="13:45–14:15"/>
    <s v="AlaCarte"/>
    <n v="3"/>
    <n v="51.92"/>
    <s v="Credit Card"/>
    <s v="In-store"/>
    <n v="2"/>
    <n v="0"/>
  </r>
  <r>
    <s v="TXN_000455"/>
    <s v="CORP_073"/>
    <x v="20"/>
    <x v="6"/>
    <x v="1"/>
    <s v="13:45–14:15"/>
    <s v="AlaCarte"/>
    <n v="4"/>
    <n v="57.35"/>
    <s v="Credit Card"/>
    <s v="In-store"/>
    <n v="2"/>
    <n v="0"/>
  </r>
  <r>
    <s v="TXN_000456"/>
    <s v="CORP_034"/>
    <x v="20"/>
    <x v="6"/>
    <x v="1"/>
    <s v="13:45–14:15"/>
    <s v="AlaCarte"/>
    <n v="3"/>
    <n v="70.31"/>
    <s v="Cash"/>
    <s v="Takeaway"/>
    <n v="2"/>
    <n v="0"/>
  </r>
  <r>
    <s v="TXN_000457"/>
    <s v="WALK_047"/>
    <x v="21"/>
    <x v="0"/>
    <x v="0"/>
    <s v="18:00–18:30"/>
    <s v="AlaCarte"/>
    <n v="4"/>
    <n v="156.69999999999999"/>
    <s v="Credit Card"/>
    <s v="In-store"/>
    <n v="3"/>
    <n v="0"/>
  </r>
  <r>
    <s v="TXN_000458"/>
    <s v="WALK_011"/>
    <x v="21"/>
    <x v="0"/>
    <x v="0"/>
    <s v="18:30–19:00"/>
    <s v="AlaCarte"/>
    <n v="4"/>
    <n v="153.4"/>
    <s v="Digital Wallet"/>
    <s v="Takeaway"/>
    <n v="3"/>
    <n v="0"/>
  </r>
  <r>
    <s v="TXN_000459"/>
    <s v="HOTEL_019"/>
    <x v="21"/>
    <x v="0"/>
    <x v="0"/>
    <s v="19:00–19:30"/>
    <s v="AlaCarte"/>
    <n v="3"/>
    <n v="72.989999999999995"/>
    <s v="Credit Card"/>
    <s v="In-store"/>
    <n v="3"/>
    <n v="0"/>
  </r>
  <r>
    <s v="TXN_000460"/>
    <s v="WALK_085"/>
    <x v="21"/>
    <x v="0"/>
    <x v="0"/>
    <s v="19:00–19:30"/>
    <s v="AlaCarte"/>
    <n v="3"/>
    <n v="67.77"/>
    <s v="Cash"/>
    <s v="Takeaway"/>
    <n v="3"/>
    <n v="0"/>
  </r>
  <r>
    <s v="TXN_000461"/>
    <s v="WALK_065"/>
    <x v="21"/>
    <x v="0"/>
    <x v="0"/>
    <s v="19:30–20:00"/>
    <s v="AlaCarte"/>
    <n v="2"/>
    <n v="60.43"/>
    <s v="Credit Card"/>
    <s v="In-store"/>
    <n v="3"/>
    <n v="0"/>
  </r>
  <r>
    <s v="TXN_000462"/>
    <s v="HOTEL_022"/>
    <x v="21"/>
    <x v="0"/>
    <x v="0"/>
    <s v="20:00–20:30"/>
    <s v="AlaCarte"/>
    <n v="4"/>
    <n v="81.95"/>
    <s v="Credit Card"/>
    <s v="In-store"/>
    <n v="3"/>
    <n v="0"/>
  </r>
  <r>
    <s v="TXN_000463"/>
    <s v="WALK_013"/>
    <x v="21"/>
    <x v="0"/>
    <x v="0"/>
    <s v="20:00–20:30"/>
    <s v="AlaCarte"/>
    <n v="2"/>
    <n v="46.57"/>
    <s v="Credit Card"/>
    <s v="In-store"/>
    <n v="3"/>
    <n v="0"/>
  </r>
  <r>
    <s v="TXN_000464"/>
    <s v="CORP_075"/>
    <x v="21"/>
    <x v="0"/>
    <x v="1"/>
    <s v="12:15–12:45"/>
    <s v="Buffet"/>
    <n v="2"/>
    <n v="40"/>
    <s v="Credit Card"/>
    <s v="Takeaway"/>
    <n v="3"/>
    <n v="1"/>
  </r>
  <r>
    <s v="TXN_000465"/>
    <s v="CORP_061"/>
    <x v="21"/>
    <x v="0"/>
    <x v="1"/>
    <s v="12:15–12:45"/>
    <s v="AlaCarte"/>
    <n v="3"/>
    <n v="100.77"/>
    <s v="Credit Card"/>
    <s v="In-store"/>
    <n v="3"/>
    <n v="0"/>
  </r>
  <r>
    <s v="TXN_000466"/>
    <s v="WALK_073"/>
    <x v="21"/>
    <x v="0"/>
    <x v="1"/>
    <s v="12:45–13:15"/>
    <s v="Buffet"/>
    <n v="2"/>
    <n v="40"/>
    <s v="Credit Card"/>
    <s v="In-store"/>
    <n v="3"/>
    <n v="1"/>
  </r>
  <r>
    <s v="TXN_000467"/>
    <s v="CORP_027"/>
    <x v="21"/>
    <x v="0"/>
    <x v="1"/>
    <s v="12:45–13:15"/>
    <s v="AlaCarte"/>
    <n v="3"/>
    <n v="57.39"/>
    <s v="Digital Wallet"/>
    <s v="In-store"/>
    <n v="3"/>
    <n v="0"/>
  </r>
  <r>
    <s v="TXN_000468"/>
    <s v="WALK_062"/>
    <x v="21"/>
    <x v="0"/>
    <x v="1"/>
    <s v="13:15–13:45"/>
    <s v="Buffet"/>
    <n v="3"/>
    <n v="64.5"/>
    <s v="Digital Wallet"/>
    <s v="In-store"/>
    <n v="3"/>
    <n v="1"/>
  </r>
  <r>
    <s v="TXN_000469"/>
    <s v="WALK_104"/>
    <x v="22"/>
    <x v="1"/>
    <x v="0"/>
    <s v="18:00–18:30"/>
    <s v="AlaCarte"/>
    <n v="3"/>
    <n v="76.72"/>
    <s v="Digital Wallet"/>
    <s v="In-store"/>
    <n v="4"/>
    <n v="0"/>
  </r>
  <r>
    <s v="TXN_000470"/>
    <s v="HOTEL_007"/>
    <x v="22"/>
    <x v="1"/>
    <x v="0"/>
    <s v="18:00–18:30"/>
    <s v="AlaCarte"/>
    <n v="3"/>
    <n v="71.12"/>
    <s v="Credit Card"/>
    <s v="In-store"/>
    <n v="4"/>
    <n v="0"/>
  </r>
  <r>
    <s v="TXN_000471"/>
    <s v="CORP_074"/>
    <x v="22"/>
    <x v="1"/>
    <x v="0"/>
    <s v="18:00–18:30"/>
    <s v="AlaCarte"/>
    <n v="4"/>
    <n v="192.95"/>
    <s v="Digital Wallet"/>
    <s v="In-store"/>
    <n v="4"/>
    <n v="0"/>
  </r>
  <r>
    <s v="TXN_000472"/>
    <s v="WALK_037"/>
    <x v="22"/>
    <x v="1"/>
    <x v="0"/>
    <s v="18:00–18:30"/>
    <s v="AlaCarte"/>
    <n v="2"/>
    <n v="62.02"/>
    <s v="Digital Wallet"/>
    <s v="In-store"/>
    <n v="4"/>
    <n v="0"/>
  </r>
  <r>
    <s v="TXN_000473"/>
    <s v="CORP_027"/>
    <x v="22"/>
    <x v="1"/>
    <x v="0"/>
    <s v="18:00–18:30"/>
    <s v="AlaCarte"/>
    <n v="1"/>
    <n v="19.079999999999998"/>
    <s v="Credit Card"/>
    <s v="In-store"/>
    <n v="4"/>
    <n v="0"/>
  </r>
  <r>
    <s v="TXN_000474"/>
    <s v="CORP_031"/>
    <x v="22"/>
    <x v="1"/>
    <x v="0"/>
    <s v="19:30–20:00"/>
    <s v="AlaCarte"/>
    <n v="3"/>
    <n v="65.790000000000006"/>
    <s v="Credit Card"/>
    <s v="In-store"/>
    <n v="4"/>
    <n v="0"/>
  </r>
  <r>
    <s v="TXN_000475"/>
    <s v="WALK_105"/>
    <x v="22"/>
    <x v="1"/>
    <x v="0"/>
    <s v="19:30–20:00"/>
    <s v="AlaCarte"/>
    <n v="3"/>
    <n v="46.06"/>
    <s v="Credit Card"/>
    <s v="Takeaway"/>
    <n v="4"/>
    <n v="0"/>
  </r>
  <r>
    <s v="TXN_000476"/>
    <s v="HOTEL_002"/>
    <x v="22"/>
    <x v="1"/>
    <x v="0"/>
    <s v="20:00–20:30"/>
    <s v="AlaCarte"/>
    <n v="3"/>
    <n v="61.84"/>
    <s v="Credit Card"/>
    <s v="In-store"/>
    <n v="4"/>
    <n v="0"/>
  </r>
  <r>
    <s v="TXN_000477"/>
    <s v="WALK_089"/>
    <x v="22"/>
    <x v="1"/>
    <x v="0"/>
    <s v="20:00–20:30"/>
    <s v="AlaCarte"/>
    <n v="4"/>
    <n v="73.56"/>
    <s v="Credit Card"/>
    <s v="In-store"/>
    <n v="4"/>
    <n v="0"/>
  </r>
  <r>
    <s v="TXN_000478"/>
    <s v="WALK_079"/>
    <x v="22"/>
    <x v="1"/>
    <x v="0"/>
    <s v="20:00–20:30"/>
    <s v="AlaCarte"/>
    <n v="2"/>
    <n v="124.9"/>
    <s v="Credit Card"/>
    <s v="Takeaway"/>
    <n v="4"/>
    <n v="0"/>
  </r>
  <r>
    <s v="TXN_000479"/>
    <s v="CORP_046"/>
    <x v="22"/>
    <x v="1"/>
    <x v="1"/>
    <s v="12:15–12:45"/>
    <s v="Buffet"/>
    <n v="2"/>
    <n v="40"/>
    <s v="Cash"/>
    <s v="Takeaway"/>
    <n v="4"/>
    <n v="1"/>
  </r>
  <r>
    <s v="TXN_000480"/>
    <s v="CORP_036"/>
    <x v="22"/>
    <x v="1"/>
    <x v="1"/>
    <s v="12:15–12:45"/>
    <s v="AlaCarte"/>
    <n v="3"/>
    <n v="64.13"/>
    <s v="Credit Card"/>
    <s v="Takeaway"/>
    <n v="4"/>
    <n v="0"/>
  </r>
  <r>
    <s v="TXN_000481"/>
    <s v="CORP_013"/>
    <x v="22"/>
    <x v="1"/>
    <x v="1"/>
    <s v="12:15–12:45"/>
    <s v="AlaCarte"/>
    <n v="2"/>
    <n v="27.83"/>
    <s v="Credit Card"/>
    <s v="In-store"/>
    <n v="4"/>
    <n v="0"/>
  </r>
  <r>
    <s v="TXN_000482"/>
    <s v="WALK_038"/>
    <x v="22"/>
    <x v="1"/>
    <x v="1"/>
    <s v="12:15–12:45"/>
    <s v="Buffet"/>
    <n v="4"/>
    <n v="84.5"/>
    <s v="Digital Wallet"/>
    <s v="In-store"/>
    <n v="4"/>
    <n v="1"/>
  </r>
  <r>
    <s v="TXN_000483"/>
    <s v="CORP_034"/>
    <x v="22"/>
    <x v="1"/>
    <x v="1"/>
    <s v="12:45–13:15"/>
    <s v="Buffet"/>
    <n v="4"/>
    <n v="89"/>
    <s v="Credit Card"/>
    <s v="In-store"/>
    <n v="4"/>
    <n v="1"/>
  </r>
  <r>
    <s v="TXN_000484"/>
    <s v="CORP_075"/>
    <x v="22"/>
    <x v="1"/>
    <x v="1"/>
    <s v="13:15–13:45"/>
    <s v="AlaCarte"/>
    <n v="1"/>
    <n v="10.9"/>
    <s v="Cash"/>
    <s v="In-store"/>
    <n v="4"/>
    <n v="0"/>
  </r>
  <r>
    <s v="TXN_000485"/>
    <s v="CORP_074"/>
    <x v="22"/>
    <x v="1"/>
    <x v="1"/>
    <s v="13:15–13:45"/>
    <s v="Buffet"/>
    <n v="3"/>
    <n v="64.5"/>
    <s v="Credit Card"/>
    <s v="In-store"/>
    <n v="4"/>
    <n v="1"/>
  </r>
  <r>
    <s v="TXN_000486"/>
    <s v="CORP_064"/>
    <x v="22"/>
    <x v="1"/>
    <x v="1"/>
    <s v="13:15–13:45"/>
    <s v="Buffet"/>
    <n v="5"/>
    <n v="104.5"/>
    <s v="Credit Card"/>
    <s v="In-store"/>
    <n v="4"/>
    <n v="1"/>
  </r>
  <r>
    <s v="TXN_000487"/>
    <s v="CORP_003"/>
    <x v="22"/>
    <x v="1"/>
    <x v="1"/>
    <s v="13:15–13:45"/>
    <s v="Buffet"/>
    <n v="6"/>
    <n v="133.5"/>
    <s v="Credit Card"/>
    <s v="Takeaway"/>
    <n v="4"/>
    <n v="1"/>
  </r>
  <r>
    <s v="TXN_000488"/>
    <s v="CORP_056"/>
    <x v="22"/>
    <x v="1"/>
    <x v="1"/>
    <s v="13:15–13:45"/>
    <s v="Buffet"/>
    <n v="3"/>
    <n v="64.5"/>
    <s v="Digital Wallet"/>
    <s v="In-store"/>
    <n v="4"/>
    <n v="1"/>
  </r>
  <r>
    <s v="TXN_000489"/>
    <s v="CORP_075"/>
    <x v="22"/>
    <x v="1"/>
    <x v="1"/>
    <s v="13:45–14:15"/>
    <s v="AlaCarte"/>
    <n v="2"/>
    <n v="67.98"/>
    <s v="Credit Card"/>
    <s v="Takeaway"/>
    <n v="4"/>
    <n v="0"/>
  </r>
  <r>
    <s v="TXN_000490"/>
    <s v="WALK_084"/>
    <x v="22"/>
    <x v="1"/>
    <x v="1"/>
    <s v="13:45–14:15"/>
    <s v="Buffet"/>
    <n v="5"/>
    <n v="113.5"/>
    <s v="Cash"/>
    <s v="Takeaway"/>
    <n v="4"/>
    <n v="1"/>
  </r>
  <r>
    <s v="TXN_000491"/>
    <s v="HOTEL_030"/>
    <x v="23"/>
    <x v="2"/>
    <x v="0"/>
    <s v="18:00–18:30"/>
    <s v="AlaCarte"/>
    <n v="1"/>
    <n v="30.48"/>
    <s v="Cash"/>
    <s v="In-store"/>
    <n v="5"/>
    <n v="0"/>
  </r>
  <r>
    <s v="TXN_000492"/>
    <s v="CORP_063"/>
    <x v="23"/>
    <x v="2"/>
    <x v="0"/>
    <s v="18:30–19:00"/>
    <s v="AlaCarte"/>
    <n v="4"/>
    <n v="215.32"/>
    <s v="Credit Card"/>
    <s v="Takeaway"/>
    <n v="5"/>
    <n v="0"/>
  </r>
  <r>
    <s v="TXN_000493"/>
    <s v="WALK_025"/>
    <x v="23"/>
    <x v="2"/>
    <x v="0"/>
    <s v="19:00–19:30"/>
    <s v="AlaCarte"/>
    <n v="1"/>
    <n v="36.33"/>
    <s v="Cash"/>
    <s v="In-store"/>
    <n v="5"/>
    <n v="0"/>
  </r>
  <r>
    <s v="TXN_000494"/>
    <s v="WALK_042"/>
    <x v="23"/>
    <x v="2"/>
    <x v="0"/>
    <s v="19:00–19:30"/>
    <s v="AlaCarte"/>
    <n v="3"/>
    <n v="45.83"/>
    <s v="Digital Wallet"/>
    <s v="Takeaway"/>
    <n v="5"/>
    <n v="0"/>
  </r>
  <r>
    <s v="TXN_000495"/>
    <s v="CORP_074"/>
    <x v="23"/>
    <x v="2"/>
    <x v="1"/>
    <s v="12:45–13:15"/>
    <s v="Buffet"/>
    <n v="1"/>
    <n v="20"/>
    <s v="Credit Card"/>
    <s v="In-store"/>
    <n v="5"/>
    <n v="1"/>
  </r>
  <r>
    <s v="TXN_000496"/>
    <s v="CORP_057"/>
    <x v="23"/>
    <x v="2"/>
    <x v="1"/>
    <s v="12:45–13:15"/>
    <s v="AlaCarte"/>
    <n v="1"/>
    <n v="15.45"/>
    <s v="Credit Card"/>
    <s v="In-store"/>
    <n v="5"/>
    <n v="0"/>
  </r>
  <r>
    <s v="TXN_000497"/>
    <s v="WALK_087"/>
    <x v="23"/>
    <x v="2"/>
    <x v="1"/>
    <s v="13:15–13:45"/>
    <s v="AlaCarte"/>
    <n v="3"/>
    <n v="50.42"/>
    <s v="Credit Card"/>
    <s v="In-store"/>
    <n v="5"/>
    <n v="0"/>
  </r>
  <r>
    <s v="TXN_000498"/>
    <s v="WALK_092"/>
    <x v="23"/>
    <x v="2"/>
    <x v="1"/>
    <s v="13:15–13:45"/>
    <s v="Buffet"/>
    <n v="3"/>
    <n v="64.5"/>
    <s v="Digital Wallet"/>
    <s v="In-store"/>
    <n v="5"/>
    <n v="1"/>
  </r>
  <r>
    <s v="TXN_000499"/>
    <s v="CORP_073"/>
    <x v="23"/>
    <x v="2"/>
    <x v="1"/>
    <s v="13:45–14:15"/>
    <s v="Buffet"/>
    <n v="2"/>
    <n v="40"/>
    <s v="Cash"/>
    <s v="In-store"/>
    <n v="5"/>
    <n v="1"/>
  </r>
  <r>
    <s v="TXN_000500"/>
    <s v="CORP_011"/>
    <x v="23"/>
    <x v="2"/>
    <x v="1"/>
    <s v="13:45–14:15"/>
    <s v="Buffet"/>
    <n v="2"/>
    <n v="44.5"/>
    <s v="Credit Card"/>
    <s v="In-store"/>
    <n v="5"/>
    <n v="1"/>
  </r>
  <r>
    <s v="TXN_000501"/>
    <s v="CORP_014"/>
    <x v="23"/>
    <x v="2"/>
    <x v="1"/>
    <s v="13:45–14:15"/>
    <s v="Buffet"/>
    <n v="1"/>
    <n v="24.5"/>
    <s v="Credit Card"/>
    <s v="In-store"/>
    <n v="5"/>
    <n v="1"/>
  </r>
  <r>
    <s v="TXN_000502"/>
    <s v="CORP_053"/>
    <x v="23"/>
    <x v="2"/>
    <x v="1"/>
    <s v="13:45–14:15"/>
    <s v="AlaCarte"/>
    <n v="1"/>
    <n v="26.71"/>
    <s v="Credit Card"/>
    <s v="Takeaway"/>
    <n v="5"/>
    <n v="0"/>
  </r>
  <r>
    <s v="TXN_000503"/>
    <s v="CORP_057"/>
    <x v="23"/>
    <x v="2"/>
    <x v="1"/>
    <s v="13:45–14:15"/>
    <s v="Buffet"/>
    <n v="5"/>
    <n v="100"/>
    <s v="Cash"/>
    <s v="In-store"/>
    <n v="5"/>
    <n v="1"/>
  </r>
  <r>
    <s v="TXN_000504"/>
    <s v="WALK_032"/>
    <x v="23"/>
    <x v="2"/>
    <x v="1"/>
    <s v="13:45–14:15"/>
    <s v="AlaCarte"/>
    <n v="1"/>
    <n v="26.92"/>
    <s v="Credit Card"/>
    <s v="In-store"/>
    <n v="5"/>
    <n v="0"/>
  </r>
  <r>
    <s v="TXN_000505"/>
    <s v="WALK_119"/>
    <x v="24"/>
    <x v="3"/>
    <x v="0"/>
    <s v="18:00–18:30"/>
    <s v="AlaCarte"/>
    <n v="3"/>
    <n v="47.5"/>
    <s v="Credit Card"/>
    <s v="In-store"/>
    <n v="6"/>
    <n v="0"/>
  </r>
  <r>
    <s v="TXN_000506"/>
    <s v="WALK_100"/>
    <x v="24"/>
    <x v="3"/>
    <x v="0"/>
    <s v="18:00–18:30"/>
    <s v="AlaCarte"/>
    <n v="2"/>
    <n v="40.72"/>
    <s v="Digital Wallet"/>
    <s v="In-store"/>
    <n v="6"/>
    <n v="0"/>
  </r>
  <r>
    <s v="TXN_000507"/>
    <s v="WALK_118"/>
    <x v="24"/>
    <x v="3"/>
    <x v="0"/>
    <s v="18:00–18:30"/>
    <s v="AlaCarte"/>
    <n v="4"/>
    <n v="68.31"/>
    <s v="Credit Card"/>
    <s v="Takeaway"/>
    <n v="6"/>
    <n v="0"/>
  </r>
  <r>
    <s v="TXN_000508"/>
    <s v="WALK_002"/>
    <x v="24"/>
    <x v="3"/>
    <x v="0"/>
    <s v="18:30–19:00"/>
    <s v="AlaCarte"/>
    <n v="2"/>
    <n v="24.96"/>
    <s v="Cash"/>
    <s v="Takeaway"/>
    <n v="6"/>
    <n v="0"/>
  </r>
  <r>
    <s v="TXN_000509"/>
    <s v="WALK_036"/>
    <x v="24"/>
    <x v="3"/>
    <x v="0"/>
    <s v="18:30–19:00"/>
    <s v="AlaCarte"/>
    <n v="5"/>
    <n v="129.97"/>
    <s v="Credit Card"/>
    <s v="In-store"/>
    <n v="6"/>
    <n v="0"/>
  </r>
  <r>
    <s v="TXN_000510"/>
    <s v="CORP_034"/>
    <x v="24"/>
    <x v="3"/>
    <x v="0"/>
    <s v="18:30–19:00"/>
    <s v="AlaCarte"/>
    <n v="3"/>
    <n v="86.78"/>
    <s v="Credit Card"/>
    <s v="In-store"/>
    <n v="6"/>
    <n v="0"/>
  </r>
  <r>
    <s v="TXN_000511"/>
    <s v="WALK_004"/>
    <x v="24"/>
    <x v="3"/>
    <x v="0"/>
    <s v="18:30–19:00"/>
    <s v="AlaCarte"/>
    <n v="3"/>
    <n v="123.2"/>
    <s v="Credit Card"/>
    <s v="Takeaway"/>
    <n v="6"/>
    <n v="0"/>
  </r>
  <r>
    <s v="TXN_000512"/>
    <s v="WALK_109"/>
    <x v="24"/>
    <x v="3"/>
    <x v="0"/>
    <s v="18:30–19:00"/>
    <s v="AlaCarte"/>
    <n v="2"/>
    <n v="42.92"/>
    <s v="Credit Card"/>
    <s v="In-store"/>
    <n v="6"/>
    <n v="0"/>
  </r>
  <r>
    <s v="TXN_000513"/>
    <s v="WALK_060"/>
    <x v="24"/>
    <x v="3"/>
    <x v="0"/>
    <s v="19:00–19:30"/>
    <s v="AlaCarte"/>
    <n v="4"/>
    <n v="97.64"/>
    <s v="Credit Card"/>
    <s v="Takeaway"/>
    <n v="6"/>
    <n v="0"/>
  </r>
  <r>
    <s v="TXN_000514"/>
    <s v="WALK_076"/>
    <x v="24"/>
    <x v="3"/>
    <x v="0"/>
    <s v="19:00–19:30"/>
    <s v="AlaCarte"/>
    <n v="4"/>
    <n v="51.55"/>
    <s v="Digital Wallet"/>
    <s v="In-store"/>
    <n v="6"/>
    <n v="0"/>
  </r>
  <r>
    <s v="TXN_000515"/>
    <s v="WALK_070"/>
    <x v="24"/>
    <x v="3"/>
    <x v="0"/>
    <s v="19:00–19:30"/>
    <s v="AlaCarte"/>
    <n v="3"/>
    <n v="69.680000000000007"/>
    <s v="Credit Card"/>
    <s v="In-store"/>
    <n v="6"/>
    <n v="0"/>
  </r>
  <r>
    <s v="TXN_000516"/>
    <s v="HOTEL_033"/>
    <x v="24"/>
    <x v="3"/>
    <x v="0"/>
    <s v="19:00–19:30"/>
    <s v="AlaCarte"/>
    <n v="3"/>
    <n v="113.84"/>
    <s v="Digital Wallet"/>
    <s v="In-store"/>
    <n v="6"/>
    <n v="0"/>
  </r>
  <r>
    <s v="TXN_000517"/>
    <s v="WALK_045"/>
    <x v="24"/>
    <x v="3"/>
    <x v="0"/>
    <s v="19:00–19:30"/>
    <s v="AlaCarte"/>
    <n v="2"/>
    <n v="28.33"/>
    <s v="Cash"/>
    <s v="In-store"/>
    <n v="6"/>
    <n v="0"/>
  </r>
  <r>
    <s v="TXN_000518"/>
    <s v="WALK_084"/>
    <x v="24"/>
    <x v="3"/>
    <x v="0"/>
    <s v="19:00–19:30"/>
    <s v="AlaCarte"/>
    <n v="4"/>
    <n v="105.18"/>
    <s v="Cash"/>
    <s v="In-store"/>
    <n v="6"/>
    <n v="0"/>
  </r>
  <r>
    <s v="TXN_000519"/>
    <s v="HOTEL_003"/>
    <x v="24"/>
    <x v="3"/>
    <x v="0"/>
    <s v="19:30–20:00"/>
    <s v="AlaCarte"/>
    <n v="3"/>
    <n v="91.35"/>
    <s v="Digital Wallet"/>
    <s v="In-store"/>
    <n v="6"/>
    <n v="0"/>
  </r>
  <r>
    <s v="TXN_000520"/>
    <s v="HOTEL_012"/>
    <x v="24"/>
    <x v="3"/>
    <x v="0"/>
    <s v="19:30–20:00"/>
    <s v="AlaCarte"/>
    <n v="3"/>
    <n v="87.4"/>
    <s v="Digital Wallet"/>
    <s v="In-store"/>
    <n v="6"/>
    <n v="0"/>
  </r>
  <r>
    <s v="TXN_000521"/>
    <s v="WALK_024"/>
    <x v="24"/>
    <x v="3"/>
    <x v="0"/>
    <s v="19:30–20:00"/>
    <s v="AlaCarte"/>
    <n v="3"/>
    <n v="145.34"/>
    <s v="Digital Wallet"/>
    <s v="Takeaway"/>
    <n v="6"/>
    <n v="0"/>
  </r>
  <r>
    <s v="TXN_000522"/>
    <s v="HOTEL_035"/>
    <x v="24"/>
    <x v="3"/>
    <x v="0"/>
    <s v="20:00–20:30"/>
    <s v="AlaCarte"/>
    <n v="4"/>
    <n v="119.06"/>
    <s v="Cash"/>
    <s v="In-store"/>
    <n v="6"/>
    <n v="0"/>
  </r>
  <r>
    <s v="TXN_000523"/>
    <s v="WALK_064"/>
    <x v="24"/>
    <x v="3"/>
    <x v="0"/>
    <s v="20:00–20:30"/>
    <s v="AlaCarte"/>
    <n v="3"/>
    <n v="88.27"/>
    <s v="Credit Card"/>
    <s v="In-store"/>
    <n v="6"/>
    <n v="0"/>
  </r>
  <r>
    <s v="TXN_000524"/>
    <s v="CORP_070"/>
    <x v="24"/>
    <x v="3"/>
    <x v="0"/>
    <s v="20:00–20:30"/>
    <s v="AlaCarte"/>
    <n v="3"/>
    <n v="88.25"/>
    <s v="Credit Card"/>
    <s v="In-store"/>
    <n v="6"/>
    <n v="0"/>
  </r>
  <r>
    <s v="TXN_000525"/>
    <s v="HOTEL_028"/>
    <x v="24"/>
    <x v="3"/>
    <x v="0"/>
    <s v="20:00–20:30"/>
    <s v="AlaCarte"/>
    <n v="1"/>
    <n v="37.39"/>
    <s v="Credit Card"/>
    <s v="In-store"/>
    <n v="6"/>
    <n v="0"/>
  </r>
  <r>
    <s v="TXN_000526"/>
    <s v="HOTEL_035"/>
    <x v="24"/>
    <x v="3"/>
    <x v="0"/>
    <s v="20:00–20:30"/>
    <s v="AlaCarte"/>
    <n v="5"/>
    <n v="139.13"/>
    <s v="Digital Wallet"/>
    <s v="In-store"/>
    <n v="6"/>
    <n v="0"/>
  </r>
  <r>
    <s v="TXN_000527"/>
    <s v="CORP_017"/>
    <x v="24"/>
    <x v="3"/>
    <x v="0"/>
    <s v="20:00–20:30"/>
    <s v="AlaCarte"/>
    <n v="6"/>
    <n v="170.22"/>
    <s v="Credit Card"/>
    <s v="In-store"/>
    <n v="6"/>
    <n v="0"/>
  </r>
  <r>
    <s v="TXN_000528"/>
    <s v="WALK_110"/>
    <x v="24"/>
    <x v="3"/>
    <x v="1"/>
    <s v="12:15–12:45"/>
    <s v="AlaCarte"/>
    <n v="2"/>
    <n v="45.43"/>
    <s v="Cash"/>
    <s v="In-store"/>
    <n v="6"/>
    <n v="0"/>
  </r>
  <r>
    <s v="TXN_000529"/>
    <s v="WALK_104"/>
    <x v="24"/>
    <x v="3"/>
    <x v="1"/>
    <s v="13:15–13:45"/>
    <s v="AlaCarte"/>
    <n v="2"/>
    <n v="40.44"/>
    <s v="Digital Wallet"/>
    <s v="Takeaway"/>
    <n v="6"/>
    <n v="0"/>
  </r>
  <r>
    <s v="TXN_000530"/>
    <s v="CORP_007"/>
    <x v="24"/>
    <x v="3"/>
    <x v="1"/>
    <s v="13:15–13:45"/>
    <s v="AlaCarte"/>
    <n v="5"/>
    <n v="64.77"/>
    <s v="Digital Wallet"/>
    <s v="Takeaway"/>
    <n v="6"/>
    <n v="0"/>
  </r>
  <r>
    <s v="TXN_000531"/>
    <s v="CORP_067"/>
    <x v="24"/>
    <x v="3"/>
    <x v="1"/>
    <s v="13:15–13:45"/>
    <s v="AlaCarte"/>
    <n v="3"/>
    <n v="69.430000000000007"/>
    <s v="Cash"/>
    <s v="In-store"/>
    <n v="6"/>
    <n v="0"/>
  </r>
  <r>
    <s v="TXN_000532"/>
    <s v="CORP_029"/>
    <x v="24"/>
    <x v="3"/>
    <x v="1"/>
    <s v="13:15–13:45"/>
    <s v="AlaCarte"/>
    <n v="5"/>
    <n v="152.37"/>
    <s v="Cash"/>
    <s v="In-store"/>
    <n v="6"/>
    <n v="0"/>
  </r>
  <r>
    <s v="TXN_000533"/>
    <s v="CORP_067"/>
    <x v="24"/>
    <x v="3"/>
    <x v="1"/>
    <s v="13:45–14:15"/>
    <s v="AlaCarte"/>
    <n v="3"/>
    <n v="62.72"/>
    <s v="Credit Card"/>
    <s v="In-store"/>
    <n v="6"/>
    <n v="0"/>
  </r>
  <r>
    <s v="TXN_000534"/>
    <s v="WALK_084"/>
    <x v="25"/>
    <x v="4"/>
    <x v="0"/>
    <s v="18:00–18:30"/>
    <s v="AlaCarte"/>
    <n v="4"/>
    <n v="112.13"/>
    <s v="Digital Wallet"/>
    <s v="Takeaway"/>
    <n v="7"/>
    <n v="0"/>
  </r>
  <r>
    <s v="TXN_000535"/>
    <s v="WALK_041"/>
    <x v="25"/>
    <x v="4"/>
    <x v="0"/>
    <s v="18:30–19:00"/>
    <s v="AlaCarte"/>
    <n v="2"/>
    <n v="77.84"/>
    <s v="Credit Card"/>
    <s v="In-store"/>
    <n v="7"/>
    <n v="0"/>
  </r>
  <r>
    <s v="TXN_000536"/>
    <s v="WALK_037"/>
    <x v="25"/>
    <x v="4"/>
    <x v="0"/>
    <s v="18:30–19:00"/>
    <s v="AlaCarte"/>
    <n v="1"/>
    <n v="21.95"/>
    <s v="Credit Card"/>
    <s v="In-store"/>
    <n v="7"/>
    <n v="0"/>
  </r>
  <r>
    <s v="TXN_000537"/>
    <s v="WALK_051"/>
    <x v="25"/>
    <x v="4"/>
    <x v="0"/>
    <s v="19:00–19:30"/>
    <s v="AlaCarte"/>
    <n v="5"/>
    <n v="166.76"/>
    <s v="Digital Wallet"/>
    <s v="In-store"/>
    <n v="7"/>
    <n v="0"/>
  </r>
  <r>
    <s v="TXN_000538"/>
    <s v="WALK_028"/>
    <x v="25"/>
    <x v="4"/>
    <x v="0"/>
    <s v="19:00–19:30"/>
    <s v="AlaCarte"/>
    <n v="2"/>
    <n v="45.05"/>
    <s v="Cash"/>
    <s v="Takeaway"/>
    <n v="7"/>
    <n v="0"/>
  </r>
  <r>
    <s v="TXN_000539"/>
    <s v="WALK_103"/>
    <x v="25"/>
    <x v="4"/>
    <x v="0"/>
    <s v="19:00–19:30"/>
    <s v="AlaCarte"/>
    <n v="4"/>
    <n v="104.72"/>
    <s v="Digital Wallet"/>
    <s v="In-store"/>
    <n v="7"/>
    <n v="0"/>
  </r>
  <r>
    <s v="TXN_000540"/>
    <s v="WALK_013"/>
    <x v="25"/>
    <x v="4"/>
    <x v="0"/>
    <s v="19:00–19:30"/>
    <s v="AlaCarte"/>
    <n v="1"/>
    <n v="26.55"/>
    <s v="Credit Card"/>
    <s v="In-store"/>
    <n v="7"/>
    <n v="0"/>
  </r>
  <r>
    <s v="TXN_000541"/>
    <s v="HOTEL_031"/>
    <x v="25"/>
    <x v="4"/>
    <x v="0"/>
    <s v="19:00–19:30"/>
    <s v="AlaCarte"/>
    <n v="3"/>
    <n v="48.76"/>
    <s v="Credit Card"/>
    <s v="In-store"/>
    <n v="7"/>
    <n v="0"/>
  </r>
  <r>
    <s v="TXN_000542"/>
    <s v="WALK_096"/>
    <x v="25"/>
    <x v="4"/>
    <x v="0"/>
    <s v="19:30–20:00"/>
    <s v="AlaCarte"/>
    <n v="3"/>
    <n v="99.64"/>
    <s v="Digital Wallet"/>
    <s v="In-store"/>
    <n v="7"/>
    <n v="0"/>
  </r>
  <r>
    <s v="TXN_000543"/>
    <s v="WALK_071"/>
    <x v="25"/>
    <x v="4"/>
    <x v="0"/>
    <s v="19:30–20:00"/>
    <s v="AlaCarte"/>
    <n v="4"/>
    <n v="81.22"/>
    <s v="Digital Wallet"/>
    <s v="In-store"/>
    <n v="7"/>
    <n v="0"/>
  </r>
  <r>
    <s v="TXN_000544"/>
    <s v="WALK_113"/>
    <x v="25"/>
    <x v="4"/>
    <x v="0"/>
    <s v="19:30–20:00"/>
    <s v="AlaCarte"/>
    <n v="5"/>
    <n v="150.13"/>
    <s v="Credit Card"/>
    <s v="In-store"/>
    <n v="7"/>
    <n v="0"/>
  </r>
  <r>
    <s v="TXN_000545"/>
    <s v="WALK_017"/>
    <x v="25"/>
    <x v="4"/>
    <x v="0"/>
    <s v="19:30–20:00"/>
    <s v="AlaCarte"/>
    <n v="3"/>
    <n v="66.569999999999993"/>
    <s v="Credit Card"/>
    <s v="In-store"/>
    <n v="7"/>
    <n v="0"/>
  </r>
  <r>
    <s v="TXN_000546"/>
    <s v="WALK_092"/>
    <x v="25"/>
    <x v="4"/>
    <x v="0"/>
    <s v="20:00–20:30"/>
    <s v="AlaCarte"/>
    <n v="1"/>
    <n v="23.27"/>
    <s v="Digital Wallet"/>
    <s v="In-store"/>
    <n v="7"/>
    <n v="0"/>
  </r>
  <r>
    <s v="TXN_000547"/>
    <s v="WALK_016"/>
    <x v="25"/>
    <x v="4"/>
    <x v="1"/>
    <s v="12:15–12:45"/>
    <s v="AlaCarte"/>
    <n v="2"/>
    <n v="40.17"/>
    <s v="Credit Card"/>
    <s v="In-store"/>
    <n v="7"/>
    <n v="0"/>
  </r>
  <r>
    <s v="TXN_000548"/>
    <s v="WALK_019"/>
    <x v="25"/>
    <x v="4"/>
    <x v="1"/>
    <s v="12:45–13:15"/>
    <s v="AlaCarte"/>
    <n v="2"/>
    <n v="28.6"/>
    <s v="Cash"/>
    <s v="In-store"/>
    <n v="7"/>
    <n v="0"/>
  </r>
  <r>
    <s v="TXN_000549"/>
    <s v="CORP_002"/>
    <x v="25"/>
    <x v="4"/>
    <x v="1"/>
    <s v="13:45–14:15"/>
    <s v="AlaCarte"/>
    <n v="2"/>
    <n v="75.069999999999993"/>
    <s v="Cash"/>
    <s v="In-store"/>
    <n v="7"/>
    <n v="0"/>
  </r>
  <r>
    <s v="TXN_000550"/>
    <s v="WALK_061"/>
    <x v="26"/>
    <x v="5"/>
    <x v="0"/>
    <s v="18:00–18:30"/>
    <s v="AlaCarte"/>
    <n v="2"/>
    <n v="65.05"/>
    <s v="Cash"/>
    <s v="In-store"/>
    <n v="1"/>
    <n v="0"/>
  </r>
  <r>
    <s v="TXN_000551"/>
    <s v="WALK_099"/>
    <x v="26"/>
    <x v="5"/>
    <x v="0"/>
    <s v="18:00–18:30"/>
    <s v="AlaCarte"/>
    <n v="4"/>
    <n v="122.4"/>
    <s v="Credit Card"/>
    <s v="In-store"/>
    <n v="1"/>
    <n v="0"/>
  </r>
  <r>
    <s v="TXN_000552"/>
    <s v="WALK_031"/>
    <x v="26"/>
    <x v="5"/>
    <x v="0"/>
    <s v="18:30–19:00"/>
    <s v="AlaCarte"/>
    <n v="1"/>
    <n v="46.93"/>
    <s v="Cash"/>
    <s v="In-store"/>
    <n v="1"/>
    <n v="0"/>
  </r>
  <r>
    <s v="TXN_000553"/>
    <s v="WALK_008"/>
    <x v="26"/>
    <x v="5"/>
    <x v="0"/>
    <s v="18:30–19:00"/>
    <s v="AlaCarte"/>
    <n v="5"/>
    <n v="214.1"/>
    <s v="Digital Wallet"/>
    <s v="In-store"/>
    <n v="1"/>
    <n v="0"/>
  </r>
  <r>
    <s v="TXN_000554"/>
    <s v="WALK_004"/>
    <x v="26"/>
    <x v="5"/>
    <x v="0"/>
    <s v="18:30–19:00"/>
    <s v="AlaCarte"/>
    <n v="2"/>
    <n v="54.14"/>
    <s v="Cash"/>
    <s v="Takeaway"/>
    <n v="1"/>
    <n v="0"/>
  </r>
  <r>
    <s v="TXN_000555"/>
    <s v="WALK_117"/>
    <x v="26"/>
    <x v="5"/>
    <x v="0"/>
    <s v="18:30–19:00"/>
    <s v="AlaCarte"/>
    <n v="4"/>
    <n v="106.58"/>
    <s v="Credit Card"/>
    <s v="In-store"/>
    <n v="1"/>
    <n v="0"/>
  </r>
  <r>
    <s v="TXN_000556"/>
    <s v="WALK_094"/>
    <x v="26"/>
    <x v="5"/>
    <x v="0"/>
    <s v="18:30–19:00"/>
    <s v="AlaCarte"/>
    <n v="4"/>
    <n v="258.72000000000003"/>
    <s v="Cash"/>
    <s v="In-store"/>
    <n v="1"/>
    <n v="0"/>
  </r>
  <r>
    <s v="TXN_000557"/>
    <s v="WALK_029"/>
    <x v="26"/>
    <x v="5"/>
    <x v="0"/>
    <s v="19:00–19:30"/>
    <s v="AlaCarte"/>
    <n v="2"/>
    <n v="79.36"/>
    <s v="Credit Card"/>
    <s v="In-store"/>
    <n v="1"/>
    <n v="0"/>
  </r>
  <r>
    <s v="TXN_000558"/>
    <s v="CORP_012"/>
    <x v="26"/>
    <x v="5"/>
    <x v="0"/>
    <s v="19:00–19:30"/>
    <s v="AlaCarte"/>
    <n v="2"/>
    <n v="52.05"/>
    <s v="Cash"/>
    <s v="In-store"/>
    <n v="1"/>
    <n v="0"/>
  </r>
  <r>
    <s v="TXN_000559"/>
    <s v="WALK_057"/>
    <x v="26"/>
    <x v="5"/>
    <x v="0"/>
    <s v="19:00–19:30"/>
    <s v="AlaCarte"/>
    <n v="3"/>
    <n v="127.07"/>
    <s v="Credit Card"/>
    <s v="Takeaway"/>
    <n v="1"/>
    <n v="0"/>
  </r>
  <r>
    <s v="TXN_000560"/>
    <s v="HOTEL_030"/>
    <x v="26"/>
    <x v="5"/>
    <x v="0"/>
    <s v="19:00–19:30"/>
    <s v="AlaCarte"/>
    <n v="1"/>
    <n v="36.44"/>
    <s v="Credit Card"/>
    <s v="In-store"/>
    <n v="1"/>
    <n v="0"/>
  </r>
  <r>
    <s v="TXN_000561"/>
    <s v="WALK_089"/>
    <x v="26"/>
    <x v="5"/>
    <x v="0"/>
    <s v="19:00–19:30"/>
    <s v="AlaCarte"/>
    <n v="1"/>
    <n v="13.53"/>
    <s v="Credit Card"/>
    <s v="In-store"/>
    <n v="1"/>
    <n v="0"/>
  </r>
  <r>
    <s v="TXN_000562"/>
    <s v="WALK_010"/>
    <x v="26"/>
    <x v="5"/>
    <x v="0"/>
    <s v="19:00–19:30"/>
    <s v="AlaCarte"/>
    <n v="1"/>
    <n v="35.590000000000003"/>
    <s v="Credit Card"/>
    <s v="In-store"/>
    <n v="1"/>
    <n v="0"/>
  </r>
  <r>
    <s v="TXN_000563"/>
    <s v="CORP_018"/>
    <x v="26"/>
    <x v="5"/>
    <x v="0"/>
    <s v="19:00–19:30"/>
    <s v="AlaCarte"/>
    <n v="5"/>
    <n v="86.01"/>
    <s v="Cash"/>
    <s v="In-store"/>
    <n v="1"/>
    <n v="0"/>
  </r>
  <r>
    <s v="TXN_000564"/>
    <s v="WALK_100"/>
    <x v="26"/>
    <x v="5"/>
    <x v="0"/>
    <s v="19:30–20:00"/>
    <s v="AlaCarte"/>
    <n v="1"/>
    <n v="18.329999999999998"/>
    <s v="Cash"/>
    <s v="Takeaway"/>
    <n v="1"/>
    <n v="0"/>
  </r>
  <r>
    <s v="TXN_000565"/>
    <s v="WALK_118"/>
    <x v="26"/>
    <x v="5"/>
    <x v="0"/>
    <s v="19:30–20:00"/>
    <s v="AlaCarte"/>
    <n v="5"/>
    <n v="190.12"/>
    <s v="Credit Card"/>
    <s v="In-store"/>
    <n v="1"/>
    <n v="0"/>
  </r>
  <r>
    <s v="TXN_000566"/>
    <s v="WALK_048"/>
    <x v="26"/>
    <x v="5"/>
    <x v="0"/>
    <s v="19:30–20:00"/>
    <s v="AlaCarte"/>
    <n v="1"/>
    <n v="39.47"/>
    <s v="Credit Card"/>
    <s v="In-store"/>
    <n v="1"/>
    <n v="0"/>
  </r>
  <r>
    <s v="TXN_000567"/>
    <s v="HOTEL_030"/>
    <x v="26"/>
    <x v="5"/>
    <x v="0"/>
    <s v="20:00–20:30"/>
    <s v="AlaCarte"/>
    <n v="5"/>
    <n v="161.53"/>
    <s v="Digital Wallet"/>
    <s v="In-store"/>
    <n v="1"/>
    <n v="0"/>
  </r>
  <r>
    <s v="TXN_000568"/>
    <s v="WALK_043"/>
    <x v="26"/>
    <x v="5"/>
    <x v="0"/>
    <s v="20:00–20:30"/>
    <s v="AlaCarte"/>
    <n v="6"/>
    <n v="285.29000000000002"/>
    <s v="Credit Card"/>
    <s v="Takeaway"/>
    <n v="1"/>
    <n v="0"/>
  </r>
  <r>
    <s v="TXN_000569"/>
    <s v="WALK_032"/>
    <x v="26"/>
    <x v="5"/>
    <x v="0"/>
    <s v="20:00–20:30"/>
    <s v="AlaCarte"/>
    <n v="2"/>
    <n v="49.32"/>
    <s v="Digital Wallet"/>
    <s v="In-store"/>
    <n v="1"/>
    <n v="0"/>
  </r>
  <r>
    <s v="TXN_000570"/>
    <s v="WALK_095"/>
    <x v="26"/>
    <x v="5"/>
    <x v="0"/>
    <s v="20:00–20:30"/>
    <s v="AlaCarte"/>
    <n v="4"/>
    <n v="99.18"/>
    <s v="Cash"/>
    <s v="Takeaway"/>
    <n v="1"/>
    <n v="0"/>
  </r>
  <r>
    <s v="TXN_000571"/>
    <s v="CORP_061"/>
    <x v="26"/>
    <x v="5"/>
    <x v="1"/>
    <s v="12:15–12:45"/>
    <s v="AlaCarte"/>
    <n v="1"/>
    <n v="19.260000000000002"/>
    <s v="Cash"/>
    <s v="In-store"/>
    <n v="1"/>
    <n v="0"/>
  </r>
  <r>
    <s v="TXN_000572"/>
    <s v="CORP_015"/>
    <x v="26"/>
    <x v="5"/>
    <x v="1"/>
    <s v="12:45–13:15"/>
    <s v="AlaCarte"/>
    <n v="3"/>
    <n v="109.12"/>
    <s v="Credit Card"/>
    <s v="In-store"/>
    <n v="1"/>
    <n v="0"/>
  </r>
  <r>
    <s v="TXN_000573"/>
    <s v="CORP_035"/>
    <x v="26"/>
    <x v="5"/>
    <x v="1"/>
    <s v="12:45–13:15"/>
    <s v="AlaCarte"/>
    <n v="3"/>
    <n v="37.49"/>
    <s v="Credit Card"/>
    <s v="Takeaway"/>
    <n v="1"/>
    <n v="0"/>
  </r>
  <r>
    <s v="TXN_000574"/>
    <s v="WALK_107"/>
    <x v="26"/>
    <x v="5"/>
    <x v="1"/>
    <s v="12:45–13:15"/>
    <s v="AlaCarte"/>
    <n v="3"/>
    <n v="74.930000000000007"/>
    <s v="Credit Card"/>
    <s v="In-store"/>
    <n v="1"/>
    <n v="0"/>
  </r>
  <r>
    <s v="TXN_000575"/>
    <s v="CORP_020"/>
    <x v="26"/>
    <x v="5"/>
    <x v="1"/>
    <s v="13:15–13:45"/>
    <s v="AlaCarte"/>
    <n v="3"/>
    <n v="50.39"/>
    <s v="Cash"/>
    <s v="In-store"/>
    <n v="1"/>
    <n v="0"/>
  </r>
  <r>
    <s v="TXN_000576"/>
    <s v="WALK_005"/>
    <x v="26"/>
    <x v="5"/>
    <x v="1"/>
    <s v="13:15–13:45"/>
    <s v="AlaCarte"/>
    <n v="2"/>
    <n v="41.76"/>
    <s v="Digital Wallet"/>
    <s v="In-store"/>
    <n v="1"/>
    <n v="0"/>
  </r>
  <r>
    <s v="TXN_000577"/>
    <s v="WALK_077"/>
    <x v="27"/>
    <x v="6"/>
    <x v="0"/>
    <s v="18:00–18:30"/>
    <s v="AlaCarte"/>
    <n v="3"/>
    <n v="83.03"/>
    <s v="Digital Wallet"/>
    <s v="In-store"/>
    <n v="2"/>
    <n v="0"/>
  </r>
  <r>
    <s v="TXN_000578"/>
    <s v="WALK_042"/>
    <x v="27"/>
    <x v="6"/>
    <x v="0"/>
    <s v="18:00–18:30"/>
    <s v="AlaCarte"/>
    <n v="2"/>
    <n v="78.06"/>
    <s v="Cash"/>
    <s v="In-store"/>
    <n v="2"/>
    <n v="0"/>
  </r>
  <r>
    <s v="TXN_000579"/>
    <s v="WALK_077"/>
    <x v="27"/>
    <x v="6"/>
    <x v="0"/>
    <s v="18:30–19:00"/>
    <s v="AlaCarte"/>
    <n v="4"/>
    <n v="103"/>
    <s v="Credit Card"/>
    <s v="In-store"/>
    <n v="2"/>
    <n v="0"/>
  </r>
  <r>
    <s v="TXN_000580"/>
    <s v="CORP_025"/>
    <x v="27"/>
    <x v="6"/>
    <x v="0"/>
    <s v="18:30–19:00"/>
    <s v="AlaCarte"/>
    <n v="2"/>
    <n v="65.5"/>
    <s v="Credit Card"/>
    <s v="In-store"/>
    <n v="2"/>
    <n v="0"/>
  </r>
  <r>
    <s v="TXN_000581"/>
    <s v="WALK_100"/>
    <x v="27"/>
    <x v="6"/>
    <x v="0"/>
    <s v="18:30–19:00"/>
    <s v="AlaCarte"/>
    <n v="2"/>
    <n v="80.290000000000006"/>
    <s v="Cash"/>
    <s v="In-store"/>
    <n v="2"/>
    <n v="0"/>
  </r>
  <r>
    <s v="TXN_000582"/>
    <s v="WALK_076"/>
    <x v="27"/>
    <x v="6"/>
    <x v="0"/>
    <s v="19:00–19:30"/>
    <s v="AlaCarte"/>
    <n v="1"/>
    <n v="63.07"/>
    <s v="Cash"/>
    <s v="In-store"/>
    <n v="2"/>
    <n v="0"/>
  </r>
  <r>
    <s v="TXN_000583"/>
    <s v="WALK_046"/>
    <x v="27"/>
    <x v="6"/>
    <x v="0"/>
    <s v="19:00–19:30"/>
    <s v="AlaCarte"/>
    <n v="5"/>
    <n v="141.61000000000001"/>
    <s v="Credit Card"/>
    <s v="In-store"/>
    <n v="2"/>
    <n v="0"/>
  </r>
  <r>
    <s v="TXN_000584"/>
    <s v="WALK_005"/>
    <x v="27"/>
    <x v="6"/>
    <x v="0"/>
    <s v="19:00–19:30"/>
    <s v="AlaCarte"/>
    <n v="3"/>
    <n v="59.99"/>
    <s v="Credit Card"/>
    <s v="Takeaway"/>
    <n v="2"/>
    <n v="0"/>
  </r>
  <r>
    <s v="TXN_000585"/>
    <s v="WALK_010"/>
    <x v="27"/>
    <x v="6"/>
    <x v="0"/>
    <s v="19:00–19:30"/>
    <s v="AlaCarte"/>
    <n v="3"/>
    <n v="66.95"/>
    <s v="Cash"/>
    <s v="In-store"/>
    <n v="2"/>
    <n v="0"/>
  </r>
  <r>
    <s v="TXN_000586"/>
    <s v="WALK_016"/>
    <x v="27"/>
    <x v="6"/>
    <x v="0"/>
    <s v="19:30–20:00"/>
    <s v="AlaCarte"/>
    <n v="5"/>
    <n v="132.47"/>
    <s v="Cash"/>
    <s v="In-store"/>
    <n v="2"/>
    <n v="0"/>
  </r>
  <r>
    <s v="TXN_000587"/>
    <s v="HOTEL_012"/>
    <x v="27"/>
    <x v="6"/>
    <x v="0"/>
    <s v="19:30–20:00"/>
    <s v="AlaCarte"/>
    <n v="3"/>
    <n v="77.91"/>
    <s v="Credit Card"/>
    <s v="Takeaway"/>
    <n v="2"/>
    <n v="0"/>
  </r>
  <r>
    <s v="TXN_000588"/>
    <s v="WALK_104"/>
    <x v="27"/>
    <x v="6"/>
    <x v="0"/>
    <s v="19:30–20:00"/>
    <s v="AlaCarte"/>
    <n v="2"/>
    <n v="92.54"/>
    <s v="Credit Card"/>
    <s v="Takeaway"/>
    <n v="2"/>
    <n v="0"/>
  </r>
  <r>
    <s v="TXN_000589"/>
    <s v="WALK_117"/>
    <x v="27"/>
    <x v="6"/>
    <x v="0"/>
    <s v="20:00–20:30"/>
    <s v="AlaCarte"/>
    <n v="2"/>
    <n v="63.84"/>
    <s v="Cash"/>
    <s v="Takeaway"/>
    <n v="2"/>
    <n v="0"/>
  </r>
  <r>
    <s v="TXN_000590"/>
    <s v="HOTEL_010"/>
    <x v="27"/>
    <x v="6"/>
    <x v="0"/>
    <s v="20:00–20:30"/>
    <s v="AlaCarte"/>
    <n v="2"/>
    <n v="57.5"/>
    <s v="Digital Wallet"/>
    <s v="In-store"/>
    <n v="2"/>
    <n v="0"/>
  </r>
  <r>
    <s v="TXN_000591"/>
    <s v="WALK_065"/>
    <x v="27"/>
    <x v="6"/>
    <x v="1"/>
    <s v="12:15–12:45"/>
    <s v="AlaCarte"/>
    <n v="6"/>
    <n v="48.69"/>
    <s v="Credit Card"/>
    <s v="In-store"/>
    <n v="2"/>
    <n v="0"/>
  </r>
  <r>
    <s v="TXN_000592"/>
    <s v="CORP_009"/>
    <x v="27"/>
    <x v="6"/>
    <x v="1"/>
    <s v="12:15–12:45"/>
    <s v="AlaCarte"/>
    <n v="4"/>
    <n v="75.900000000000006"/>
    <s v="Credit Card"/>
    <s v="In-store"/>
    <n v="2"/>
    <n v="0"/>
  </r>
  <r>
    <s v="TXN_000593"/>
    <s v="WALK_025"/>
    <x v="27"/>
    <x v="6"/>
    <x v="1"/>
    <s v="12:15–12:45"/>
    <s v="AlaCarte"/>
    <n v="4"/>
    <n v="103.03"/>
    <s v="Credit Card"/>
    <s v="In-store"/>
    <n v="2"/>
    <n v="0"/>
  </r>
  <r>
    <s v="TXN_000594"/>
    <s v="CORP_062"/>
    <x v="27"/>
    <x v="6"/>
    <x v="1"/>
    <s v="12:45–13:15"/>
    <s v="AlaCarte"/>
    <n v="3"/>
    <n v="68.540000000000006"/>
    <s v="Credit Card"/>
    <s v="Takeaway"/>
    <n v="2"/>
    <n v="0"/>
  </r>
  <r>
    <s v="TXN_000595"/>
    <s v="CORP_026"/>
    <x v="27"/>
    <x v="6"/>
    <x v="1"/>
    <s v="12:45–13:15"/>
    <s v="AlaCarte"/>
    <n v="2"/>
    <n v="23.13"/>
    <s v="Digital Wallet"/>
    <s v="Takeaway"/>
    <n v="2"/>
    <n v="0"/>
  </r>
  <r>
    <s v="TXN_000596"/>
    <s v="WALK_110"/>
    <x v="27"/>
    <x v="6"/>
    <x v="1"/>
    <s v="12:45–13:15"/>
    <s v="AlaCarte"/>
    <n v="1"/>
    <n v="23.75"/>
    <s v="Credit Card"/>
    <s v="Takeaway"/>
    <n v="2"/>
    <n v="0"/>
  </r>
  <r>
    <s v="TXN_000597"/>
    <s v="CORP_044"/>
    <x v="27"/>
    <x v="6"/>
    <x v="1"/>
    <s v="12:45–13:15"/>
    <s v="AlaCarte"/>
    <n v="4"/>
    <n v="47.68"/>
    <s v="Cash"/>
    <s v="In-store"/>
    <n v="2"/>
    <n v="0"/>
  </r>
  <r>
    <s v="TXN_000598"/>
    <s v="WALK_092"/>
    <x v="27"/>
    <x v="6"/>
    <x v="1"/>
    <s v="13:45–14:15"/>
    <s v="AlaCarte"/>
    <n v="2"/>
    <n v="17.399999999999999"/>
    <s v="Credit Card"/>
    <s v="In-store"/>
    <n v="2"/>
    <n v="0"/>
  </r>
  <r>
    <s v="TXN_000599"/>
    <s v="WALK_032"/>
    <x v="28"/>
    <x v="0"/>
    <x v="0"/>
    <s v="18:00–18:30"/>
    <s v="AlaCarte"/>
    <n v="1"/>
    <n v="32.19"/>
    <s v="Credit Card"/>
    <s v="In-store"/>
    <n v="3"/>
    <n v="0"/>
  </r>
  <r>
    <s v="TXN_000600"/>
    <s v="HOTEL_022"/>
    <x v="28"/>
    <x v="0"/>
    <x v="0"/>
    <s v="18:30–19:00"/>
    <s v="AlaCarte"/>
    <n v="3"/>
    <n v="75.73"/>
    <s v="Credit Card"/>
    <s v="In-store"/>
    <n v="3"/>
    <n v="0"/>
  </r>
  <r>
    <s v="TXN_000601"/>
    <s v="WALK_057"/>
    <x v="28"/>
    <x v="0"/>
    <x v="0"/>
    <s v="18:30–19:00"/>
    <s v="AlaCarte"/>
    <n v="3"/>
    <n v="41.6"/>
    <s v="Credit Card"/>
    <s v="In-store"/>
    <n v="3"/>
    <n v="0"/>
  </r>
  <r>
    <s v="TXN_000602"/>
    <s v="WALK_109"/>
    <x v="28"/>
    <x v="0"/>
    <x v="0"/>
    <s v="18:30–19:00"/>
    <s v="AlaCarte"/>
    <n v="5"/>
    <n v="108.31"/>
    <s v="Cash"/>
    <s v="In-store"/>
    <n v="3"/>
    <n v="0"/>
  </r>
  <r>
    <s v="TXN_000603"/>
    <s v="HOTEL_031"/>
    <x v="28"/>
    <x v="0"/>
    <x v="0"/>
    <s v="18:30–19:00"/>
    <s v="AlaCarte"/>
    <n v="2"/>
    <n v="48.79"/>
    <s v="Credit Card"/>
    <s v="Takeaway"/>
    <n v="3"/>
    <n v="0"/>
  </r>
  <r>
    <s v="TXN_000604"/>
    <s v="WALK_074"/>
    <x v="28"/>
    <x v="0"/>
    <x v="0"/>
    <s v="19:00–19:30"/>
    <s v="AlaCarte"/>
    <n v="1"/>
    <n v="47.61"/>
    <s v="Digital Wallet"/>
    <s v="In-store"/>
    <n v="3"/>
    <n v="0"/>
  </r>
  <r>
    <s v="TXN_000605"/>
    <s v="WALK_106"/>
    <x v="28"/>
    <x v="0"/>
    <x v="0"/>
    <s v="19:00–19:30"/>
    <s v="AlaCarte"/>
    <n v="1"/>
    <n v="82.82"/>
    <s v="Digital Wallet"/>
    <s v="In-store"/>
    <n v="3"/>
    <n v="0"/>
  </r>
  <r>
    <s v="TXN_000606"/>
    <s v="CORP_080"/>
    <x v="28"/>
    <x v="0"/>
    <x v="0"/>
    <s v="20:00–20:30"/>
    <s v="AlaCarte"/>
    <n v="2"/>
    <n v="87.86"/>
    <s v="Credit Card"/>
    <s v="In-store"/>
    <n v="3"/>
    <n v="0"/>
  </r>
  <r>
    <s v="TXN_000607"/>
    <s v="CORP_009"/>
    <x v="28"/>
    <x v="0"/>
    <x v="0"/>
    <s v="20:00–20:30"/>
    <s v="AlaCarte"/>
    <n v="5"/>
    <n v="239.03"/>
    <s v="Digital Wallet"/>
    <s v="Takeaway"/>
    <n v="3"/>
    <n v="0"/>
  </r>
  <r>
    <s v="TXN_000608"/>
    <s v="HOTEL_038"/>
    <x v="28"/>
    <x v="0"/>
    <x v="0"/>
    <s v="20:00–20:30"/>
    <s v="AlaCarte"/>
    <n v="4"/>
    <n v="113.82"/>
    <s v="Cash"/>
    <s v="In-store"/>
    <n v="3"/>
    <n v="0"/>
  </r>
  <r>
    <s v="TXN_000609"/>
    <s v="CORP_028"/>
    <x v="28"/>
    <x v="0"/>
    <x v="1"/>
    <s v="12:15–12:45"/>
    <s v="Buffet"/>
    <n v="3"/>
    <n v="60"/>
    <s v="Digital Wallet"/>
    <s v="In-store"/>
    <n v="3"/>
    <n v="1"/>
  </r>
  <r>
    <s v="TXN_000610"/>
    <s v="CORP_075"/>
    <x v="28"/>
    <x v="0"/>
    <x v="1"/>
    <s v="12:15–12:45"/>
    <s v="Buffet"/>
    <n v="1"/>
    <n v="20"/>
    <s v="Credit Card"/>
    <s v="Takeaway"/>
    <n v="3"/>
    <n v="1"/>
  </r>
  <r>
    <s v="TXN_000611"/>
    <s v="CORP_052"/>
    <x v="28"/>
    <x v="0"/>
    <x v="1"/>
    <s v="12:45–13:15"/>
    <s v="Buffet"/>
    <n v="2"/>
    <n v="40"/>
    <s v="Credit Card"/>
    <s v="Takeaway"/>
    <n v="3"/>
    <n v="1"/>
  </r>
  <r>
    <s v="TXN_000612"/>
    <s v="CORP_058"/>
    <x v="28"/>
    <x v="0"/>
    <x v="1"/>
    <s v="12:45–13:15"/>
    <s v="Buffet"/>
    <n v="4"/>
    <n v="80"/>
    <s v="Credit Card"/>
    <s v="In-store"/>
    <n v="3"/>
    <n v="1"/>
  </r>
  <r>
    <s v="TXN_000613"/>
    <s v="CORP_009"/>
    <x v="28"/>
    <x v="0"/>
    <x v="1"/>
    <s v="12:45–13:15"/>
    <s v="AlaCarte"/>
    <n v="4"/>
    <n v="65.739999999999995"/>
    <s v="Digital Wallet"/>
    <s v="In-store"/>
    <n v="3"/>
    <n v="0"/>
  </r>
  <r>
    <s v="TXN_000614"/>
    <s v="WALK_106"/>
    <x v="28"/>
    <x v="0"/>
    <x v="1"/>
    <s v="13:15–13:45"/>
    <s v="Buffet"/>
    <n v="1"/>
    <n v="24.5"/>
    <s v="Credit Card"/>
    <s v="In-store"/>
    <n v="3"/>
    <n v="1"/>
  </r>
  <r>
    <s v="TXN_000615"/>
    <s v="CORP_042"/>
    <x v="28"/>
    <x v="0"/>
    <x v="1"/>
    <s v="13:45–14:15"/>
    <s v="Buffet"/>
    <n v="3"/>
    <n v="60"/>
    <s v="Credit Card"/>
    <s v="In-store"/>
    <n v="3"/>
    <n v="1"/>
  </r>
  <r>
    <s v="TXN_000616"/>
    <s v="WALK_050"/>
    <x v="29"/>
    <x v="1"/>
    <x v="0"/>
    <s v="18:00–18:30"/>
    <s v="AlaCarte"/>
    <n v="1"/>
    <n v="44.07"/>
    <s v="Digital Wallet"/>
    <s v="In-store"/>
    <n v="4"/>
    <n v="0"/>
  </r>
  <r>
    <s v="TXN_000617"/>
    <s v="WALK_095"/>
    <x v="29"/>
    <x v="1"/>
    <x v="0"/>
    <s v="18:30–19:00"/>
    <s v="AlaCarte"/>
    <n v="3"/>
    <n v="43.01"/>
    <s v="Credit Card"/>
    <s v="In-store"/>
    <n v="4"/>
    <n v="0"/>
  </r>
  <r>
    <s v="TXN_000618"/>
    <s v="WALK_084"/>
    <x v="29"/>
    <x v="1"/>
    <x v="0"/>
    <s v="19:30–20:00"/>
    <s v="AlaCarte"/>
    <n v="4"/>
    <n v="133.34"/>
    <s v="Cash"/>
    <s v="In-store"/>
    <n v="4"/>
    <n v="0"/>
  </r>
  <r>
    <s v="TXN_000619"/>
    <s v="WALK_099"/>
    <x v="29"/>
    <x v="1"/>
    <x v="0"/>
    <s v="19:30–20:00"/>
    <s v="AlaCarte"/>
    <n v="2"/>
    <n v="33.79"/>
    <s v="Credit Card"/>
    <s v="Takeaway"/>
    <n v="4"/>
    <n v="0"/>
  </r>
  <r>
    <s v="TXN_000620"/>
    <s v="HOTEL_027"/>
    <x v="29"/>
    <x v="1"/>
    <x v="0"/>
    <s v="20:00–20:30"/>
    <s v="AlaCarte"/>
    <n v="3"/>
    <n v="94.06"/>
    <s v="Digital Wallet"/>
    <s v="In-store"/>
    <n v="4"/>
    <n v="0"/>
  </r>
  <r>
    <s v="TXN_000621"/>
    <s v="CORP_010"/>
    <x v="29"/>
    <x v="1"/>
    <x v="1"/>
    <s v="12:15–12:45"/>
    <s v="Buffet"/>
    <n v="2"/>
    <n v="40"/>
    <s v="Cash"/>
    <s v="In-store"/>
    <n v="4"/>
    <n v="1"/>
  </r>
  <r>
    <s v="TXN_000622"/>
    <s v="CORP_062"/>
    <x v="29"/>
    <x v="1"/>
    <x v="1"/>
    <s v="12:15–12:45"/>
    <s v="Buffet"/>
    <n v="4"/>
    <n v="84.5"/>
    <s v="Cash"/>
    <s v="In-store"/>
    <n v="4"/>
    <n v="1"/>
  </r>
  <r>
    <s v="TXN_000623"/>
    <s v="CORP_052"/>
    <x v="29"/>
    <x v="1"/>
    <x v="1"/>
    <s v="12:15–12:45"/>
    <s v="AlaCarte"/>
    <n v="1"/>
    <n v="25.44"/>
    <s v="Credit Card"/>
    <s v="Takeaway"/>
    <n v="4"/>
    <n v="0"/>
  </r>
  <r>
    <s v="TXN_000624"/>
    <s v="CORP_015"/>
    <x v="29"/>
    <x v="1"/>
    <x v="1"/>
    <s v="12:15–12:45"/>
    <s v="Buffet"/>
    <n v="4"/>
    <n v="89"/>
    <s v="Digital Wallet"/>
    <s v="Takeaway"/>
    <n v="4"/>
    <n v="1"/>
  </r>
  <r>
    <s v="TXN_000625"/>
    <s v="CORP_076"/>
    <x v="29"/>
    <x v="1"/>
    <x v="1"/>
    <s v="12:15–12:45"/>
    <s v="Buffet"/>
    <n v="3"/>
    <n v="69"/>
    <s v="Digital Wallet"/>
    <s v="In-store"/>
    <n v="4"/>
    <n v="1"/>
  </r>
  <r>
    <s v="TXN_000626"/>
    <s v="CORP_046"/>
    <x v="29"/>
    <x v="1"/>
    <x v="1"/>
    <s v="12:15–12:45"/>
    <s v="AlaCarte"/>
    <n v="4"/>
    <n v="54.01"/>
    <s v="Credit Card"/>
    <s v="In-store"/>
    <n v="4"/>
    <n v="0"/>
  </r>
  <r>
    <s v="TXN_000627"/>
    <s v="CORP_013"/>
    <x v="29"/>
    <x v="1"/>
    <x v="1"/>
    <s v="12:15–12:45"/>
    <s v="Buffet"/>
    <n v="2"/>
    <n v="40"/>
    <s v="Credit Card"/>
    <s v="In-store"/>
    <n v="4"/>
    <n v="1"/>
  </r>
  <r>
    <s v="TXN_000628"/>
    <s v="CORP_023"/>
    <x v="29"/>
    <x v="1"/>
    <x v="1"/>
    <s v="12:45–13:15"/>
    <s v="Buffet"/>
    <n v="2"/>
    <n v="49"/>
    <s v="Credit Card"/>
    <s v="In-store"/>
    <n v="4"/>
    <n v="1"/>
  </r>
  <r>
    <s v="TXN_000629"/>
    <s v="CORP_002"/>
    <x v="29"/>
    <x v="1"/>
    <x v="1"/>
    <s v="12:45–13:15"/>
    <s v="Buffet"/>
    <n v="1"/>
    <n v="20"/>
    <s v="Cash"/>
    <s v="Takeaway"/>
    <n v="4"/>
    <n v="1"/>
  </r>
  <r>
    <s v="TXN_000630"/>
    <s v="WALK_017"/>
    <x v="29"/>
    <x v="1"/>
    <x v="1"/>
    <s v="12:45–13:15"/>
    <s v="Buffet"/>
    <n v="2"/>
    <n v="44.5"/>
    <s v="Digital Wallet"/>
    <s v="In-store"/>
    <n v="4"/>
    <n v="1"/>
  </r>
  <r>
    <s v="TXN_000631"/>
    <s v="CORP_020"/>
    <x v="29"/>
    <x v="1"/>
    <x v="1"/>
    <s v="12:45–13:15"/>
    <s v="Buffet"/>
    <n v="3"/>
    <n v="64.5"/>
    <s v="Cash"/>
    <s v="In-store"/>
    <n v="4"/>
    <n v="1"/>
  </r>
  <r>
    <s v="TXN_000632"/>
    <s v="CORP_007"/>
    <x v="29"/>
    <x v="1"/>
    <x v="1"/>
    <s v="12:45–13:15"/>
    <s v="AlaCarte"/>
    <n v="3"/>
    <n v="79.13"/>
    <s v="Credit Card"/>
    <s v="In-store"/>
    <n v="4"/>
    <n v="0"/>
  </r>
  <r>
    <s v="TXN_000633"/>
    <s v="CORP_065"/>
    <x v="29"/>
    <x v="1"/>
    <x v="1"/>
    <s v="12:45–13:15"/>
    <s v="Buffet"/>
    <n v="3"/>
    <n v="69"/>
    <s v="Credit Card"/>
    <s v="In-store"/>
    <n v="4"/>
    <n v="1"/>
  </r>
  <r>
    <s v="TXN_000634"/>
    <s v="WALK_069"/>
    <x v="29"/>
    <x v="1"/>
    <x v="1"/>
    <s v="13:15–13:45"/>
    <s v="Buffet"/>
    <n v="3"/>
    <n v="60"/>
    <s v="Credit Card"/>
    <s v="In-store"/>
    <n v="4"/>
    <n v="1"/>
  </r>
  <r>
    <s v="TXN_000635"/>
    <s v="CORP_015"/>
    <x v="29"/>
    <x v="1"/>
    <x v="1"/>
    <s v="13:45–14:15"/>
    <s v="Buffet"/>
    <n v="2"/>
    <n v="44.5"/>
    <s v="Cash"/>
    <s v="Takeaway"/>
    <n v="4"/>
    <n v="1"/>
  </r>
  <r>
    <s v="TXN_000636"/>
    <s v="CORP_052"/>
    <x v="29"/>
    <x v="1"/>
    <x v="1"/>
    <s v="13:45–14:15"/>
    <s v="Buffet"/>
    <n v="4"/>
    <n v="80"/>
    <s v="Credit Card"/>
    <s v="In-store"/>
    <n v="4"/>
    <n v="1"/>
  </r>
  <r>
    <s v="TXN_000637"/>
    <s v="WALK_086"/>
    <x v="30"/>
    <x v="2"/>
    <x v="0"/>
    <s v="18:00–18:30"/>
    <s v="AlaCarte"/>
    <n v="5"/>
    <n v="166.83"/>
    <s v="Digital Wallet"/>
    <s v="In-store"/>
    <n v="5"/>
    <n v="0"/>
  </r>
  <r>
    <s v="TXN_000638"/>
    <s v="HOTEL_030"/>
    <x v="30"/>
    <x v="2"/>
    <x v="0"/>
    <s v="18:30–19:00"/>
    <s v="AlaCarte"/>
    <n v="3"/>
    <n v="99.86"/>
    <s v="Digital Wallet"/>
    <s v="In-store"/>
    <n v="5"/>
    <n v="0"/>
  </r>
  <r>
    <s v="TXN_000639"/>
    <s v="WALK_032"/>
    <x v="30"/>
    <x v="2"/>
    <x v="0"/>
    <s v="18:30–19:00"/>
    <s v="AlaCarte"/>
    <n v="3"/>
    <n v="95.65"/>
    <s v="Digital Wallet"/>
    <s v="In-store"/>
    <n v="5"/>
    <n v="0"/>
  </r>
  <r>
    <s v="TXN_000640"/>
    <s v="WALK_110"/>
    <x v="30"/>
    <x v="2"/>
    <x v="0"/>
    <s v="18:30–19:00"/>
    <s v="AlaCarte"/>
    <n v="2"/>
    <n v="34.590000000000003"/>
    <s v="Credit Card"/>
    <s v="In-store"/>
    <n v="5"/>
    <n v="0"/>
  </r>
  <r>
    <s v="TXN_000641"/>
    <s v="HOTEL_029"/>
    <x v="30"/>
    <x v="2"/>
    <x v="0"/>
    <s v="19:00–19:30"/>
    <s v="AlaCarte"/>
    <n v="3"/>
    <n v="155.24"/>
    <s v="Cash"/>
    <s v="In-store"/>
    <n v="5"/>
    <n v="0"/>
  </r>
  <r>
    <s v="TXN_000642"/>
    <s v="HOTEL_022"/>
    <x v="30"/>
    <x v="2"/>
    <x v="0"/>
    <s v="19:00–19:30"/>
    <s v="AlaCarte"/>
    <n v="1"/>
    <n v="16.45"/>
    <s v="Cash"/>
    <s v="In-store"/>
    <n v="5"/>
    <n v="0"/>
  </r>
  <r>
    <s v="TXN_000643"/>
    <s v="WALK_006"/>
    <x v="30"/>
    <x v="2"/>
    <x v="0"/>
    <s v="19:00–19:30"/>
    <s v="AlaCarte"/>
    <n v="3"/>
    <n v="141.6"/>
    <s v="Credit Card"/>
    <s v="In-store"/>
    <n v="5"/>
    <n v="0"/>
  </r>
  <r>
    <s v="TXN_000644"/>
    <s v="CORP_050"/>
    <x v="30"/>
    <x v="2"/>
    <x v="0"/>
    <s v="19:00–19:30"/>
    <s v="AlaCarte"/>
    <n v="5"/>
    <n v="161.27000000000001"/>
    <s v="Cash"/>
    <s v="In-store"/>
    <n v="5"/>
    <n v="0"/>
  </r>
  <r>
    <s v="TXN_000645"/>
    <s v="WALK_026"/>
    <x v="30"/>
    <x v="2"/>
    <x v="0"/>
    <s v="19:00–19:30"/>
    <s v="AlaCarte"/>
    <n v="3"/>
    <n v="58.03"/>
    <s v="Credit Card"/>
    <s v="Takeaway"/>
    <n v="5"/>
    <n v="0"/>
  </r>
  <r>
    <s v="TXN_000646"/>
    <s v="HOTEL_010"/>
    <x v="30"/>
    <x v="2"/>
    <x v="0"/>
    <s v="19:00–19:30"/>
    <s v="AlaCarte"/>
    <n v="3"/>
    <n v="89.45"/>
    <s v="Credit Card"/>
    <s v="Takeaway"/>
    <n v="5"/>
    <n v="0"/>
  </r>
  <r>
    <s v="TXN_000647"/>
    <s v="WALK_069"/>
    <x v="30"/>
    <x v="2"/>
    <x v="0"/>
    <s v="19:30–20:00"/>
    <s v="AlaCarte"/>
    <n v="2"/>
    <n v="55.09"/>
    <s v="Credit Card"/>
    <s v="In-store"/>
    <n v="5"/>
    <n v="0"/>
  </r>
  <r>
    <s v="TXN_000648"/>
    <s v="WALK_063"/>
    <x v="30"/>
    <x v="2"/>
    <x v="0"/>
    <s v="20:00–20:30"/>
    <s v="AlaCarte"/>
    <n v="2"/>
    <n v="74.42"/>
    <s v="Digital Wallet"/>
    <s v="Takeaway"/>
    <n v="5"/>
    <n v="0"/>
  </r>
  <r>
    <s v="TXN_000649"/>
    <s v="HOTEL_027"/>
    <x v="30"/>
    <x v="2"/>
    <x v="0"/>
    <s v="20:00–20:30"/>
    <s v="AlaCarte"/>
    <n v="1"/>
    <n v="21.81"/>
    <s v="Cash"/>
    <s v="In-store"/>
    <n v="5"/>
    <n v="0"/>
  </r>
  <r>
    <s v="TXN_000650"/>
    <s v="HOTEL_006"/>
    <x v="30"/>
    <x v="2"/>
    <x v="0"/>
    <s v="20:00–20:30"/>
    <s v="AlaCarte"/>
    <n v="6"/>
    <n v="101.09"/>
    <s v="Cash"/>
    <s v="In-store"/>
    <n v="5"/>
    <n v="0"/>
  </r>
  <r>
    <s v="TXN_000651"/>
    <s v="WALK_015"/>
    <x v="30"/>
    <x v="2"/>
    <x v="0"/>
    <s v="20:00–20:30"/>
    <s v="AlaCarte"/>
    <n v="3"/>
    <n v="92.28"/>
    <s v="Digital Wallet"/>
    <s v="Takeaway"/>
    <n v="5"/>
    <n v="0"/>
  </r>
  <r>
    <s v="TXN_000652"/>
    <s v="CORP_008"/>
    <x v="30"/>
    <x v="2"/>
    <x v="1"/>
    <s v="12:15–12:45"/>
    <s v="Buffet"/>
    <n v="3"/>
    <n v="60"/>
    <s v="Cash"/>
    <s v="In-store"/>
    <n v="5"/>
    <n v="1"/>
  </r>
  <r>
    <s v="TXN_000653"/>
    <s v="CORP_041"/>
    <x v="30"/>
    <x v="2"/>
    <x v="1"/>
    <s v="12:15–12:45"/>
    <s v="AlaCarte"/>
    <n v="2"/>
    <n v="76.78"/>
    <s v="Digital Wallet"/>
    <s v="Takeaway"/>
    <n v="5"/>
    <n v="0"/>
  </r>
  <r>
    <s v="TXN_000654"/>
    <s v="CORP_025"/>
    <x v="30"/>
    <x v="2"/>
    <x v="1"/>
    <s v="12:15–12:45"/>
    <s v="Buffet"/>
    <n v="3"/>
    <n v="60"/>
    <s v="Credit Card"/>
    <s v="In-store"/>
    <n v="5"/>
    <n v="1"/>
  </r>
  <r>
    <s v="TXN_000655"/>
    <s v="WALK_059"/>
    <x v="30"/>
    <x v="2"/>
    <x v="1"/>
    <s v="12:45–13:15"/>
    <s v="Buffet"/>
    <n v="3"/>
    <n v="64.5"/>
    <s v="Cash"/>
    <s v="Takeaway"/>
    <n v="5"/>
    <n v="1"/>
  </r>
  <r>
    <s v="TXN_000656"/>
    <s v="CORP_068"/>
    <x v="30"/>
    <x v="2"/>
    <x v="1"/>
    <s v="12:45–13:15"/>
    <s v="Buffet"/>
    <n v="4"/>
    <n v="84.5"/>
    <s v="Digital Wallet"/>
    <s v="In-store"/>
    <n v="5"/>
    <n v="1"/>
  </r>
  <r>
    <s v="TXN_000657"/>
    <s v="CORP_078"/>
    <x v="30"/>
    <x v="2"/>
    <x v="1"/>
    <s v="12:45–13:15"/>
    <s v="Buffet"/>
    <n v="4"/>
    <n v="80"/>
    <s v="Cash"/>
    <s v="In-store"/>
    <n v="5"/>
    <n v="1"/>
  </r>
  <r>
    <s v="TXN_000658"/>
    <s v="CORP_031"/>
    <x v="30"/>
    <x v="2"/>
    <x v="1"/>
    <s v="12:45–13:15"/>
    <s v="Buffet"/>
    <n v="2"/>
    <n v="40"/>
    <s v="Cash"/>
    <s v="In-store"/>
    <n v="5"/>
    <n v="1"/>
  </r>
  <r>
    <s v="TXN_000659"/>
    <s v="WALK_016"/>
    <x v="30"/>
    <x v="2"/>
    <x v="1"/>
    <s v="12:45–13:15"/>
    <s v="Buffet"/>
    <n v="5"/>
    <n v="100"/>
    <s v="Cash"/>
    <s v="In-store"/>
    <n v="5"/>
    <n v="1"/>
  </r>
  <r>
    <s v="TXN_000660"/>
    <s v="CORP_045"/>
    <x v="30"/>
    <x v="2"/>
    <x v="1"/>
    <s v="12:45–13:15"/>
    <s v="Buffet"/>
    <n v="1"/>
    <n v="24.5"/>
    <s v="Cash"/>
    <s v="Takeaway"/>
    <n v="5"/>
    <n v="1"/>
  </r>
  <r>
    <s v="TXN_000661"/>
    <s v="CORP_010"/>
    <x v="30"/>
    <x v="2"/>
    <x v="1"/>
    <s v="13:15–13:45"/>
    <s v="Buffet"/>
    <n v="3"/>
    <n v="64.5"/>
    <s v="Cash"/>
    <s v="In-store"/>
    <n v="5"/>
    <n v="1"/>
  </r>
  <r>
    <s v="TXN_000662"/>
    <s v="CORP_035"/>
    <x v="30"/>
    <x v="2"/>
    <x v="1"/>
    <s v="13:15–13:45"/>
    <s v="AlaCarte"/>
    <n v="4"/>
    <n v="94.71"/>
    <s v="Credit Card"/>
    <s v="In-store"/>
    <n v="5"/>
    <n v="0"/>
  </r>
  <r>
    <s v="TXN_000663"/>
    <s v="WALK_011"/>
    <x v="30"/>
    <x v="2"/>
    <x v="1"/>
    <s v="13:15–13:45"/>
    <s v="Buffet"/>
    <n v="4"/>
    <n v="89"/>
    <s v="Digital Wallet"/>
    <s v="Takeaway"/>
    <n v="5"/>
    <n v="1"/>
  </r>
  <r>
    <s v="TXN_000664"/>
    <s v="WALK_086"/>
    <x v="30"/>
    <x v="2"/>
    <x v="1"/>
    <s v="13:45–14:15"/>
    <s v="AlaCarte"/>
    <n v="3"/>
    <n v="42.14"/>
    <s v="Credit Card"/>
    <s v="Takeaway"/>
    <n v="5"/>
    <n v="0"/>
  </r>
  <r>
    <s v="TXN_000665"/>
    <s v="WALK_025"/>
    <x v="30"/>
    <x v="2"/>
    <x v="1"/>
    <s v="13:45–14:15"/>
    <s v="Buffet"/>
    <n v="2"/>
    <n v="44.5"/>
    <s v="Credit Card"/>
    <s v="In-store"/>
    <n v="5"/>
    <n v="1"/>
  </r>
  <r>
    <s v="TXN_000666"/>
    <s v="CORP_048"/>
    <x v="30"/>
    <x v="2"/>
    <x v="1"/>
    <s v="13:45–14:15"/>
    <s v="Buffet"/>
    <n v="5"/>
    <n v="109"/>
    <s v="Credit Card"/>
    <s v="In-store"/>
    <n v="5"/>
    <n v="1"/>
  </r>
  <r>
    <s v="TXN_000667"/>
    <s v="CORP_051"/>
    <x v="30"/>
    <x v="2"/>
    <x v="1"/>
    <s v="13:45–14:15"/>
    <s v="Buffet"/>
    <n v="3"/>
    <n v="64.5"/>
    <s v="Digital Wallet"/>
    <s v="In-store"/>
    <n v="5"/>
    <n v="1"/>
  </r>
  <r>
    <s v="TXN_000668"/>
    <s v="WALK_024"/>
    <x v="31"/>
    <x v="3"/>
    <x v="0"/>
    <s v="18:00–18:30"/>
    <s v="AlaCarte"/>
    <n v="3"/>
    <n v="34.450000000000003"/>
    <s v="Credit Card"/>
    <s v="In-store"/>
    <n v="6"/>
    <n v="0"/>
  </r>
  <r>
    <s v="TXN_000669"/>
    <s v="CORP_039"/>
    <x v="31"/>
    <x v="3"/>
    <x v="0"/>
    <s v="18:30–19:00"/>
    <s v="AlaCarte"/>
    <n v="5"/>
    <n v="133.72"/>
    <s v="Credit Card"/>
    <s v="In-store"/>
    <n v="6"/>
    <n v="0"/>
  </r>
  <r>
    <s v="TXN_000670"/>
    <s v="WALK_083"/>
    <x v="31"/>
    <x v="3"/>
    <x v="0"/>
    <s v="18:30–19:00"/>
    <s v="AlaCarte"/>
    <n v="4"/>
    <n v="215.19"/>
    <s v="Credit Card"/>
    <s v="In-store"/>
    <n v="6"/>
    <n v="0"/>
  </r>
  <r>
    <s v="TXN_000671"/>
    <s v="WALK_076"/>
    <x v="31"/>
    <x v="3"/>
    <x v="0"/>
    <s v="18:30–19:00"/>
    <s v="AlaCarte"/>
    <n v="3"/>
    <n v="106.7"/>
    <s v="Cash"/>
    <s v="Takeaway"/>
    <n v="6"/>
    <n v="0"/>
  </r>
  <r>
    <s v="TXN_000672"/>
    <s v="WALK_112"/>
    <x v="31"/>
    <x v="3"/>
    <x v="0"/>
    <s v="18:30–19:00"/>
    <s v="AlaCarte"/>
    <n v="2"/>
    <n v="45.47"/>
    <s v="Credit Card"/>
    <s v="Takeaway"/>
    <n v="6"/>
    <n v="0"/>
  </r>
  <r>
    <s v="TXN_000673"/>
    <s v="HOTEL_027"/>
    <x v="31"/>
    <x v="3"/>
    <x v="0"/>
    <s v="19:00–19:30"/>
    <s v="AlaCarte"/>
    <n v="6"/>
    <n v="186.15"/>
    <s v="Digital Wallet"/>
    <s v="In-store"/>
    <n v="6"/>
    <n v="0"/>
  </r>
  <r>
    <s v="TXN_000674"/>
    <s v="HOTEL_001"/>
    <x v="31"/>
    <x v="3"/>
    <x v="0"/>
    <s v="19:00–19:30"/>
    <s v="AlaCarte"/>
    <n v="2"/>
    <n v="58.03"/>
    <s v="Cash"/>
    <s v="In-store"/>
    <n v="6"/>
    <n v="0"/>
  </r>
  <r>
    <s v="TXN_000675"/>
    <s v="CORP_058"/>
    <x v="31"/>
    <x v="3"/>
    <x v="0"/>
    <s v="19:00–19:30"/>
    <s v="AlaCarte"/>
    <n v="4"/>
    <n v="92.01"/>
    <s v="Cash"/>
    <s v="Takeaway"/>
    <n v="6"/>
    <n v="0"/>
  </r>
  <r>
    <s v="TXN_000676"/>
    <s v="WALK_081"/>
    <x v="31"/>
    <x v="3"/>
    <x v="0"/>
    <s v="19:00–19:30"/>
    <s v="AlaCarte"/>
    <n v="1"/>
    <n v="31.31"/>
    <s v="Cash"/>
    <s v="In-store"/>
    <n v="6"/>
    <n v="0"/>
  </r>
  <r>
    <s v="TXN_000677"/>
    <s v="HOTEL_036"/>
    <x v="31"/>
    <x v="3"/>
    <x v="0"/>
    <s v="19:00–19:30"/>
    <s v="AlaCarte"/>
    <n v="3"/>
    <n v="158.22"/>
    <s v="Credit Card"/>
    <s v="In-store"/>
    <n v="6"/>
    <n v="0"/>
  </r>
  <r>
    <s v="TXN_000678"/>
    <s v="HOTEL_034"/>
    <x v="31"/>
    <x v="3"/>
    <x v="0"/>
    <s v="19:30–20:00"/>
    <s v="AlaCarte"/>
    <n v="5"/>
    <n v="150.59"/>
    <s v="Credit Card"/>
    <s v="In-store"/>
    <n v="6"/>
    <n v="0"/>
  </r>
  <r>
    <s v="TXN_000679"/>
    <s v="WALK_055"/>
    <x v="31"/>
    <x v="3"/>
    <x v="0"/>
    <s v="19:30–20:00"/>
    <s v="AlaCarte"/>
    <n v="1"/>
    <n v="19.05"/>
    <s v="Digital Wallet"/>
    <s v="In-store"/>
    <n v="6"/>
    <n v="0"/>
  </r>
  <r>
    <s v="TXN_000680"/>
    <s v="WALK_074"/>
    <x v="31"/>
    <x v="3"/>
    <x v="0"/>
    <s v="19:30–20:00"/>
    <s v="AlaCarte"/>
    <n v="6"/>
    <n v="69.41"/>
    <s v="Credit Card"/>
    <s v="In-store"/>
    <n v="6"/>
    <n v="0"/>
  </r>
  <r>
    <s v="TXN_000681"/>
    <s v="HOTEL_005"/>
    <x v="31"/>
    <x v="3"/>
    <x v="0"/>
    <s v="19:30–20:00"/>
    <s v="AlaCarte"/>
    <n v="3"/>
    <n v="116.64"/>
    <s v="Digital Wallet"/>
    <s v="In-store"/>
    <n v="6"/>
    <n v="0"/>
  </r>
  <r>
    <s v="TXN_000682"/>
    <s v="WALK_010"/>
    <x v="31"/>
    <x v="3"/>
    <x v="0"/>
    <s v="19:30–20:00"/>
    <s v="AlaCarte"/>
    <n v="3"/>
    <n v="84.02"/>
    <s v="Cash"/>
    <s v="In-store"/>
    <n v="6"/>
    <n v="0"/>
  </r>
  <r>
    <s v="TXN_000683"/>
    <s v="WALK_078"/>
    <x v="31"/>
    <x v="3"/>
    <x v="0"/>
    <s v="19:30–20:00"/>
    <s v="AlaCarte"/>
    <n v="3"/>
    <n v="136.75"/>
    <s v="Credit Card"/>
    <s v="In-store"/>
    <n v="6"/>
    <n v="0"/>
  </r>
  <r>
    <s v="TXN_000684"/>
    <s v="WALK_090"/>
    <x v="31"/>
    <x v="3"/>
    <x v="0"/>
    <s v="19:30–20:00"/>
    <s v="AlaCarte"/>
    <n v="3"/>
    <n v="50.12"/>
    <s v="Digital Wallet"/>
    <s v="In-store"/>
    <n v="6"/>
    <n v="0"/>
  </r>
  <r>
    <s v="TXN_000685"/>
    <s v="WALK_079"/>
    <x v="31"/>
    <x v="3"/>
    <x v="0"/>
    <s v="20:00–20:30"/>
    <s v="AlaCarte"/>
    <n v="4"/>
    <n v="102.44"/>
    <s v="Cash"/>
    <s v="In-store"/>
    <n v="6"/>
    <n v="0"/>
  </r>
  <r>
    <s v="TXN_000686"/>
    <s v="WALK_045"/>
    <x v="31"/>
    <x v="3"/>
    <x v="0"/>
    <s v="20:00–20:30"/>
    <s v="AlaCarte"/>
    <n v="3"/>
    <n v="107.62"/>
    <s v="Digital Wallet"/>
    <s v="In-store"/>
    <n v="6"/>
    <n v="0"/>
  </r>
  <r>
    <s v="TXN_000687"/>
    <s v="WALK_070"/>
    <x v="31"/>
    <x v="3"/>
    <x v="0"/>
    <s v="20:00–20:30"/>
    <s v="AlaCarte"/>
    <n v="5"/>
    <n v="129.57"/>
    <s v="Credit Card"/>
    <s v="Takeaway"/>
    <n v="6"/>
    <n v="0"/>
  </r>
  <r>
    <s v="TXN_000688"/>
    <s v="HOTEL_025"/>
    <x v="31"/>
    <x v="3"/>
    <x v="0"/>
    <s v="20:00–20:30"/>
    <s v="AlaCarte"/>
    <n v="5"/>
    <n v="282.52999999999997"/>
    <s v="Credit Card"/>
    <s v="In-store"/>
    <n v="6"/>
    <n v="0"/>
  </r>
  <r>
    <s v="TXN_000689"/>
    <s v="WALK_005"/>
    <x v="31"/>
    <x v="3"/>
    <x v="0"/>
    <s v="20:00–20:30"/>
    <s v="AlaCarte"/>
    <n v="8"/>
    <n v="236.66"/>
    <s v="Cash"/>
    <s v="In-store"/>
    <n v="6"/>
    <n v="0"/>
  </r>
  <r>
    <s v="TXN_000690"/>
    <s v="WALK_091"/>
    <x v="31"/>
    <x v="3"/>
    <x v="0"/>
    <s v="20:00–20:30"/>
    <s v="AlaCarte"/>
    <n v="2"/>
    <n v="51.44"/>
    <s v="Credit Card"/>
    <s v="In-store"/>
    <n v="6"/>
    <n v="0"/>
  </r>
  <r>
    <s v="TXN_000691"/>
    <s v="WALK_034"/>
    <x v="31"/>
    <x v="3"/>
    <x v="0"/>
    <s v="20:00–20:30"/>
    <s v="AlaCarte"/>
    <n v="2"/>
    <n v="57"/>
    <s v="Credit Card"/>
    <s v="In-store"/>
    <n v="6"/>
    <n v="0"/>
  </r>
  <r>
    <s v="TXN_000692"/>
    <s v="CORP_071"/>
    <x v="31"/>
    <x v="3"/>
    <x v="1"/>
    <s v="12:15–12:45"/>
    <s v="AlaCarte"/>
    <n v="2"/>
    <n v="17.48"/>
    <s v="Credit Card"/>
    <s v="In-store"/>
    <n v="6"/>
    <n v="0"/>
  </r>
  <r>
    <s v="TXN_000693"/>
    <s v="CORP_047"/>
    <x v="31"/>
    <x v="3"/>
    <x v="1"/>
    <s v="12:45–13:15"/>
    <s v="AlaCarte"/>
    <n v="1"/>
    <n v="27.35"/>
    <s v="Credit Card"/>
    <s v="In-store"/>
    <n v="6"/>
    <n v="0"/>
  </r>
  <r>
    <s v="TXN_000694"/>
    <s v="WALK_087"/>
    <x v="31"/>
    <x v="3"/>
    <x v="1"/>
    <s v="12:45–13:15"/>
    <s v="AlaCarte"/>
    <n v="1"/>
    <n v="23.26"/>
    <s v="Cash"/>
    <s v="In-store"/>
    <n v="6"/>
    <n v="0"/>
  </r>
  <r>
    <s v="TXN_000695"/>
    <s v="WALK_083"/>
    <x v="32"/>
    <x v="4"/>
    <x v="0"/>
    <s v="18:00–18:30"/>
    <s v="AlaCarte"/>
    <n v="2"/>
    <n v="39.74"/>
    <s v="Credit Card"/>
    <s v="In-store"/>
    <n v="7"/>
    <n v="0"/>
  </r>
  <r>
    <s v="TXN_000696"/>
    <s v="WALK_107"/>
    <x v="32"/>
    <x v="4"/>
    <x v="0"/>
    <s v="18:00–18:30"/>
    <s v="AlaCarte"/>
    <n v="2"/>
    <n v="37.270000000000003"/>
    <s v="Cash"/>
    <s v="In-store"/>
    <n v="7"/>
    <n v="0"/>
  </r>
  <r>
    <s v="TXN_000697"/>
    <s v="WALK_003"/>
    <x v="32"/>
    <x v="4"/>
    <x v="0"/>
    <s v="18:30–19:00"/>
    <s v="AlaCarte"/>
    <n v="5"/>
    <n v="189.88"/>
    <s v="Credit Card"/>
    <s v="Takeaway"/>
    <n v="7"/>
    <n v="0"/>
  </r>
  <r>
    <s v="TXN_000698"/>
    <s v="CORP_062"/>
    <x v="32"/>
    <x v="4"/>
    <x v="0"/>
    <s v="19:00–19:30"/>
    <s v="AlaCarte"/>
    <n v="4"/>
    <n v="103.66"/>
    <s v="Cash"/>
    <s v="In-store"/>
    <n v="7"/>
    <n v="0"/>
  </r>
  <r>
    <s v="TXN_000699"/>
    <s v="HOTEL_040"/>
    <x v="32"/>
    <x v="4"/>
    <x v="0"/>
    <s v="19:00–19:30"/>
    <s v="AlaCarte"/>
    <n v="2"/>
    <n v="68.89"/>
    <s v="Credit Card"/>
    <s v="In-store"/>
    <n v="7"/>
    <n v="0"/>
  </r>
  <r>
    <s v="TXN_000700"/>
    <s v="HOTEL_030"/>
    <x v="32"/>
    <x v="4"/>
    <x v="0"/>
    <s v="19:30–20:00"/>
    <s v="AlaCarte"/>
    <n v="4"/>
    <n v="104.74"/>
    <s v="Digital Wallet"/>
    <s v="In-store"/>
    <n v="7"/>
    <n v="0"/>
  </r>
  <r>
    <s v="TXN_000701"/>
    <s v="WALK_034"/>
    <x v="32"/>
    <x v="4"/>
    <x v="0"/>
    <s v="19:30–20:00"/>
    <s v="AlaCarte"/>
    <n v="1"/>
    <n v="37.79"/>
    <s v="Credit Card"/>
    <s v="In-store"/>
    <n v="7"/>
    <n v="0"/>
  </r>
  <r>
    <s v="TXN_000702"/>
    <s v="WALK_117"/>
    <x v="32"/>
    <x v="4"/>
    <x v="0"/>
    <s v="19:30–20:00"/>
    <s v="AlaCarte"/>
    <n v="3"/>
    <n v="59.35"/>
    <s v="Credit Card"/>
    <s v="In-store"/>
    <n v="7"/>
    <n v="0"/>
  </r>
  <r>
    <s v="TXN_000703"/>
    <s v="WALK_084"/>
    <x v="32"/>
    <x v="4"/>
    <x v="0"/>
    <s v="19:30–20:00"/>
    <s v="AlaCarte"/>
    <n v="5"/>
    <n v="130.84"/>
    <s v="Digital Wallet"/>
    <s v="In-store"/>
    <n v="7"/>
    <n v="0"/>
  </r>
  <r>
    <s v="TXN_000704"/>
    <s v="WALK_027"/>
    <x v="32"/>
    <x v="4"/>
    <x v="0"/>
    <s v="20:00–20:30"/>
    <s v="AlaCarte"/>
    <n v="5"/>
    <n v="101.59"/>
    <s v="Cash"/>
    <s v="In-store"/>
    <n v="7"/>
    <n v="0"/>
  </r>
  <r>
    <s v="TXN_000705"/>
    <s v="WALK_049"/>
    <x v="32"/>
    <x v="4"/>
    <x v="0"/>
    <s v="20:00–20:30"/>
    <s v="AlaCarte"/>
    <n v="2"/>
    <n v="68.81"/>
    <s v="Digital Wallet"/>
    <s v="In-store"/>
    <n v="7"/>
    <n v="0"/>
  </r>
  <r>
    <s v="TXN_000706"/>
    <s v="CORP_013"/>
    <x v="32"/>
    <x v="4"/>
    <x v="1"/>
    <s v="12:45–13:15"/>
    <s v="AlaCarte"/>
    <n v="2"/>
    <n v="28.23"/>
    <s v="Credit Card"/>
    <s v="Takeaway"/>
    <n v="7"/>
    <n v="0"/>
  </r>
  <r>
    <s v="TXN_000707"/>
    <s v="CORP_063"/>
    <x v="32"/>
    <x v="4"/>
    <x v="1"/>
    <s v="12:45–13:15"/>
    <s v="AlaCarte"/>
    <n v="1"/>
    <n v="15.95"/>
    <s v="Credit Card"/>
    <s v="In-store"/>
    <n v="7"/>
    <n v="0"/>
  </r>
  <r>
    <s v="TXN_000708"/>
    <s v="CORP_007"/>
    <x v="32"/>
    <x v="4"/>
    <x v="1"/>
    <s v="13:15–13:45"/>
    <s v="AlaCarte"/>
    <n v="3"/>
    <n v="65.069999999999993"/>
    <s v="Digital Wallet"/>
    <s v="In-store"/>
    <n v="7"/>
    <n v="0"/>
  </r>
  <r>
    <s v="TXN_000709"/>
    <s v="WALK_055"/>
    <x v="33"/>
    <x v="5"/>
    <x v="0"/>
    <s v="18:00–18:30"/>
    <s v="AlaCarte"/>
    <n v="4"/>
    <n v="83.66"/>
    <s v="Credit Card"/>
    <s v="In-store"/>
    <n v="1"/>
    <n v="0"/>
  </r>
  <r>
    <s v="TXN_000710"/>
    <s v="HOTEL_001"/>
    <x v="33"/>
    <x v="5"/>
    <x v="0"/>
    <s v="18:00–18:30"/>
    <s v="AlaCarte"/>
    <n v="2"/>
    <n v="29.87"/>
    <s v="Credit Card"/>
    <s v="Takeaway"/>
    <n v="1"/>
    <n v="0"/>
  </r>
  <r>
    <s v="TXN_000711"/>
    <s v="WALK_051"/>
    <x v="33"/>
    <x v="5"/>
    <x v="0"/>
    <s v="18:30–19:00"/>
    <s v="AlaCarte"/>
    <n v="1"/>
    <n v="52.79"/>
    <s v="Credit Card"/>
    <s v="Takeaway"/>
    <n v="1"/>
    <n v="0"/>
  </r>
  <r>
    <s v="TXN_000712"/>
    <s v="WALK_086"/>
    <x v="33"/>
    <x v="5"/>
    <x v="0"/>
    <s v="18:30–19:00"/>
    <s v="AlaCarte"/>
    <n v="5"/>
    <n v="166.77"/>
    <s v="Credit Card"/>
    <s v="Takeaway"/>
    <n v="1"/>
    <n v="0"/>
  </r>
  <r>
    <s v="TXN_000713"/>
    <s v="HOTEL_036"/>
    <x v="33"/>
    <x v="5"/>
    <x v="0"/>
    <s v="18:30–19:00"/>
    <s v="AlaCarte"/>
    <n v="3"/>
    <n v="92.18"/>
    <s v="Cash"/>
    <s v="In-store"/>
    <n v="1"/>
    <n v="0"/>
  </r>
  <r>
    <s v="TXN_000714"/>
    <s v="CORP_031"/>
    <x v="33"/>
    <x v="5"/>
    <x v="0"/>
    <s v="18:30–19:00"/>
    <s v="AlaCarte"/>
    <n v="3"/>
    <n v="71.849999999999994"/>
    <s v="Credit Card"/>
    <s v="In-store"/>
    <n v="1"/>
    <n v="0"/>
  </r>
  <r>
    <s v="TXN_000715"/>
    <s v="WALK_087"/>
    <x v="33"/>
    <x v="5"/>
    <x v="0"/>
    <s v="19:00–19:30"/>
    <s v="AlaCarte"/>
    <n v="4"/>
    <n v="89.19"/>
    <s v="Credit Card"/>
    <s v="In-store"/>
    <n v="1"/>
    <n v="0"/>
  </r>
  <r>
    <s v="TXN_000716"/>
    <s v="WALK_043"/>
    <x v="33"/>
    <x v="5"/>
    <x v="0"/>
    <s v="19:00–19:30"/>
    <s v="AlaCarte"/>
    <n v="3"/>
    <n v="76.239999999999995"/>
    <s v="Credit Card"/>
    <s v="In-store"/>
    <n v="1"/>
    <n v="0"/>
  </r>
  <r>
    <s v="TXN_000717"/>
    <s v="CORP_041"/>
    <x v="33"/>
    <x v="5"/>
    <x v="0"/>
    <s v="19:00–19:30"/>
    <s v="AlaCarte"/>
    <n v="5"/>
    <n v="127.8"/>
    <s v="Credit Card"/>
    <s v="In-store"/>
    <n v="1"/>
    <n v="0"/>
  </r>
  <r>
    <s v="TXN_000718"/>
    <s v="CORP_036"/>
    <x v="33"/>
    <x v="5"/>
    <x v="0"/>
    <s v="20:00–20:30"/>
    <s v="AlaCarte"/>
    <n v="2"/>
    <n v="80.3"/>
    <s v="Cash"/>
    <s v="In-store"/>
    <n v="1"/>
    <n v="0"/>
  </r>
  <r>
    <s v="TXN_000719"/>
    <s v="WALK_072"/>
    <x v="33"/>
    <x v="5"/>
    <x v="1"/>
    <s v="12:45–13:15"/>
    <s v="AlaCarte"/>
    <n v="4"/>
    <n v="64.319999999999993"/>
    <s v="Cash"/>
    <s v="In-store"/>
    <n v="1"/>
    <n v="0"/>
  </r>
  <r>
    <s v="TXN_000720"/>
    <s v="CORP_075"/>
    <x v="33"/>
    <x v="5"/>
    <x v="1"/>
    <s v="12:45–13:15"/>
    <s v="AlaCarte"/>
    <n v="2"/>
    <n v="37.799999999999997"/>
    <s v="Credit Card"/>
    <s v="In-store"/>
    <n v="1"/>
    <n v="0"/>
  </r>
  <r>
    <s v="TXN_000721"/>
    <s v="WALK_087"/>
    <x v="33"/>
    <x v="5"/>
    <x v="1"/>
    <s v="13:15–13:45"/>
    <s v="AlaCarte"/>
    <n v="1"/>
    <n v="18.04"/>
    <s v="Credit Card"/>
    <s v="Takeaway"/>
    <n v="1"/>
    <n v="0"/>
  </r>
  <r>
    <s v="TXN_000722"/>
    <s v="CORP_043"/>
    <x v="34"/>
    <x v="6"/>
    <x v="0"/>
    <s v="18:00–18:30"/>
    <s v="AlaCarte"/>
    <n v="2"/>
    <n v="88.23"/>
    <s v="Digital Wallet"/>
    <s v="In-store"/>
    <n v="2"/>
    <n v="0"/>
  </r>
  <r>
    <s v="TXN_000723"/>
    <s v="WALK_091"/>
    <x v="34"/>
    <x v="6"/>
    <x v="0"/>
    <s v="18:00–18:30"/>
    <s v="AlaCarte"/>
    <n v="4"/>
    <n v="104.3"/>
    <s v="Credit Card"/>
    <s v="In-store"/>
    <n v="2"/>
    <n v="0"/>
  </r>
  <r>
    <s v="TXN_000724"/>
    <s v="HOTEL_025"/>
    <x v="34"/>
    <x v="6"/>
    <x v="0"/>
    <s v="18:00–18:30"/>
    <s v="AlaCarte"/>
    <n v="4"/>
    <n v="88.35"/>
    <s v="Credit Card"/>
    <s v="Takeaway"/>
    <n v="2"/>
    <n v="0"/>
  </r>
  <r>
    <s v="TXN_000725"/>
    <s v="WALK_076"/>
    <x v="34"/>
    <x v="6"/>
    <x v="0"/>
    <s v="18:30–19:00"/>
    <s v="AlaCarte"/>
    <n v="3"/>
    <n v="91.44"/>
    <s v="Credit Card"/>
    <s v="In-store"/>
    <n v="2"/>
    <n v="0"/>
  </r>
  <r>
    <s v="TXN_000726"/>
    <s v="HOTEL_031"/>
    <x v="34"/>
    <x v="6"/>
    <x v="0"/>
    <s v="18:30–19:00"/>
    <s v="AlaCarte"/>
    <n v="5"/>
    <n v="95.88"/>
    <s v="Digital Wallet"/>
    <s v="In-store"/>
    <n v="2"/>
    <n v="0"/>
  </r>
  <r>
    <s v="TXN_000727"/>
    <s v="HOTEL_028"/>
    <x v="34"/>
    <x v="6"/>
    <x v="0"/>
    <s v="18:30–19:00"/>
    <s v="AlaCarte"/>
    <n v="4"/>
    <n v="148.56"/>
    <s v="Credit Card"/>
    <s v="In-store"/>
    <n v="2"/>
    <n v="0"/>
  </r>
  <r>
    <s v="TXN_000728"/>
    <s v="WALK_056"/>
    <x v="34"/>
    <x v="6"/>
    <x v="0"/>
    <s v="19:00–19:30"/>
    <s v="AlaCarte"/>
    <n v="3"/>
    <n v="92.69"/>
    <s v="Credit Card"/>
    <s v="In-store"/>
    <n v="2"/>
    <n v="0"/>
  </r>
  <r>
    <s v="TXN_000729"/>
    <s v="CORP_002"/>
    <x v="34"/>
    <x v="6"/>
    <x v="0"/>
    <s v="19:00–19:30"/>
    <s v="AlaCarte"/>
    <n v="4"/>
    <n v="123.67"/>
    <s v="Credit Card"/>
    <s v="In-store"/>
    <n v="2"/>
    <n v="0"/>
  </r>
  <r>
    <s v="TXN_000730"/>
    <s v="WALK_027"/>
    <x v="34"/>
    <x v="6"/>
    <x v="0"/>
    <s v="19:00–19:30"/>
    <s v="AlaCarte"/>
    <n v="3"/>
    <n v="97.76"/>
    <s v="Credit Card"/>
    <s v="In-store"/>
    <n v="2"/>
    <n v="0"/>
  </r>
  <r>
    <s v="TXN_000731"/>
    <s v="WALK_110"/>
    <x v="34"/>
    <x v="6"/>
    <x v="0"/>
    <s v="19:00–19:30"/>
    <s v="AlaCarte"/>
    <n v="5"/>
    <n v="212.37"/>
    <s v="Cash"/>
    <s v="In-store"/>
    <n v="2"/>
    <n v="0"/>
  </r>
  <r>
    <s v="TXN_000732"/>
    <s v="WALK_055"/>
    <x v="34"/>
    <x v="6"/>
    <x v="0"/>
    <s v="19:00–19:30"/>
    <s v="AlaCarte"/>
    <n v="2"/>
    <n v="35.03"/>
    <s v="Cash"/>
    <s v="In-store"/>
    <n v="2"/>
    <n v="0"/>
  </r>
  <r>
    <s v="TXN_000733"/>
    <s v="WALK_045"/>
    <x v="34"/>
    <x v="6"/>
    <x v="0"/>
    <s v="19:00–19:30"/>
    <s v="AlaCarte"/>
    <n v="3"/>
    <n v="111.9"/>
    <s v="Digital Wallet"/>
    <s v="In-store"/>
    <n v="2"/>
    <n v="0"/>
  </r>
  <r>
    <s v="TXN_000734"/>
    <s v="WALK_066"/>
    <x v="34"/>
    <x v="6"/>
    <x v="0"/>
    <s v="19:00–19:30"/>
    <s v="AlaCarte"/>
    <n v="4"/>
    <n v="63.54"/>
    <s v="Cash"/>
    <s v="In-store"/>
    <n v="2"/>
    <n v="0"/>
  </r>
  <r>
    <s v="TXN_000735"/>
    <s v="HOTEL_015"/>
    <x v="34"/>
    <x v="6"/>
    <x v="0"/>
    <s v="19:30–20:00"/>
    <s v="AlaCarte"/>
    <n v="2"/>
    <n v="53.41"/>
    <s v="Credit Card"/>
    <s v="Takeaway"/>
    <n v="2"/>
    <n v="0"/>
  </r>
  <r>
    <s v="TXN_000736"/>
    <s v="WALK_001"/>
    <x v="34"/>
    <x v="6"/>
    <x v="0"/>
    <s v="19:30–20:00"/>
    <s v="AlaCarte"/>
    <n v="6"/>
    <n v="201.69"/>
    <s v="Credit Card"/>
    <s v="In-store"/>
    <n v="2"/>
    <n v="0"/>
  </r>
  <r>
    <s v="TXN_000737"/>
    <s v="WALK_013"/>
    <x v="34"/>
    <x v="6"/>
    <x v="0"/>
    <s v="19:30–20:00"/>
    <s v="AlaCarte"/>
    <n v="1"/>
    <n v="39.130000000000003"/>
    <s v="Digital Wallet"/>
    <s v="In-store"/>
    <n v="2"/>
    <n v="0"/>
  </r>
  <r>
    <s v="TXN_000738"/>
    <s v="WALK_038"/>
    <x v="34"/>
    <x v="6"/>
    <x v="0"/>
    <s v="20:00–20:30"/>
    <s v="AlaCarte"/>
    <n v="6"/>
    <n v="153.84"/>
    <s v="Cash"/>
    <s v="In-store"/>
    <n v="2"/>
    <n v="0"/>
  </r>
  <r>
    <s v="TXN_000739"/>
    <s v="WALK_107"/>
    <x v="34"/>
    <x v="6"/>
    <x v="1"/>
    <s v="12:15–12:45"/>
    <s v="AlaCarte"/>
    <n v="2"/>
    <n v="37.32"/>
    <s v="Credit Card"/>
    <s v="In-store"/>
    <n v="2"/>
    <n v="0"/>
  </r>
  <r>
    <s v="TXN_000740"/>
    <s v="CORP_002"/>
    <x v="34"/>
    <x v="6"/>
    <x v="1"/>
    <s v="13:15–13:45"/>
    <s v="AlaCarte"/>
    <n v="3"/>
    <n v="52.93"/>
    <s v="Digital Wallet"/>
    <s v="In-store"/>
    <n v="2"/>
    <n v="0"/>
  </r>
  <r>
    <s v="TXN_000741"/>
    <s v="CORP_060"/>
    <x v="34"/>
    <x v="6"/>
    <x v="1"/>
    <s v="13:15–13:45"/>
    <s v="AlaCarte"/>
    <n v="4"/>
    <n v="61.08"/>
    <s v="Credit Card"/>
    <s v="Takeaway"/>
    <n v="2"/>
    <n v="0"/>
  </r>
  <r>
    <s v="TXN_000742"/>
    <s v="CORP_032"/>
    <x v="35"/>
    <x v="0"/>
    <x v="0"/>
    <s v="18:00–18:30"/>
    <s v="AlaCarte"/>
    <n v="3"/>
    <n v="83.73"/>
    <s v="Cash"/>
    <s v="In-store"/>
    <n v="3"/>
    <n v="0"/>
  </r>
  <r>
    <s v="TXN_000743"/>
    <s v="WALK_073"/>
    <x v="35"/>
    <x v="0"/>
    <x v="0"/>
    <s v="18:00–18:30"/>
    <s v="AlaCarte"/>
    <n v="3"/>
    <n v="106.4"/>
    <s v="Cash"/>
    <s v="Takeaway"/>
    <n v="3"/>
    <n v="0"/>
  </r>
  <r>
    <s v="TXN_000744"/>
    <s v="WALK_011"/>
    <x v="35"/>
    <x v="0"/>
    <x v="0"/>
    <s v="18:00–18:30"/>
    <s v="AlaCarte"/>
    <n v="1"/>
    <n v="24.73"/>
    <s v="Credit Card"/>
    <s v="In-store"/>
    <n v="3"/>
    <n v="0"/>
  </r>
  <r>
    <s v="TXN_000745"/>
    <s v="WALK_076"/>
    <x v="35"/>
    <x v="0"/>
    <x v="0"/>
    <s v="18:30–19:00"/>
    <s v="AlaCarte"/>
    <n v="3"/>
    <n v="125.19"/>
    <s v="Cash"/>
    <s v="In-store"/>
    <n v="3"/>
    <n v="0"/>
  </r>
  <r>
    <s v="TXN_000746"/>
    <s v="WALK_065"/>
    <x v="35"/>
    <x v="0"/>
    <x v="0"/>
    <s v="18:30–19:00"/>
    <s v="AlaCarte"/>
    <n v="2"/>
    <n v="48.41"/>
    <s v="Credit Card"/>
    <s v="In-store"/>
    <n v="3"/>
    <n v="0"/>
  </r>
  <r>
    <s v="TXN_000747"/>
    <s v="WALK_115"/>
    <x v="35"/>
    <x v="0"/>
    <x v="0"/>
    <s v="19:00–19:30"/>
    <s v="AlaCarte"/>
    <n v="3"/>
    <n v="90.98"/>
    <s v="Cash"/>
    <s v="In-store"/>
    <n v="3"/>
    <n v="0"/>
  </r>
  <r>
    <s v="TXN_000748"/>
    <s v="WALK_025"/>
    <x v="35"/>
    <x v="0"/>
    <x v="0"/>
    <s v="19:00–19:30"/>
    <s v="AlaCarte"/>
    <n v="4"/>
    <n v="63.47"/>
    <s v="Digital Wallet"/>
    <s v="Takeaway"/>
    <n v="3"/>
    <n v="0"/>
  </r>
  <r>
    <s v="TXN_000749"/>
    <s v="WALK_082"/>
    <x v="35"/>
    <x v="0"/>
    <x v="0"/>
    <s v="19:30–20:00"/>
    <s v="AlaCarte"/>
    <n v="2"/>
    <n v="33.79"/>
    <s v="Credit Card"/>
    <s v="Takeaway"/>
    <n v="3"/>
    <n v="0"/>
  </r>
  <r>
    <s v="TXN_000750"/>
    <s v="WALK_086"/>
    <x v="35"/>
    <x v="0"/>
    <x v="0"/>
    <s v="19:30–20:00"/>
    <s v="AlaCarte"/>
    <n v="5"/>
    <n v="243.34"/>
    <s v="Digital Wallet"/>
    <s v="Takeaway"/>
    <n v="3"/>
    <n v="0"/>
  </r>
  <r>
    <s v="TXN_000751"/>
    <s v="WALK_035"/>
    <x v="35"/>
    <x v="0"/>
    <x v="0"/>
    <s v="19:30–20:00"/>
    <s v="AlaCarte"/>
    <n v="2"/>
    <n v="46.91"/>
    <s v="Cash"/>
    <s v="In-store"/>
    <n v="3"/>
    <n v="0"/>
  </r>
  <r>
    <s v="TXN_000752"/>
    <s v="WALK_092"/>
    <x v="35"/>
    <x v="0"/>
    <x v="0"/>
    <s v="20:00–20:30"/>
    <s v="AlaCarte"/>
    <n v="5"/>
    <n v="63.1"/>
    <s v="Digital Wallet"/>
    <s v="In-store"/>
    <n v="3"/>
    <n v="0"/>
  </r>
  <r>
    <s v="TXN_000753"/>
    <s v="HOTEL_037"/>
    <x v="35"/>
    <x v="0"/>
    <x v="0"/>
    <s v="20:00–20:30"/>
    <s v="AlaCarte"/>
    <n v="4"/>
    <n v="151.99"/>
    <s v="Credit Card"/>
    <s v="Takeaway"/>
    <n v="3"/>
    <n v="0"/>
  </r>
  <r>
    <s v="TXN_000754"/>
    <s v="WALK_109"/>
    <x v="35"/>
    <x v="0"/>
    <x v="0"/>
    <s v="20:00–20:30"/>
    <s v="AlaCarte"/>
    <n v="3"/>
    <n v="102.42"/>
    <s v="Cash"/>
    <s v="In-store"/>
    <n v="3"/>
    <n v="0"/>
  </r>
  <r>
    <s v="TXN_000755"/>
    <s v="WALK_092"/>
    <x v="35"/>
    <x v="0"/>
    <x v="1"/>
    <s v="12:15–12:45"/>
    <s v="Buffet"/>
    <n v="4"/>
    <n v="93.5"/>
    <s v="Credit Card"/>
    <s v="Takeaway"/>
    <n v="3"/>
    <n v="1"/>
  </r>
  <r>
    <s v="TXN_000756"/>
    <s v="CORP_038"/>
    <x v="35"/>
    <x v="0"/>
    <x v="1"/>
    <s v="12:15–12:45"/>
    <s v="Buffet"/>
    <n v="2"/>
    <n v="44.5"/>
    <s v="Credit Card"/>
    <s v="In-store"/>
    <n v="3"/>
    <n v="1"/>
  </r>
  <r>
    <s v="TXN_000757"/>
    <s v="CORP_080"/>
    <x v="35"/>
    <x v="0"/>
    <x v="1"/>
    <s v="12:15–12:45"/>
    <s v="Buffet"/>
    <n v="3"/>
    <n v="69"/>
    <s v="Credit Card"/>
    <s v="In-store"/>
    <n v="3"/>
    <n v="1"/>
  </r>
  <r>
    <s v="TXN_000758"/>
    <s v="CORP_001"/>
    <x v="35"/>
    <x v="0"/>
    <x v="1"/>
    <s v="12:45–13:15"/>
    <s v="AlaCarte"/>
    <n v="2"/>
    <n v="35.06"/>
    <s v="Credit Card"/>
    <s v="In-store"/>
    <n v="3"/>
    <n v="0"/>
  </r>
  <r>
    <s v="TXN_000759"/>
    <s v="CORP_076"/>
    <x v="35"/>
    <x v="0"/>
    <x v="1"/>
    <s v="12:45–13:15"/>
    <s v="Buffet"/>
    <n v="2"/>
    <n v="44.5"/>
    <s v="Cash"/>
    <s v="Takeaway"/>
    <n v="3"/>
    <n v="1"/>
  </r>
  <r>
    <s v="TXN_000760"/>
    <s v="CORP_012"/>
    <x v="35"/>
    <x v="0"/>
    <x v="1"/>
    <s v="13:15–13:45"/>
    <s v="Buffet"/>
    <n v="1"/>
    <n v="24.5"/>
    <s v="Digital Wallet"/>
    <s v="In-store"/>
    <n v="3"/>
    <n v="1"/>
  </r>
  <r>
    <s v="TXN_000761"/>
    <s v="CORP_048"/>
    <x v="35"/>
    <x v="0"/>
    <x v="1"/>
    <s v="13:45–14:15"/>
    <s v="AlaCarte"/>
    <n v="4"/>
    <n v="68.56"/>
    <s v="Credit Card"/>
    <s v="In-store"/>
    <n v="3"/>
    <n v="0"/>
  </r>
  <r>
    <s v="TXN_000762"/>
    <s v="CORP_049"/>
    <x v="35"/>
    <x v="0"/>
    <x v="1"/>
    <s v="13:45–14:15"/>
    <s v="Buffet"/>
    <n v="3"/>
    <n v="60"/>
    <s v="Credit Card"/>
    <s v="In-store"/>
    <n v="3"/>
    <n v="1"/>
  </r>
  <r>
    <s v="TXN_000763"/>
    <s v="WALK_059"/>
    <x v="36"/>
    <x v="1"/>
    <x v="0"/>
    <s v="18:00–18:30"/>
    <s v="AlaCarte"/>
    <n v="2"/>
    <n v="29.96"/>
    <s v="Digital Wallet"/>
    <s v="In-store"/>
    <n v="4"/>
    <n v="0"/>
  </r>
  <r>
    <s v="TXN_000764"/>
    <s v="CORP_033"/>
    <x v="36"/>
    <x v="1"/>
    <x v="0"/>
    <s v="18:00–18:30"/>
    <s v="AlaCarte"/>
    <n v="3"/>
    <n v="101.04"/>
    <s v="Digital Wallet"/>
    <s v="In-store"/>
    <n v="4"/>
    <n v="0"/>
  </r>
  <r>
    <s v="TXN_000765"/>
    <s v="WALK_045"/>
    <x v="36"/>
    <x v="1"/>
    <x v="0"/>
    <s v="18:00–18:30"/>
    <s v="AlaCarte"/>
    <n v="6"/>
    <n v="281.19"/>
    <s v="Digital Wallet"/>
    <s v="In-store"/>
    <n v="4"/>
    <n v="0"/>
  </r>
  <r>
    <s v="TXN_000766"/>
    <s v="HOTEL_015"/>
    <x v="36"/>
    <x v="1"/>
    <x v="0"/>
    <s v="18:30–19:00"/>
    <s v="AlaCarte"/>
    <n v="4"/>
    <n v="79.69"/>
    <s v="Credit Card"/>
    <s v="In-store"/>
    <n v="4"/>
    <n v="0"/>
  </r>
  <r>
    <s v="TXN_000767"/>
    <s v="WALK_071"/>
    <x v="36"/>
    <x v="1"/>
    <x v="0"/>
    <s v="18:30–19:00"/>
    <s v="AlaCarte"/>
    <n v="3"/>
    <n v="118.55"/>
    <s v="Credit Card"/>
    <s v="In-store"/>
    <n v="4"/>
    <n v="0"/>
  </r>
  <r>
    <s v="TXN_000768"/>
    <s v="HOTEL_026"/>
    <x v="36"/>
    <x v="1"/>
    <x v="0"/>
    <s v="18:30–19:00"/>
    <s v="AlaCarte"/>
    <n v="3"/>
    <n v="119.04"/>
    <s v="Credit Card"/>
    <s v="In-store"/>
    <n v="4"/>
    <n v="0"/>
  </r>
  <r>
    <s v="TXN_000769"/>
    <s v="WALK_102"/>
    <x v="36"/>
    <x v="1"/>
    <x v="0"/>
    <s v="18:30–19:00"/>
    <s v="AlaCarte"/>
    <n v="1"/>
    <n v="37.86"/>
    <s v="Cash"/>
    <s v="In-store"/>
    <n v="4"/>
    <n v="0"/>
  </r>
  <r>
    <s v="TXN_000770"/>
    <s v="WALK_014"/>
    <x v="36"/>
    <x v="1"/>
    <x v="0"/>
    <s v="18:30–19:00"/>
    <s v="AlaCarte"/>
    <n v="5"/>
    <n v="136.71"/>
    <s v="Digital Wallet"/>
    <s v="In-store"/>
    <n v="4"/>
    <n v="0"/>
  </r>
  <r>
    <s v="TXN_000771"/>
    <s v="WALK_021"/>
    <x v="36"/>
    <x v="1"/>
    <x v="0"/>
    <s v="19:00–19:30"/>
    <s v="AlaCarte"/>
    <n v="3"/>
    <n v="83.09"/>
    <s v="Digital Wallet"/>
    <s v="Takeaway"/>
    <n v="4"/>
    <n v="0"/>
  </r>
  <r>
    <s v="TXN_000772"/>
    <s v="WALK_014"/>
    <x v="36"/>
    <x v="1"/>
    <x v="0"/>
    <s v="19:00–19:30"/>
    <s v="AlaCarte"/>
    <n v="7"/>
    <n v="388.41"/>
    <s v="Credit Card"/>
    <s v="In-store"/>
    <n v="4"/>
    <n v="0"/>
  </r>
  <r>
    <s v="TXN_000773"/>
    <s v="WALK_013"/>
    <x v="36"/>
    <x v="1"/>
    <x v="0"/>
    <s v="19:30–20:00"/>
    <s v="AlaCarte"/>
    <n v="4"/>
    <n v="132.85"/>
    <s v="Credit Card"/>
    <s v="In-store"/>
    <n v="4"/>
    <n v="0"/>
  </r>
  <r>
    <s v="TXN_000774"/>
    <s v="WALK_006"/>
    <x v="36"/>
    <x v="1"/>
    <x v="0"/>
    <s v="19:30–20:00"/>
    <s v="AlaCarte"/>
    <n v="2"/>
    <n v="53.25"/>
    <s v="Cash"/>
    <s v="In-store"/>
    <n v="4"/>
    <n v="0"/>
  </r>
  <r>
    <s v="TXN_000775"/>
    <s v="CORP_003"/>
    <x v="36"/>
    <x v="1"/>
    <x v="1"/>
    <s v="12:15–12:45"/>
    <s v="AlaCarte"/>
    <n v="7"/>
    <n v="206.9"/>
    <s v="Credit Card"/>
    <s v="In-store"/>
    <n v="4"/>
    <n v="0"/>
  </r>
  <r>
    <s v="TXN_000776"/>
    <s v="CORP_002"/>
    <x v="36"/>
    <x v="1"/>
    <x v="1"/>
    <s v="12:15–12:45"/>
    <s v="AlaCarte"/>
    <n v="5"/>
    <n v="81.89"/>
    <s v="Cash"/>
    <s v="In-store"/>
    <n v="4"/>
    <n v="0"/>
  </r>
  <r>
    <s v="TXN_000777"/>
    <s v="CORP_028"/>
    <x v="36"/>
    <x v="1"/>
    <x v="1"/>
    <s v="12:15–12:45"/>
    <s v="AlaCarte"/>
    <n v="2"/>
    <n v="27.66"/>
    <s v="Digital Wallet"/>
    <s v="Takeaway"/>
    <n v="4"/>
    <n v="0"/>
  </r>
  <r>
    <s v="TXN_000778"/>
    <s v="WALK_045"/>
    <x v="36"/>
    <x v="1"/>
    <x v="1"/>
    <s v="12:15–12:45"/>
    <s v="Buffet"/>
    <n v="4"/>
    <n v="84.5"/>
    <s v="Digital Wallet"/>
    <s v="In-store"/>
    <n v="4"/>
    <n v="1"/>
  </r>
  <r>
    <s v="TXN_000779"/>
    <s v="WALK_107"/>
    <x v="36"/>
    <x v="1"/>
    <x v="1"/>
    <s v="12:15–12:45"/>
    <s v="Buffet"/>
    <n v="1"/>
    <n v="24.5"/>
    <s v="Digital Wallet"/>
    <s v="In-store"/>
    <n v="4"/>
    <n v="1"/>
  </r>
  <r>
    <s v="TXN_000780"/>
    <s v="CORP_061"/>
    <x v="36"/>
    <x v="1"/>
    <x v="1"/>
    <s v="12:15–12:45"/>
    <s v="Buffet"/>
    <n v="1"/>
    <n v="20"/>
    <s v="Cash"/>
    <s v="Takeaway"/>
    <n v="4"/>
    <n v="1"/>
  </r>
  <r>
    <s v="TXN_000781"/>
    <s v="CORP_040"/>
    <x v="36"/>
    <x v="1"/>
    <x v="1"/>
    <s v="12:15–12:45"/>
    <s v="Buffet"/>
    <n v="3"/>
    <n v="64.5"/>
    <s v="Cash"/>
    <s v="In-store"/>
    <n v="4"/>
    <n v="1"/>
  </r>
  <r>
    <s v="TXN_000782"/>
    <s v="CORP_023"/>
    <x v="36"/>
    <x v="1"/>
    <x v="1"/>
    <s v="12:15–12:45"/>
    <s v="Buffet"/>
    <n v="5"/>
    <n v="104.5"/>
    <s v="Credit Card"/>
    <s v="In-store"/>
    <n v="4"/>
    <n v="1"/>
  </r>
  <r>
    <s v="TXN_000783"/>
    <s v="WALK_105"/>
    <x v="36"/>
    <x v="1"/>
    <x v="1"/>
    <s v="12:45–13:15"/>
    <s v="AlaCarte"/>
    <n v="4"/>
    <n v="90.35"/>
    <s v="Credit Card"/>
    <s v="Takeaway"/>
    <n v="4"/>
    <n v="0"/>
  </r>
  <r>
    <s v="TXN_000784"/>
    <s v="CORP_005"/>
    <x v="36"/>
    <x v="1"/>
    <x v="1"/>
    <s v="12:45–13:15"/>
    <s v="Buffet"/>
    <n v="4"/>
    <n v="89"/>
    <s v="Credit Card"/>
    <s v="Takeaway"/>
    <n v="4"/>
    <n v="1"/>
  </r>
  <r>
    <s v="TXN_000785"/>
    <s v="CORP_025"/>
    <x v="36"/>
    <x v="1"/>
    <x v="1"/>
    <s v="12:45–13:15"/>
    <s v="AlaCarte"/>
    <n v="5"/>
    <n v="83.58"/>
    <s v="Cash"/>
    <s v="In-store"/>
    <n v="4"/>
    <n v="0"/>
  </r>
  <r>
    <s v="TXN_000786"/>
    <s v="CORP_057"/>
    <x v="36"/>
    <x v="1"/>
    <x v="1"/>
    <s v="13:15–13:45"/>
    <s v="AlaCarte"/>
    <n v="4"/>
    <n v="73.48"/>
    <s v="Credit Card"/>
    <s v="In-store"/>
    <n v="4"/>
    <n v="0"/>
  </r>
  <r>
    <s v="TXN_000787"/>
    <s v="CORP_043"/>
    <x v="36"/>
    <x v="1"/>
    <x v="1"/>
    <s v="13:15–13:45"/>
    <s v="AlaCarte"/>
    <n v="2"/>
    <n v="42.67"/>
    <s v="Cash"/>
    <s v="In-store"/>
    <n v="4"/>
    <n v="0"/>
  </r>
  <r>
    <s v="TXN_000788"/>
    <s v="CORP_013"/>
    <x v="36"/>
    <x v="1"/>
    <x v="1"/>
    <s v="13:15–13:45"/>
    <s v="AlaCarte"/>
    <n v="4"/>
    <n v="72.819999999999993"/>
    <s v="Cash"/>
    <s v="Takeaway"/>
    <n v="4"/>
    <n v="0"/>
  </r>
  <r>
    <s v="TXN_000789"/>
    <s v="WALK_039"/>
    <x v="36"/>
    <x v="1"/>
    <x v="1"/>
    <s v="13:15–13:45"/>
    <s v="Buffet"/>
    <n v="3"/>
    <n v="60"/>
    <s v="Credit Card"/>
    <s v="In-store"/>
    <n v="4"/>
    <n v="1"/>
  </r>
  <r>
    <s v="TXN_000790"/>
    <s v="CORP_074"/>
    <x v="36"/>
    <x v="1"/>
    <x v="1"/>
    <s v="13:45–14:15"/>
    <s v="Buffet"/>
    <n v="4"/>
    <n v="93.5"/>
    <s v="Cash"/>
    <s v="In-store"/>
    <n v="4"/>
    <n v="1"/>
  </r>
  <r>
    <s v="TXN_000791"/>
    <s v="WALK_102"/>
    <x v="37"/>
    <x v="2"/>
    <x v="0"/>
    <s v="18:30–19:00"/>
    <s v="AlaCarte"/>
    <n v="3"/>
    <n v="77.95"/>
    <s v="Credit Card"/>
    <s v="In-store"/>
    <n v="5"/>
    <n v="0"/>
  </r>
  <r>
    <s v="TXN_000792"/>
    <s v="WALK_019"/>
    <x v="37"/>
    <x v="2"/>
    <x v="0"/>
    <s v="19:00–19:30"/>
    <s v="AlaCarte"/>
    <n v="4"/>
    <n v="195.96"/>
    <s v="Credit Card"/>
    <s v="In-store"/>
    <n v="5"/>
    <n v="0"/>
  </r>
  <r>
    <s v="TXN_000793"/>
    <s v="WALK_025"/>
    <x v="37"/>
    <x v="2"/>
    <x v="0"/>
    <s v="19:30–20:00"/>
    <s v="AlaCarte"/>
    <n v="2"/>
    <n v="71.03"/>
    <s v="Credit Card"/>
    <s v="In-store"/>
    <n v="5"/>
    <n v="0"/>
  </r>
  <r>
    <s v="TXN_000794"/>
    <s v="WALK_112"/>
    <x v="37"/>
    <x v="2"/>
    <x v="0"/>
    <s v="19:30–20:00"/>
    <s v="AlaCarte"/>
    <n v="3"/>
    <n v="74.05"/>
    <s v="Cash"/>
    <s v="In-store"/>
    <n v="5"/>
    <n v="0"/>
  </r>
  <r>
    <s v="TXN_000795"/>
    <s v="WALK_037"/>
    <x v="37"/>
    <x v="2"/>
    <x v="0"/>
    <s v="19:30–20:00"/>
    <s v="AlaCarte"/>
    <n v="2"/>
    <n v="77.180000000000007"/>
    <s v="Cash"/>
    <s v="In-store"/>
    <n v="5"/>
    <n v="0"/>
  </r>
  <r>
    <s v="TXN_000796"/>
    <s v="WALK_042"/>
    <x v="37"/>
    <x v="2"/>
    <x v="0"/>
    <s v="20:00–20:30"/>
    <s v="AlaCarte"/>
    <n v="3"/>
    <n v="157.68"/>
    <s v="Credit Card"/>
    <s v="In-store"/>
    <n v="5"/>
    <n v="0"/>
  </r>
  <r>
    <s v="TXN_000797"/>
    <s v="WALK_113"/>
    <x v="37"/>
    <x v="2"/>
    <x v="1"/>
    <s v="12:15–12:45"/>
    <s v="Buffet"/>
    <n v="1"/>
    <n v="24.5"/>
    <s v="Digital Wallet"/>
    <s v="In-store"/>
    <n v="5"/>
    <n v="1"/>
  </r>
  <r>
    <s v="TXN_000798"/>
    <s v="CORP_066"/>
    <x v="37"/>
    <x v="2"/>
    <x v="1"/>
    <s v="12:45–13:15"/>
    <s v="Buffet"/>
    <n v="1"/>
    <n v="24.5"/>
    <s v="Credit Card"/>
    <s v="In-store"/>
    <n v="5"/>
    <n v="1"/>
  </r>
  <r>
    <s v="TXN_000799"/>
    <s v="WALK_100"/>
    <x v="37"/>
    <x v="2"/>
    <x v="1"/>
    <s v="12:45–13:15"/>
    <s v="AlaCarte"/>
    <n v="4"/>
    <n v="64.959999999999994"/>
    <s v="Credit Card"/>
    <s v="In-store"/>
    <n v="5"/>
    <n v="0"/>
  </r>
  <r>
    <s v="TXN_000800"/>
    <s v="WALK_119"/>
    <x v="37"/>
    <x v="2"/>
    <x v="1"/>
    <s v="12:45–13:15"/>
    <s v="AlaCarte"/>
    <n v="2"/>
    <n v="22.44"/>
    <s v="Cash"/>
    <s v="In-store"/>
    <n v="5"/>
    <n v="0"/>
  </r>
  <r>
    <s v="TXN_000801"/>
    <s v="WALK_093"/>
    <x v="37"/>
    <x v="2"/>
    <x v="1"/>
    <s v="13:15–13:45"/>
    <s v="AlaCarte"/>
    <n v="2"/>
    <n v="37.21"/>
    <s v="Credit Card"/>
    <s v="Takeaway"/>
    <n v="5"/>
    <n v="0"/>
  </r>
  <r>
    <s v="TXN_000802"/>
    <s v="CORP_033"/>
    <x v="37"/>
    <x v="2"/>
    <x v="1"/>
    <s v="13:15–13:45"/>
    <s v="Buffet"/>
    <n v="1"/>
    <n v="20"/>
    <s v="Credit Card"/>
    <s v="Takeaway"/>
    <n v="5"/>
    <n v="1"/>
  </r>
  <r>
    <s v="TXN_000803"/>
    <s v="CORP_013"/>
    <x v="37"/>
    <x v="2"/>
    <x v="1"/>
    <s v="13:15–13:45"/>
    <s v="AlaCarte"/>
    <n v="3"/>
    <n v="79.400000000000006"/>
    <s v="Credit Card"/>
    <s v="In-store"/>
    <n v="5"/>
    <n v="0"/>
  </r>
  <r>
    <s v="TXN_000804"/>
    <s v="CORP_072"/>
    <x v="37"/>
    <x v="2"/>
    <x v="1"/>
    <s v="13:45–14:15"/>
    <s v="AlaCarte"/>
    <n v="3"/>
    <n v="39.47"/>
    <s v="Digital Wallet"/>
    <s v="In-store"/>
    <n v="5"/>
    <n v="0"/>
  </r>
  <r>
    <s v="TXN_000805"/>
    <s v="CORP_073"/>
    <x v="37"/>
    <x v="2"/>
    <x v="1"/>
    <s v="13:45–14:15"/>
    <s v="Buffet"/>
    <n v="4"/>
    <n v="89"/>
    <s v="Credit Card"/>
    <s v="In-store"/>
    <n v="5"/>
    <n v="1"/>
  </r>
  <r>
    <s v="TXN_000806"/>
    <s v="CORP_060"/>
    <x v="37"/>
    <x v="2"/>
    <x v="1"/>
    <s v="13:45–14:15"/>
    <s v="Buffet"/>
    <n v="3"/>
    <n v="64.5"/>
    <s v="Credit Card"/>
    <s v="In-store"/>
    <n v="5"/>
    <n v="1"/>
  </r>
  <r>
    <s v="TXN_000807"/>
    <s v="WALK_023"/>
    <x v="37"/>
    <x v="2"/>
    <x v="1"/>
    <s v="13:45–14:15"/>
    <s v="Buffet"/>
    <n v="4"/>
    <n v="89"/>
    <s v="Digital Wallet"/>
    <s v="Takeaway"/>
    <n v="5"/>
    <n v="1"/>
  </r>
  <r>
    <s v="TXN_000808"/>
    <s v="WALK_016"/>
    <x v="38"/>
    <x v="3"/>
    <x v="0"/>
    <s v="18:00–18:30"/>
    <s v="AlaCarte"/>
    <n v="2"/>
    <n v="38.17"/>
    <s v="Digital Wallet"/>
    <s v="Takeaway"/>
    <n v="6"/>
    <n v="0"/>
  </r>
  <r>
    <s v="TXN_000809"/>
    <s v="HOTEL_009"/>
    <x v="38"/>
    <x v="3"/>
    <x v="0"/>
    <s v="18:00–18:30"/>
    <s v="AlaCarte"/>
    <n v="5"/>
    <n v="115.5"/>
    <s v="Cash"/>
    <s v="Takeaway"/>
    <n v="6"/>
    <n v="0"/>
  </r>
  <r>
    <s v="TXN_000810"/>
    <s v="WALK_040"/>
    <x v="38"/>
    <x v="3"/>
    <x v="0"/>
    <s v="18:30–19:00"/>
    <s v="AlaCarte"/>
    <n v="4"/>
    <n v="79.260000000000005"/>
    <s v="Credit Card"/>
    <s v="In-store"/>
    <n v="6"/>
    <n v="0"/>
  </r>
  <r>
    <s v="TXN_000811"/>
    <s v="HOTEL_021"/>
    <x v="38"/>
    <x v="3"/>
    <x v="0"/>
    <s v="18:30–19:00"/>
    <s v="AlaCarte"/>
    <n v="2"/>
    <n v="70.22"/>
    <s v="Cash"/>
    <s v="In-store"/>
    <n v="6"/>
    <n v="0"/>
  </r>
  <r>
    <s v="TXN_000812"/>
    <s v="WALK_102"/>
    <x v="38"/>
    <x v="3"/>
    <x v="0"/>
    <s v="18:30–19:00"/>
    <s v="AlaCarte"/>
    <n v="3"/>
    <n v="57.47"/>
    <s v="Digital Wallet"/>
    <s v="In-store"/>
    <n v="6"/>
    <n v="0"/>
  </r>
  <r>
    <s v="TXN_000813"/>
    <s v="HOTEL_017"/>
    <x v="38"/>
    <x v="3"/>
    <x v="0"/>
    <s v="18:30–19:00"/>
    <s v="AlaCarte"/>
    <n v="5"/>
    <n v="175.72"/>
    <s v="Credit Card"/>
    <s v="In-store"/>
    <n v="6"/>
    <n v="0"/>
  </r>
  <r>
    <s v="TXN_000814"/>
    <s v="HOTEL_018"/>
    <x v="38"/>
    <x v="3"/>
    <x v="0"/>
    <s v="19:00–19:30"/>
    <s v="AlaCarte"/>
    <n v="3"/>
    <n v="207.92"/>
    <s v="Credit Card"/>
    <s v="In-store"/>
    <n v="6"/>
    <n v="0"/>
  </r>
  <r>
    <s v="TXN_000815"/>
    <s v="WALK_028"/>
    <x v="38"/>
    <x v="3"/>
    <x v="0"/>
    <s v="19:00–19:30"/>
    <s v="AlaCarte"/>
    <n v="1"/>
    <n v="56.94"/>
    <s v="Credit Card"/>
    <s v="In-store"/>
    <n v="6"/>
    <n v="0"/>
  </r>
  <r>
    <s v="TXN_000816"/>
    <s v="HOTEL_008"/>
    <x v="38"/>
    <x v="3"/>
    <x v="0"/>
    <s v="19:00–19:30"/>
    <s v="AlaCarte"/>
    <n v="6"/>
    <n v="144.96"/>
    <s v="Digital Wallet"/>
    <s v="Takeaway"/>
    <n v="6"/>
    <n v="0"/>
  </r>
  <r>
    <s v="TXN_000817"/>
    <s v="HOTEL_002"/>
    <x v="38"/>
    <x v="3"/>
    <x v="0"/>
    <s v="19:00–19:30"/>
    <s v="AlaCarte"/>
    <n v="2"/>
    <n v="45.79"/>
    <s v="Cash"/>
    <s v="In-store"/>
    <n v="6"/>
    <n v="0"/>
  </r>
  <r>
    <s v="TXN_000818"/>
    <s v="WALK_054"/>
    <x v="38"/>
    <x v="3"/>
    <x v="0"/>
    <s v="19:30–20:00"/>
    <s v="AlaCarte"/>
    <n v="6"/>
    <n v="221.97"/>
    <s v="Credit Card"/>
    <s v="In-store"/>
    <n v="6"/>
    <n v="0"/>
  </r>
  <r>
    <s v="TXN_000819"/>
    <s v="HOTEL_021"/>
    <x v="38"/>
    <x v="3"/>
    <x v="0"/>
    <s v="19:30–20:00"/>
    <s v="AlaCarte"/>
    <n v="4"/>
    <n v="118.84"/>
    <s v="Cash"/>
    <s v="In-store"/>
    <n v="6"/>
    <n v="0"/>
  </r>
  <r>
    <s v="TXN_000820"/>
    <s v="WALK_051"/>
    <x v="38"/>
    <x v="3"/>
    <x v="0"/>
    <s v="19:30–20:00"/>
    <s v="AlaCarte"/>
    <n v="2"/>
    <n v="39.54"/>
    <s v="Credit Card"/>
    <s v="In-store"/>
    <n v="6"/>
    <n v="0"/>
  </r>
  <r>
    <s v="TXN_000821"/>
    <s v="HOTEL_009"/>
    <x v="38"/>
    <x v="3"/>
    <x v="0"/>
    <s v="19:30–20:00"/>
    <s v="AlaCarte"/>
    <n v="7"/>
    <n v="203.79"/>
    <s v="Credit Card"/>
    <s v="In-store"/>
    <n v="6"/>
    <n v="0"/>
  </r>
  <r>
    <s v="TXN_000822"/>
    <s v="WALK_064"/>
    <x v="38"/>
    <x v="3"/>
    <x v="0"/>
    <s v="20:00–20:30"/>
    <s v="AlaCarte"/>
    <n v="2"/>
    <n v="57.38"/>
    <s v="Credit Card"/>
    <s v="In-store"/>
    <n v="6"/>
    <n v="0"/>
  </r>
  <r>
    <s v="TXN_000823"/>
    <s v="HOTEL_007"/>
    <x v="38"/>
    <x v="3"/>
    <x v="0"/>
    <s v="20:00–20:30"/>
    <s v="AlaCarte"/>
    <n v="4"/>
    <n v="169.71"/>
    <s v="Digital Wallet"/>
    <s v="In-store"/>
    <n v="6"/>
    <n v="0"/>
  </r>
  <r>
    <s v="TXN_000824"/>
    <s v="WALK_014"/>
    <x v="38"/>
    <x v="3"/>
    <x v="0"/>
    <s v="20:00–20:30"/>
    <s v="AlaCarte"/>
    <n v="6"/>
    <n v="105.96"/>
    <s v="Cash"/>
    <s v="Takeaway"/>
    <n v="6"/>
    <n v="0"/>
  </r>
  <r>
    <s v="TXN_000825"/>
    <s v="HOTEL_014"/>
    <x v="38"/>
    <x v="3"/>
    <x v="0"/>
    <s v="20:00–20:30"/>
    <s v="AlaCarte"/>
    <n v="2"/>
    <n v="71.44"/>
    <s v="Digital Wallet"/>
    <s v="In-store"/>
    <n v="6"/>
    <n v="0"/>
  </r>
  <r>
    <s v="TXN_000826"/>
    <s v="WALK_120"/>
    <x v="38"/>
    <x v="3"/>
    <x v="0"/>
    <s v="20:00–20:30"/>
    <s v="AlaCarte"/>
    <n v="1"/>
    <n v="38.79"/>
    <s v="Credit Card"/>
    <s v="Takeaway"/>
    <n v="6"/>
    <n v="0"/>
  </r>
  <r>
    <s v="TXN_000827"/>
    <s v="WALK_084"/>
    <x v="38"/>
    <x v="3"/>
    <x v="0"/>
    <s v="20:00–20:30"/>
    <s v="AlaCarte"/>
    <n v="2"/>
    <n v="63.17"/>
    <s v="Credit Card"/>
    <s v="In-store"/>
    <n v="6"/>
    <n v="0"/>
  </r>
  <r>
    <s v="TXN_000828"/>
    <s v="CORP_078"/>
    <x v="38"/>
    <x v="3"/>
    <x v="1"/>
    <s v="12:15–12:45"/>
    <s v="AlaCarte"/>
    <n v="1"/>
    <n v="19.96"/>
    <s v="Digital Wallet"/>
    <s v="In-store"/>
    <n v="6"/>
    <n v="0"/>
  </r>
  <r>
    <s v="TXN_000829"/>
    <s v="CORP_040"/>
    <x v="38"/>
    <x v="3"/>
    <x v="1"/>
    <s v="12:15–12:45"/>
    <s v="AlaCarte"/>
    <n v="3"/>
    <n v="54.41"/>
    <s v="Cash"/>
    <s v="In-store"/>
    <n v="6"/>
    <n v="0"/>
  </r>
  <r>
    <s v="TXN_000830"/>
    <s v="WALK_049"/>
    <x v="38"/>
    <x v="3"/>
    <x v="1"/>
    <s v="12:45–13:15"/>
    <s v="AlaCarte"/>
    <n v="2"/>
    <n v="34.78"/>
    <s v="Digital Wallet"/>
    <s v="In-store"/>
    <n v="6"/>
    <n v="0"/>
  </r>
  <r>
    <s v="TXN_000831"/>
    <s v="WALK_104"/>
    <x v="38"/>
    <x v="3"/>
    <x v="1"/>
    <s v="12:45–13:15"/>
    <s v="AlaCarte"/>
    <n v="2"/>
    <n v="52.84"/>
    <s v="Credit Card"/>
    <s v="In-store"/>
    <n v="6"/>
    <n v="0"/>
  </r>
  <r>
    <s v="TXN_000832"/>
    <s v="HOTEL_038"/>
    <x v="39"/>
    <x v="4"/>
    <x v="0"/>
    <s v="18:00–18:30"/>
    <s v="AlaCarte"/>
    <n v="4"/>
    <n v="125.49"/>
    <s v="Cash"/>
    <s v="Takeaway"/>
    <n v="7"/>
    <n v="0"/>
  </r>
  <r>
    <s v="TXN_000833"/>
    <s v="HOTEL_035"/>
    <x v="39"/>
    <x v="4"/>
    <x v="0"/>
    <s v="18:30–19:00"/>
    <s v="AlaCarte"/>
    <n v="1"/>
    <n v="35.67"/>
    <s v="Cash"/>
    <s v="Takeaway"/>
    <n v="7"/>
    <n v="0"/>
  </r>
  <r>
    <s v="TXN_000834"/>
    <s v="HOTEL_013"/>
    <x v="39"/>
    <x v="4"/>
    <x v="0"/>
    <s v="18:30–19:00"/>
    <s v="AlaCarte"/>
    <n v="1"/>
    <n v="26.07"/>
    <s v="Digital Wallet"/>
    <s v="In-store"/>
    <n v="7"/>
    <n v="0"/>
  </r>
  <r>
    <s v="TXN_000835"/>
    <s v="HOTEL_028"/>
    <x v="39"/>
    <x v="4"/>
    <x v="0"/>
    <s v="18:30–19:00"/>
    <s v="AlaCarte"/>
    <n v="5"/>
    <n v="147.59"/>
    <s v="Digital Wallet"/>
    <s v="In-store"/>
    <n v="7"/>
    <n v="0"/>
  </r>
  <r>
    <s v="TXN_000836"/>
    <s v="HOTEL_023"/>
    <x v="39"/>
    <x v="4"/>
    <x v="0"/>
    <s v="19:00–19:30"/>
    <s v="AlaCarte"/>
    <n v="6"/>
    <n v="118.14"/>
    <s v="Credit Card"/>
    <s v="In-store"/>
    <n v="7"/>
    <n v="0"/>
  </r>
  <r>
    <s v="TXN_000837"/>
    <s v="WALK_019"/>
    <x v="39"/>
    <x v="4"/>
    <x v="0"/>
    <s v="19:00–19:30"/>
    <s v="AlaCarte"/>
    <n v="6"/>
    <n v="115.99"/>
    <s v="Credit Card"/>
    <s v="In-store"/>
    <n v="7"/>
    <n v="0"/>
  </r>
  <r>
    <s v="TXN_000838"/>
    <s v="HOTEL_018"/>
    <x v="39"/>
    <x v="4"/>
    <x v="0"/>
    <s v="19:00–19:30"/>
    <s v="AlaCarte"/>
    <n v="2"/>
    <n v="62.44"/>
    <s v="Cash"/>
    <s v="Takeaway"/>
    <n v="7"/>
    <n v="0"/>
  </r>
  <r>
    <s v="TXN_000839"/>
    <s v="WALK_011"/>
    <x v="39"/>
    <x v="4"/>
    <x v="0"/>
    <s v="19:00–19:30"/>
    <s v="AlaCarte"/>
    <n v="2"/>
    <n v="80.98"/>
    <s v="Cash"/>
    <s v="In-store"/>
    <n v="7"/>
    <n v="0"/>
  </r>
  <r>
    <s v="TXN_000840"/>
    <s v="WALK_014"/>
    <x v="39"/>
    <x v="4"/>
    <x v="0"/>
    <s v="19:00–19:30"/>
    <s v="AlaCarte"/>
    <n v="4"/>
    <n v="77.22"/>
    <s v="Credit Card"/>
    <s v="Takeaway"/>
    <n v="7"/>
    <n v="0"/>
  </r>
  <r>
    <s v="TXN_000841"/>
    <s v="CORP_075"/>
    <x v="39"/>
    <x v="4"/>
    <x v="0"/>
    <s v="19:00–19:30"/>
    <s v="AlaCarte"/>
    <n v="2"/>
    <n v="27.54"/>
    <s v="Digital Wallet"/>
    <s v="In-store"/>
    <n v="7"/>
    <n v="0"/>
  </r>
  <r>
    <s v="TXN_000842"/>
    <s v="WALK_057"/>
    <x v="39"/>
    <x v="4"/>
    <x v="0"/>
    <s v="19:30–20:00"/>
    <s v="AlaCarte"/>
    <n v="5"/>
    <n v="162.72"/>
    <s v="Credit Card"/>
    <s v="In-store"/>
    <n v="7"/>
    <n v="0"/>
  </r>
  <r>
    <s v="TXN_000843"/>
    <s v="WALK_026"/>
    <x v="39"/>
    <x v="4"/>
    <x v="0"/>
    <s v="19:30–20:00"/>
    <s v="AlaCarte"/>
    <n v="3"/>
    <n v="100.34"/>
    <s v="Credit Card"/>
    <s v="Takeaway"/>
    <n v="7"/>
    <n v="0"/>
  </r>
  <r>
    <s v="TXN_000844"/>
    <s v="WALK_018"/>
    <x v="39"/>
    <x v="4"/>
    <x v="0"/>
    <s v="19:30–20:00"/>
    <s v="AlaCarte"/>
    <n v="3"/>
    <n v="64.78"/>
    <s v="Digital Wallet"/>
    <s v="In-store"/>
    <n v="7"/>
    <n v="0"/>
  </r>
  <r>
    <s v="TXN_000845"/>
    <s v="WALK_109"/>
    <x v="39"/>
    <x v="4"/>
    <x v="0"/>
    <s v="19:30–20:00"/>
    <s v="AlaCarte"/>
    <n v="5"/>
    <n v="138.03"/>
    <s v="Credit Card"/>
    <s v="In-store"/>
    <n v="7"/>
    <n v="0"/>
  </r>
  <r>
    <s v="TXN_000846"/>
    <s v="CORP_025"/>
    <x v="39"/>
    <x v="4"/>
    <x v="0"/>
    <s v="19:30–20:00"/>
    <s v="AlaCarte"/>
    <n v="2"/>
    <n v="56.74"/>
    <s v="Credit Card"/>
    <s v="In-store"/>
    <n v="7"/>
    <n v="0"/>
  </r>
  <r>
    <s v="TXN_000847"/>
    <s v="HOTEL_006"/>
    <x v="39"/>
    <x v="4"/>
    <x v="0"/>
    <s v="20:00–20:30"/>
    <s v="AlaCarte"/>
    <n v="2"/>
    <n v="33.17"/>
    <s v="Credit Card"/>
    <s v="In-store"/>
    <n v="7"/>
    <n v="0"/>
  </r>
  <r>
    <s v="TXN_000848"/>
    <s v="HOTEL_030"/>
    <x v="39"/>
    <x v="4"/>
    <x v="0"/>
    <s v="20:00–20:30"/>
    <s v="AlaCarte"/>
    <n v="6"/>
    <n v="222.03"/>
    <s v="Credit Card"/>
    <s v="In-store"/>
    <n v="7"/>
    <n v="0"/>
  </r>
  <r>
    <s v="TXN_000849"/>
    <s v="WALK_035"/>
    <x v="39"/>
    <x v="4"/>
    <x v="0"/>
    <s v="20:00–20:30"/>
    <s v="AlaCarte"/>
    <n v="1"/>
    <n v="34.42"/>
    <s v="Credit Card"/>
    <s v="Takeaway"/>
    <n v="7"/>
    <n v="0"/>
  </r>
  <r>
    <s v="TXN_000850"/>
    <s v="CORP_018"/>
    <x v="39"/>
    <x v="4"/>
    <x v="1"/>
    <s v="13:15–13:45"/>
    <s v="AlaCarte"/>
    <n v="4"/>
    <n v="103.56"/>
    <s v="Credit Card"/>
    <s v="In-store"/>
    <n v="7"/>
    <n v="0"/>
  </r>
  <r>
    <s v="TXN_000851"/>
    <s v="WALK_020"/>
    <x v="39"/>
    <x v="4"/>
    <x v="1"/>
    <s v="13:45–14:15"/>
    <s v="AlaCarte"/>
    <n v="5"/>
    <n v="124.25"/>
    <s v="Credit Card"/>
    <s v="In-store"/>
    <n v="7"/>
    <n v="0"/>
  </r>
  <r>
    <s v="TXN_000852"/>
    <s v="WALK_050"/>
    <x v="40"/>
    <x v="5"/>
    <x v="0"/>
    <s v="18:00–18:30"/>
    <s v="AlaCarte"/>
    <n v="3"/>
    <n v="64.12"/>
    <s v="Credit Card"/>
    <s v="In-store"/>
    <n v="1"/>
    <n v="0"/>
  </r>
  <r>
    <s v="TXN_000853"/>
    <s v="HOTEL_033"/>
    <x v="40"/>
    <x v="5"/>
    <x v="0"/>
    <s v="18:00–18:30"/>
    <s v="AlaCarte"/>
    <n v="5"/>
    <n v="170.99"/>
    <s v="Digital Wallet"/>
    <s v="In-store"/>
    <n v="1"/>
    <n v="0"/>
  </r>
  <r>
    <s v="TXN_000854"/>
    <s v="WALK_065"/>
    <x v="40"/>
    <x v="5"/>
    <x v="0"/>
    <s v="18:00–18:30"/>
    <s v="AlaCarte"/>
    <n v="4"/>
    <n v="81.010000000000005"/>
    <s v="Credit Card"/>
    <s v="In-store"/>
    <n v="1"/>
    <n v="0"/>
  </r>
  <r>
    <s v="TXN_000855"/>
    <s v="HOTEL_018"/>
    <x v="40"/>
    <x v="5"/>
    <x v="0"/>
    <s v="18:00–18:30"/>
    <s v="AlaCarte"/>
    <n v="5"/>
    <n v="119.46"/>
    <s v="Cash"/>
    <s v="Takeaway"/>
    <n v="1"/>
    <n v="0"/>
  </r>
  <r>
    <s v="TXN_000856"/>
    <s v="WALK_098"/>
    <x v="40"/>
    <x v="5"/>
    <x v="0"/>
    <s v="18:00–18:30"/>
    <s v="AlaCarte"/>
    <n v="3"/>
    <n v="118.17"/>
    <s v="Credit Card"/>
    <s v="In-store"/>
    <n v="1"/>
    <n v="0"/>
  </r>
  <r>
    <s v="TXN_000857"/>
    <s v="CORP_006"/>
    <x v="40"/>
    <x v="5"/>
    <x v="0"/>
    <s v="18:00–18:30"/>
    <s v="AlaCarte"/>
    <n v="2"/>
    <n v="58.95"/>
    <s v="Cash"/>
    <s v="In-store"/>
    <n v="1"/>
    <n v="0"/>
  </r>
  <r>
    <s v="TXN_000858"/>
    <s v="WALK_021"/>
    <x v="40"/>
    <x v="5"/>
    <x v="0"/>
    <s v="18:00–18:30"/>
    <s v="AlaCarte"/>
    <n v="4"/>
    <n v="121.19"/>
    <s v="Credit Card"/>
    <s v="In-store"/>
    <n v="1"/>
    <n v="0"/>
  </r>
  <r>
    <s v="TXN_000859"/>
    <s v="CORP_026"/>
    <x v="40"/>
    <x v="5"/>
    <x v="0"/>
    <s v="18:30–19:00"/>
    <s v="AlaCarte"/>
    <n v="1"/>
    <n v="25.08"/>
    <s v="Digital Wallet"/>
    <s v="In-store"/>
    <n v="1"/>
    <n v="0"/>
  </r>
  <r>
    <s v="TXN_000860"/>
    <s v="WALK_027"/>
    <x v="40"/>
    <x v="5"/>
    <x v="0"/>
    <s v="19:00–19:30"/>
    <s v="AlaCarte"/>
    <n v="3"/>
    <n v="75.83"/>
    <s v="Credit Card"/>
    <s v="In-store"/>
    <n v="1"/>
    <n v="0"/>
  </r>
  <r>
    <s v="TXN_000861"/>
    <s v="WALK_053"/>
    <x v="40"/>
    <x v="5"/>
    <x v="0"/>
    <s v="19:00–19:30"/>
    <s v="AlaCarte"/>
    <n v="4"/>
    <n v="53.1"/>
    <s v="Credit Card"/>
    <s v="Takeaway"/>
    <n v="1"/>
    <n v="0"/>
  </r>
  <r>
    <s v="TXN_000862"/>
    <s v="WALK_007"/>
    <x v="40"/>
    <x v="5"/>
    <x v="0"/>
    <s v="19:00–19:30"/>
    <s v="AlaCarte"/>
    <n v="4"/>
    <n v="69.23"/>
    <s v="Digital Wallet"/>
    <s v="In-store"/>
    <n v="1"/>
    <n v="0"/>
  </r>
  <r>
    <s v="TXN_000863"/>
    <s v="WALK_041"/>
    <x v="40"/>
    <x v="5"/>
    <x v="0"/>
    <s v="19:00–19:30"/>
    <s v="AlaCarte"/>
    <n v="1"/>
    <n v="20.99"/>
    <s v="Credit Card"/>
    <s v="In-store"/>
    <n v="1"/>
    <n v="0"/>
  </r>
  <r>
    <s v="TXN_000864"/>
    <s v="WALK_051"/>
    <x v="40"/>
    <x v="5"/>
    <x v="0"/>
    <s v="19:30–20:00"/>
    <s v="AlaCarte"/>
    <n v="5"/>
    <n v="169.67"/>
    <s v="Credit Card"/>
    <s v="In-store"/>
    <n v="1"/>
    <n v="0"/>
  </r>
  <r>
    <s v="TXN_000865"/>
    <s v="WALK_021"/>
    <x v="40"/>
    <x v="5"/>
    <x v="0"/>
    <s v="19:30–20:00"/>
    <s v="AlaCarte"/>
    <n v="3"/>
    <n v="93.83"/>
    <s v="Credit Card"/>
    <s v="In-store"/>
    <n v="1"/>
    <n v="0"/>
  </r>
  <r>
    <s v="TXN_000866"/>
    <s v="WALK_051"/>
    <x v="40"/>
    <x v="5"/>
    <x v="0"/>
    <s v="19:30–20:00"/>
    <s v="AlaCarte"/>
    <n v="3"/>
    <n v="64.62"/>
    <s v="Credit Card"/>
    <s v="In-store"/>
    <n v="1"/>
    <n v="0"/>
  </r>
  <r>
    <s v="TXN_000867"/>
    <s v="WALK_075"/>
    <x v="40"/>
    <x v="5"/>
    <x v="0"/>
    <s v="19:30–20:00"/>
    <s v="AlaCarte"/>
    <n v="3"/>
    <n v="105.62"/>
    <s v="Credit Card"/>
    <s v="Takeaway"/>
    <n v="1"/>
    <n v="0"/>
  </r>
  <r>
    <s v="TXN_000868"/>
    <s v="WALK_026"/>
    <x v="40"/>
    <x v="5"/>
    <x v="0"/>
    <s v="20:00–20:30"/>
    <s v="AlaCarte"/>
    <n v="2"/>
    <n v="49.34"/>
    <s v="Cash"/>
    <s v="In-store"/>
    <n v="1"/>
    <n v="0"/>
  </r>
  <r>
    <s v="TXN_000869"/>
    <s v="WALK_101"/>
    <x v="40"/>
    <x v="5"/>
    <x v="0"/>
    <s v="20:00–20:30"/>
    <s v="AlaCarte"/>
    <n v="5"/>
    <n v="101.97"/>
    <s v="Credit Card"/>
    <s v="In-store"/>
    <n v="1"/>
    <n v="0"/>
  </r>
  <r>
    <s v="TXN_000870"/>
    <s v="WALK_023"/>
    <x v="40"/>
    <x v="5"/>
    <x v="0"/>
    <s v="20:00–20:30"/>
    <s v="AlaCarte"/>
    <n v="4"/>
    <n v="224.98"/>
    <s v="Credit Card"/>
    <s v="Takeaway"/>
    <n v="1"/>
    <n v="0"/>
  </r>
  <r>
    <s v="TXN_000871"/>
    <s v="WALK_088"/>
    <x v="40"/>
    <x v="5"/>
    <x v="0"/>
    <s v="20:00–20:30"/>
    <s v="AlaCarte"/>
    <n v="2"/>
    <n v="47.51"/>
    <s v="Credit Card"/>
    <s v="Takeaway"/>
    <n v="1"/>
    <n v="0"/>
  </r>
  <r>
    <s v="TXN_000872"/>
    <s v="CORP_039"/>
    <x v="40"/>
    <x v="5"/>
    <x v="1"/>
    <s v="12:15–12:45"/>
    <s v="AlaCarte"/>
    <n v="2"/>
    <n v="34.58"/>
    <s v="Credit Card"/>
    <s v="In-store"/>
    <n v="1"/>
    <n v="0"/>
  </r>
  <r>
    <s v="TXN_000873"/>
    <s v="CORP_021"/>
    <x v="40"/>
    <x v="5"/>
    <x v="1"/>
    <s v="12:15–12:45"/>
    <s v="AlaCarte"/>
    <n v="3"/>
    <n v="36.49"/>
    <s v="Cash"/>
    <s v="In-store"/>
    <n v="1"/>
    <n v="0"/>
  </r>
  <r>
    <s v="TXN_000874"/>
    <s v="CORP_043"/>
    <x v="40"/>
    <x v="5"/>
    <x v="1"/>
    <s v="12:45–13:15"/>
    <s v="AlaCarte"/>
    <n v="3"/>
    <n v="57.94"/>
    <s v="Cash"/>
    <s v="In-store"/>
    <n v="1"/>
    <n v="0"/>
  </r>
  <r>
    <s v="TXN_000875"/>
    <s v="CORP_069"/>
    <x v="40"/>
    <x v="5"/>
    <x v="1"/>
    <s v="13:15–13:45"/>
    <s v="AlaCarte"/>
    <n v="3"/>
    <n v="52.17"/>
    <s v="Cash"/>
    <s v="In-store"/>
    <n v="1"/>
    <n v="0"/>
  </r>
  <r>
    <s v="TXN_000876"/>
    <s v="WALK_051"/>
    <x v="41"/>
    <x v="6"/>
    <x v="0"/>
    <s v="18:00–18:30"/>
    <s v="AlaCarte"/>
    <n v="7"/>
    <n v="188.08"/>
    <s v="Credit Card"/>
    <s v="In-store"/>
    <n v="2"/>
    <n v="0"/>
  </r>
  <r>
    <s v="TXN_000877"/>
    <s v="WALK_045"/>
    <x v="41"/>
    <x v="6"/>
    <x v="0"/>
    <s v="18:00–18:30"/>
    <s v="AlaCarte"/>
    <n v="5"/>
    <n v="85.79"/>
    <s v="Credit Card"/>
    <s v="Takeaway"/>
    <n v="2"/>
    <n v="0"/>
  </r>
  <r>
    <s v="TXN_000878"/>
    <s v="CORP_013"/>
    <x v="41"/>
    <x v="6"/>
    <x v="0"/>
    <s v="18:00–18:30"/>
    <s v="AlaCarte"/>
    <n v="2"/>
    <n v="52.39"/>
    <s v="Credit Card"/>
    <s v="Takeaway"/>
    <n v="2"/>
    <n v="0"/>
  </r>
  <r>
    <s v="TXN_000879"/>
    <s v="WALK_088"/>
    <x v="41"/>
    <x v="6"/>
    <x v="0"/>
    <s v="18:00–18:30"/>
    <s v="AlaCarte"/>
    <n v="2"/>
    <n v="70.86"/>
    <s v="Cash"/>
    <s v="In-store"/>
    <n v="2"/>
    <n v="0"/>
  </r>
  <r>
    <s v="TXN_000880"/>
    <s v="WALK_030"/>
    <x v="41"/>
    <x v="6"/>
    <x v="0"/>
    <s v="18:00–18:30"/>
    <s v="AlaCarte"/>
    <n v="3"/>
    <n v="102.63"/>
    <s v="Cash"/>
    <s v="In-store"/>
    <n v="2"/>
    <n v="0"/>
  </r>
  <r>
    <s v="TXN_000881"/>
    <s v="WALK_106"/>
    <x v="41"/>
    <x v="6"/>
    <x v="0"/>
    <s v="18:30–19:00"/>
    <s v="AlaCarte"/>
    <n v="3"/>
    <n v="34.979999999999997"/>
    <s v="Credit Card"/>
    <s v="In-store"/>
    <n v="2"/>
    <n v="0"/>
  </r>
  <r>
    <s v="TXN_000882"/>
    <s v="WALK_026"/>
    <x v="41"/>
    <x v="6"/>
    <x v="0"/>
    <s v="18:30–19:00"/>
    <s v="AlaCarte"/>
    <n v="5"/>
    <n v="72.02"/>
    <s v="Cash"/>
    <s v="Takeaway"/>
    <n v="2"/>
    <n v="0"/>
  </r>
  <r>
    <s v="TXN_000883"/>
    <s v="CORP_032"/>
    <x v="41"/>
    <x v="6"/>
    <x v="0"/>
    <s v="18:30–19:00"/>
    <s v="AlaCarte"/>
    <n v="1"/>
    <n v="19.059999999999999"/>
    <s v="Credit Card"/>
    <s v="Takeaway"/>
    <n v="2"/>
    <n v="0"/>
  </r>
  <r>
    <s v="TXN_000884"/>
    <s v="WALK_028"/>
    <x v="41"/>
    <x v="6"/>
    <x v="0"/>
    <s v="18:30–19:00"/>
    <s v="AlaCarte"/>
    <n v="5"/>
    <n v="105.85"/>
    <s v="Credit Card"/>
    <s v="In-store"/>
    <n v="2"/>
    <n v="0"/>
  </r>
  <r>
    <s v="TXN_000885"/>
    <s v="WALK_001"/>
    <x v="41"/>
    <x v="6"/>
    <x v="0"/>
    <s v="19:00–19:30"/>
    <s v="AlaCarte"/>
    <n v="4"/>
    <n v="121.39"/>
    <s v="Credit Card"/>
    <s v="In-store"/>
    <n v="2"/>
    <n v="0"/>
  </r>
  <r>
    <s v="TXN_000886"/>
    <s v="CORP_035"/>
    <x v="41"/>
    <x v="6"/>
    <x v="0"/>
    <s v="19:00–19:30"/>
    <s v="AlaCarte"/>
    <n v="3"/>
    <n v="107.68"/>
    <s v="Credit Card"/>
    <s v="In-store"/>
    <n v="2"/>
    <n v="0"/>
  </r>
  <r>
    <s v="TXN_000887"/>
    <s v="WALK_003"/>
    <x v="41"/>
    <x v="6"/>
    <x v="0"/>
    <s v="19:00–19:30"/>
    <s v="AlaCarte"/>
    <n v="3"/>
    <n v="75.94"/>
    <s v="Digital Wallet"/>
    <s v="In-store"/>
    <n v="2"/>
    <n v="0"/>
  </r>
  <r>
    <s v="TXN_000888"/>
    <s v="WALK_120"/>
    <x v="41"/>
    <x v="6"/>
    <x v="0"/>
    <s v="19:00–19:30"/>
    <s v="AlaCarte"/>
    <n v="2"/>
    <n v="42.6"/>
    <s v="Credit Card"/>
    <s v="Takeaway"/>
    <n v="2"/>
    <n v="0"/>
  </r>
  <r>
    <s v="TXN_000889"/>
    <s v="WALK_078"/>
    <x v="41"/>
    <x v="6"/>
    <x v="0"/>
    <s v="19:00–19:30"/>
    <s v="AlaCarte"/>
    <n v="4"/>
    <n v="96.6"/>
    <s v="Cash"/>
    <s v="In-store"/>
    <n v="2"/>
    <n v="0"/>
  </r>
  <r>
    <s v="TXN_000890"/>
    <s v="WALK_071"/>
    <x v="41"/>
    <x v="6"/>
    <x v="0"/>
    <s v="19:00–19:30"/>
    <s v="AlaCarte"/>
    <n v="2"/>
    <n v="47.73"/>
    <s v="Cash"/>
    <s v="Takeaway"/>
    <n v="2"/>
    <n v="0"/>
  </r>
  <r>
    <s v="TXN_000891"/>
    <s v="WALK_067"/>
    <x v="41"/>
    <x v="6"/>
    <x v="0"/>
    <s v="19:00–19:30"/>
    <s v="AlaCarte"/>
    <n v="4"/>
    <n v="84.36"/>
    <s v="Digital Wallet"/>
    <s v="Takeaway"/>
    <n v="2"/>
    <n v="0"/>
  </r>
  <r>
    <s v="TXN_000892"/>
    <s v="WALK_075"/>
    <x v="41"/>
    <x v="6"/>
    <x v="0"/>
    <s v="19:30–20:00"/>
    <s v="AlaCarte"/>
    <n v="5"/>
    <n v="192.1"/>
    <s v="Credit Card"/>
    <s v="In-store"/>
    <n v="2"/>
    <n v="0"/>
  </r>
  <r>
    <s v="TXN_000893"/>
    <s v="WALK_008"/>
    <x v="41"/>
    <x v="6"/>
    <x v="0"/>
    <s v="19:30–20:00"/>
    <s v="AlaCarte"/>
    <n v="3"/>
    <n v="74.040000000000006"/>
    <s v="Credit Card"/>
    <s v="In-store"/>
    <n v="2"/>
    <n v="0"/>
  </r>
  <r>
    <s v="TXN_000894"/>
    <s v="WALK_107"/>
    <x v="41"/>
    <x v="6"/>
    <x v="0"/>
    <s v="20:00–20:30"/>
    <s v="AlaCarte"/>
    <n v="2"/>
    <n v="73.44"/>
    <s v="Credit Card"/>
    <s v="Takeaway"/>
    <n v="2"/>
    <n v="0"/>
  </r>
  <r>
    <s v="TXN_000895"/>
    <s v="WALK_050"/>
    <x v="41"/>
    <x v="6"/>
    <x v="0"/>
    <s v="20:00–20:30"/>
    <s v="AlaCarte"/>
    <n v="3"/>
    <n v="141.46"/>
    <s v="Cash"/>
    <s v="Takeaway"/>
    <n v="2"/>
    <n v="0"/>
  </r>
  <r>
    <s v="TXN_000896"/>
    <s v="HOTEL_016"/>
    <x v="41"/>
    <x v="6"/>
    <x v="0"/>
    <s v="20:00–20:30"/>
    <s v="AlaCarte"/>
    <n v="4"/>
    <n v="87.9"/>
    <s v="Cash"/>
    <s v="Takeaway"/>
    <n v="2"/>
    <n v="0"/>
  </r>
  <r>
    <s v="TXN_000897"/>
    <s v="CORP_042"/>
    <x v="41"/>
    <x v="6"/>
    <x v="1"/>
    <s v="12:45–13:15"/>
    <s v="AlaCarte"/>
    <n v="1"/>
    <n v="17.39"/>
    <s v="Credit Card"/>
    <s v="In-store"/>
    <n v="2"/>
    <n v="0"/>
  </r>
  <r>
    <s v="TXN_000898"/>
    <s v="CORP_055"/>
    <x v="41"/>
    <x v="6"/>
    <x v="1"/>
    <s v="13:15–13:45"/>
    <s v="AlaCarte"/>
    <n v="5"/>
    <n v="65.09"/>
    <s v="Credit Card"/>
    <s v="In-store"/>
    <n v="2"/>
    <n v="0"/>
  </r>
  <r>
    <s v="TXN_000899"/>
    <s v="CORP_023"/>
    <x v="42"/>
    <x v="0"/>
    <x v="0"/>
    <s v="18:00–18:30"/>
    <s v="AlaCarte"/>
    <n v="2"/>
    <n v="76.16"/>
    <s v="Credit Card"/>
    <s v="Takeaway"/>
    <n v="3"/>
    <n v="0"/>
  </r>
  <r>
    <s v="TXN_000900"/>
    <s v="WALK_035"/>
    <x v="42"/>
    <x v="0"/>
    <x v="0"/>
    <s v="18:00–18:30"/>
    <s v="AlaCarte"/>
    <n v="5"/>
    <n v="152.33000000000001"/>
    <s v="Digital Wallet"/>
    <s v="In-store"/>
    <n v="3"/>
    <n v="0"/>
  </r>
  <r>
    <s v="TXN_000901"/>
    <s v="CORP_047"/>
    <x v="42"/>
    <x v="0"/>
    <x v="0"/>
    <s v="18:00–18:30"/>
    <s v="AlaCarte"/>
    <n v="3"/>
    <n v="82.02"/>
    <s v="Digital Wallet"/>
    <s v="In-store"/>
    <n v="3"/>
    <n v="0"/>
  </r>
  <r>
    <s v="TXN_000902"/>
    <s v="WALK_054"/>
    <x v="42"/>
    <x v="0"/>
    <x v="0"/>
    <s v="18:00–18:30"/>
    <s v="AlaCarte"/>
    <n v="1"/>
    <n v="37.74"/>
    <s v="Credit Card"/>
    <s v="In-store"/>
    <n v="3"/>
    <n v="0"/>
  </r>
  <r>
    <s v="TXN_000903"/>
    <s v="WALK_102"/>
    <x v="42"/>
    <x v="0"/>
    <x v="0"/>
    <s v="18:00–18:30"/>
    <s v="AlaCarte"/>
    <n v="3"/>
    <n v="107.95"/>
    <s v="Credit Card"/>
    <s v="Takeaway"/>
    <n v="3"/>
    <n v="0"/>
  </r>
  <r>
    <s v="TXN_000904"/>
    <s v="WALK_106"/>
    <x v="42"/>
    <x v="0"/>
    <x v="0"/>
    <s v="18:30–19:00"/>
    <s v="AlaCarte"/>
    <n v="4"/>
    <n v="69.3"/>
    <s v="Digital Wallet"/>
    <s v="In-store"/>
    <n v="3"/>
    <n v="0"/>
  </r>
  <r>
    <s v="TXN_000905"/>
    <s v="CORP_026"/>
    <x v="42"/>
    <x v="0"/>
    <x v="0"/>
    <s v="18:30–19:00"/>
    <s v="AlaCarte"/>
    <n v="4"/>
    <n v="142.75"/>
    <s v="Credit Card"/>
    <s v="Takeaway"/>
    <n v="3"/>
    <n v="0"/>
  </r>
  <r>
    <s v="TXN_000906"/>
    <s v="WALK_095"/>
    <x v="42"/>
    <x v="0"/>
    <x v="0"/>
    <s v="19:00–19:30"/>
    <s v="AlaCarte"/>
    <n v="2"/>
    <n v="80.849999999999994"/>
    <s v="Digital Wallet"/>
    <s v="In-store"/>
    <n v="3"/>
    <n v="0"/>
  </r>
  <r>
    <s v="TXN_000907"/>
    <s v="WALK_085"/>
    <x v="42"/>
    <x v="0"/>
    <x v="0"/>
    <s v="19:00–19:30"/>
    <s v="AlaCarte"/>
    <n v="3"/>
    <n v="110.35"/>
    <s v="Credit Card"/>
    <s v="In-store"/>
    <n v="3"/>
    <n v="0"/>
  </r>
  <r>
    <s v="TXN_000908"/>
    <s v="WALK_116"/>
    <x v="42"/>
    <x v="0"/>
    <x v="0"/>
    <s v="19:30–20:00"/>
    <s v="AlaCarte"/>
    <n v="5"/>
    <n v="165.75"/>
    <s v="Credit Card"/>
    <s v="In-store"/>
    <n v="3"/>
    <n v="0"/>
  </r>
  <r>
    <s v="TXN_000909"/>
    <s v="CORP_074"/>
    <x v="42"/>
    <x v="0"/>
    <x v="0"/>
    <s v="19:30–20:00"/>
    <s v="AlaCarte"/>
    <n v="2"/>
    <n v="67.59"/>
    <s v="Digital Wallet"/>
    <s v="Takeaway"/>
    <n v="3"/>
    <n v="0"/>
  </r>
  <r>
    <s v="TXN_000910"/>
    <s v="WALK_040"/>
    <x v="42"/>
    <x v="0"/>
    <x v="0"/>
    <s v="19:30–20:00"/>
    <s v="AlaCarte"/>
    <n v="4"/>
    <n v="49.83"/>
    <s v="Credit Card"/>
    <s v="In-store"/>
    <n v="3"/>
    <n v="0"/>
  </r>
  <r>
    <s v="TXN_000911"/>
    <s v="WALK_068"/>
    <x v="42"/>
    <x v="0"/>
    <x v="0"/>
    <s v="20:00–20:30"/>
    <s v="AlaCarte"/>
    <n v="1"/>
    <n v="30"/>
    <s v="Digital Wallet"/>
    <s v="In-store"/>
    <n v="3"/>
    <n v="0"/>
  </r>
  <r>
    <s v="TXN_000912"/>
    <s v="CORP_025"/>
    <x v="42"/>
    <x v="0"/>
    <x v="1"/>
    <s v="12:15–12:45"/>
    <s v="Buffet"/>
    <n v="5"/>
    <n v="109"/>
    <s v="Credit Card"/>
    <s v="In-store"/>
    <n v="3"/>
    <n v="1"/>
  </r>
  <r>
    <s v="TXN_000913"/>
    <s v="WALK_056"/>
    <x v="42"/>
    <x v="0"/>
    <x v="1"/>
    <s v="12:15–12:45"/>
    <s v="AlaCarte"/>
    <n v="5"/>
    <n v="43.24"/>
    <s v="Digital Wallet"/>
    <s v="In-store"/>
    <n v="3"/>
    <n v="0"/>
  </r>
  <r>
    <s v="TXN_000914"/>
    <s v="WALK_077"/>
    <x v="42"/>
    <x v="0"/>
    <x v="1"/>
    <s v="12:15–12:45"/>
    <s v="AlaCarte"/>
    <n v="2"/>
    <n v="44.75"/>
    <s v="Cash"/>
    <s v="Takeaway"/>
    <n v="3"/>
    <n v="0"/>
  </r>
  <r>
    <s v="TXN_000915"/>
    <s v="CORP_009"/>
    <x v="42"/>
    <x v="0"/>
    <x v="1"/>
    <s v="12:15–12:45"/>
    <s v="Buffet"/>
    <n v="4"/>
    <n v="93.5"/>
    <s v="Digital Wallet"/>
    <s v="In-store"/>
    <n v="3"/>
    <n v="1"/>
  </r>
  <r>
    <s v="TXN_000916"/>
    <s v="CORP_051"/>
    <x v="42"/>
    <x v="0"/>
    <x v="1"/>
    <s v="12:15–12:45"/>
    <s v="AlaCarte"/>
    <n v="4"/>
    <n v="117.59"/>
    <s v="Cash"/>
    <s v="In-store"/>
    <n v="3"/>
    <n v="0"/>
  </r>
  <r>
    <s v="TXN_000917"/>
    <s v="CORP_052"/>
    <x v="42"/>
    <x v="0"/>
    <x v="1"/>
    <s v="12:15–12:45"/>
    <s v="Buffet"/>
    <n v="4"/>
    <n v="89"/>
    <s v="Credit Card"/>
    <s v="In-store"/>
    <n v="3"/>
    <n v="1"/>
  </r>
  <r>
    <s v="TXN_000918"/>
    <s v="CORP_003"/>
    <x v="42"/>
    <x v="0"/>
    <x v="1"/>
    <s v="12:15–12:45"/>
    <s v="Buffet"/>
    <n v="2"/>
    <n v="40"/>
    <s v="Credit Card"/>
    <s v="In-store"/>
    <n v="3"/>
    <n v="1"/>
  </r>
  <r>
    <s v="TXN_000919"/>
    <s v="CORP_072"/>
    <x v="42"/>
    <x v="0"/>
    <x v="1"/>
    <s v="12:45–13:15"/>
    <s v="Buffet"/>
    <n v="2"/>
    <n v="44.5"/>
    <s v="Digital Wallet"/>
    <s v="In-store"/>
    <n v="3"/>
    <n v="1"/>
  </r>
  <r>
    <s v="TXN_000920"/>
    <s v="CORP_039"/>
    <x v="42"/>
    <x v="0"/>
    <x v="1"/>
    <s v="13:15–13:45"/>
    <s v="AlaCarte"/>
    <n v="4"/>
    <n v="50.92"/>
    <s v="Credit Card"/>
    <s v="Takeaway"/>
    <n v="3"/>
    <n v="0"/>
  </r>
  <r>
    <s v="TXN_000921"/>
    <s v="CORP_026"/>
    <x v="42"/>
    <x v="0"/>
    <x v="1"/>
    <s v="13:15–13:45"/>
    <s v="Buffet"/>
    <n v="3"/>
    <n v="64.5"/>
    <s v="Digital Wallet"/>
    <s v="In-store"/>
    <n v="3"/>
    <n v="1"/>
  </r>
  <r>
    <s v="TXN_000922"/>
    <s v="WALK_086"/>
    <x v="42"/>
    <x v="0"/>
    <x v="1"/>
    <s v="13:15–13:45"/>
    <s v="AlaCarte"/>
    <n v="4"/>
    <n v="69.42"/>
    <s v="Credit Card"/>
    <s v="In-store"/>
    <n v="3"/>
    <n v="0"/>
  </r>
  <r>
    <s v="TXN_000923"/>
    <s v="CORP_063"/>
    <x v="42"/>
    <x v="0"/>
    <x v="1"/>
    <s v="13:45–14:15"/>
    <s v="Buffet"/>
    <n v="1"/>
    <n v="20"/>
    <s v="Credit Card"/>
    <s v="In-store"/>
    <n v="3"/>
    <n v="1"/>
  </r>
  <r>
    <s v="TXN_000924"/>
    <s v="CORP_049"/>
    <x v="42"/>
    <x v="0"/>
    <x v="1"/>
    <s v="13:45–14:15"/>
    <s v="Buffet"/>
    <n v="4"/>
    <n v="84.5"/>
    <s v="Cash"/>
    <s v="In-store"/>
    <n v="3"/>
    <n v="1"/>
  </r>
  <r>
    <s v="TXN_000925"/>
    <s v="WALK_069"/>
    <x v="42"/>
    <x v="0"/>
    <x v="1"/>
    <s v="13:45–14:15"/>
    <s v="Buffet"/>
    <n v="6"/>
    <n v="124.5"/>
    <s v="Digital Wallet"/>
    <s v="Takeaway"/>
    <n v="3"/>
    <n v="1"/>
  </r>
  <r>
    <s v="TXN_000926"/>
    <s v="HOTEL_030"/>
    <x v="43"/>
    <x v="1"/>
    <x v="0"/>
    <s v="18:00–18:30"/>
    <s v="AlaCarte"/>
    <n v="3"/>
    <n v="74.260000000000005"/>
    <s v="Digital Wallet"/>
    <s v="In-store"/>
    <n v="4"/>
    <n v="0"/>
  </r>
  <r>
    <s v="TXN_000927"/>
    <s v="WALK_098"/>
    <x v="43"/>
    <x v="1"/>
    <x v="0"/>
    <s v="18:00–18:30"/>
    <s v="AlaCarte"/>
    <n v="3"/>
    <n v="81.7"/>
    <s v="Credit Card"/>
    <s v="In-store"/>
    <n v="4"/>
    <n v="0"/>
  </r>
  <r>
    <s v="TXN_000928"/>
    <s v="WALK_103"/>
    <x v="43"/>
    <x v="1"/>
    <x v="0"/>
    <s v="18:00–18:30"/>
    <s v="AlaCarte"/>
    <n v="2"/>
    <n v="61.5"/>
    <s v="Credit Card"/>
    <s v="In-store"/>
    <n v="4"/>
    <n v="0"/>
  </r>
  <r>
    <s v="TXN_000929"/>
    <s v="WALK_067"/>
    <x v="43"/>
    <x v="1"/>
    <x v="0"/>
    <s v="18:00–18:30"/>
    <s v="AlaCarte"/>
    <n v="3"/>
    <n v="87.73"/>
    <s v="Credit Card"/>
    <s v="Takeaway"/>
    <n v="4"/>
    <n v="0"/>
  </r>
  <r>
    <s v="TXN_000930"/>
    <s v="WALK_072"/>
    <x v="43"/>
    <x v="1"/>
    <x v="0"/>
    <s v="18:30–19:00"/>
    <s v="AlaCarte"/>
    <n v="3"/>
    <n v="137.46"/>
    <s v="Cash"/>
    <s v="Takeaway"/>
    <n v="4"/>
    <n v="0"/>
  </r>
  <r>
    <s v="TXN_000931"/>
    <s v="WALK_097"/>
    <x v="43"/>
    <x v="1"/>
    <x v="0"/>
    <s v="19:00–19:30"/>
    <s v="AlaCarte"/>
    <n v="4"/>
    <n v="97.78"/>
    <s v="Digital Wallet"/>
    <s v="Takeaway"/>
    <n v="4"/>
    <n v="0"/>
  </r>
  <r>
    <s v="TXN_000932"/>
    <s v="WALK_076"/>
    <x v="43"/>
    <x v="1"/>
    <x v="0"/>
    <s v="19:00–19:30"/>
    <s v="AlaCarte"/>
    <n v="3"/>
    <n v="170.56"/>
    <s v="Digital Wallet"/>
    <s v="In-store"/>
    <n v="4"/>
    <n v="0"/>
  </r>
  <r>
    <s v="TXN_000933"/>
    <s v="WALK_070"/>
    <x v="43"/>
    <x v="1"/>
    <x v="0"/>
    <s v="19:00–19:30"/>
    <s v="AlaCarte"/>
    <n v="2"/>
    <n v="64.260000000000005"/>
    <s v="Cash"/>
    <s v="In-store"/>
    <n v="4"/>
    <n v="0"/>
  </r>
  <r>
    <s v="TXN_000934"/>
    <s v="WALK_100"/>
    <x v="43"/>
    <x v="1"/>
    <x v="0"/>
    <s v="19:00–19:30"/>
    <s v="AlaCarte"/>
    <n v="3"/>
    <n v="88.93"/>
    <s v="Cash"/>
    <s v="In-store"/>
    <n v="4"/>
    <n v="0"/>
  </r>
  <r>
    <s v="TXN_000935"/>
    <s v="WALK_049"/>
    <x v="43"/>
    <x v="1"/>
    <x v="0"/>
    <s v="19:30–20:00"/>
    <s v="AlaCarte"/>
    <n v="1"/>
    <n v="25.39"/>
    <s v="Credit Card"/>
    <s v="In-store"/>
    <n v="4"/>
    <n v="0"/>
  </r>
  <r>
    <s v="TXN_000936"/>
    <s v="WALK_086"/>
    <x v="43"/>
    <x v="1"/>
    <x v="0"/>
    <s v="19:30–20:00"/>
    <s v="AlaCarte"/>
    <n v="1"/>
    <n v="19.260000000000002"/>
    <s v="Credit Card"/>
    <s v="Takeaway"/>
    <n v="4"/>
    <n v="0"/>
  </r>
  <r>
    <s v="TXN_000937"/>
    <s v="WALK_031"/>
    <x v="43"/>
    <x v="1"/>
    <x v="0"/>
    <s v="19:30–20:00"/>
    <s v="AlaCarte"/>
    <n v="3"/>
    <n v="72.709999999999994"/>
    <s v="Digital Wallet"/>
    <s v="Takeaway"/>
    <n v="4"/>
    <n v="0"/>
  </r>
  <r>
    <s v="TXN_000938"/>
    <s v="WALK_035"/>
    <x v="43"/>
    <x v="1"/>
    <x v="0"/>
    <s v="19:30–20:00"/>
    <s v="AlaCarte"/>
    <n v="1"/>
    <n v="19.5"/>
    <s v="Cash"/>
    <s v="In-store"/>
    <n v="4"/>
    <n v="0"/>
  </r>
  <r>
    <s v="TXN_000939"/>
    <s v="WALK_002"/>
    <x v="43"/>
    <x v="1"/>
    <x v="0"/>
    <s v="20:00–20:30"/>
    <s v="AlaCarte"/>
    <n v="2"/>
    <n v="50.06"/>
    <s v="Credit Card"/>
    <s v="In-store"/>
    <n v="4"/>
    <n v="0"/>
  </r>
  <r>
    <s v="TXN_000940"/>
    <s v="WALK_079"/>
    <x v="43"/>
    <x v="1"/>
    <x v="0"/>
    <s v="20:00–20:30"/>
    <s v="AlaCarte"/>
    <n v="7"/>
    <n v="142.41"/>
    <s v="Cash"/>
    <s v="In-store"/>
    <n v="4"/>
    <n v="0"/>
  </r>
  <r>
    <s v="TXN_000941"/>
    <s v="CORP_067"/>
    <x v="43"/>
    <x v="1"/>
    <x v="1"/>
    <s v="12:15–12:45"/>
    <s v="AlaCarte"/>
    <n v="2"/>
    <n v="30.09"/>
    <s v="Credit Card"/>
    <s v="In-store"/>
    <n v="4"/>
    <n v="0"/>
  </r>
  <r>
    <s v="TXN_000942"/>
    <s v="WALK_079"/>
    <x v="43"/>
    <x v="1"/>
    <x v="1"/>
    <s v="12:15–12:45"/>
    <s v="Buffet"/>
    <n v="1"/>
    <n v="24.5"/>
    <s v="Digital Wallet"/>
    <s v="In-store"/>
    <n v="4"/>
    <n v="1"/>
  </r>
  <r>
    <s v="TXN_000943"/>
    <s v="WALK_077"/>
    <x v="43"/>
    <x v="1"/>
    <x v="1"/>
    <s v="12:45–13:15"/>
    <s v="Buffet"/>
    <n v="4"/>
    <n v="89"/>
    <s v="Cash"/>
    <s v="In-store"/>
    <n v="4"/>
    <n v="1"/>
  </r>
  <r>
    <s v="TXN_000944"/>
    <s v="CORP_061"/>
    <x v="43"/>
    <x v="1"/>
    <x v="1"/>
    <s v="12:45–13:15"/>
    <s v="Buffet"/>
    <n v="3"/>
    <n v="69"/>
    <s v="Digital Wallet"/>
    <s v="In-store"/>
    <n v="4"/>
    <n v="1"/>
  </r>
  <r>
    <s v="TXN_000945"/>
    <s v="WALK_011"/>
    <x v="43"/>
    <x v="1"/>
    <x v="1"/>
    <s v="12:45–13:15"/>
    <s v="Buffet"/>
    <n v="1"/>
    <n v="20"/>
    <s v="Cash"/>
    <s v="In-store"/>
    <n v="4"/>
    <n v="1"/>
  </r>
  <r>
    <s v="TXN_000946"/>
    <s v="CORP_055"/>
    <x v="43"/>
    <x v="1"/>
    <x v="1"/>
    <s v="12:45–13:15"/>
    <s v="AlaCarte"/>
    <n v="1"/>
    <n v="12.9"/>
    <s v="Credit Card"/>
    <s v="In-store"/>
    <n v="4"/>
    <n v="0"/>
  </r>
  <r>
    <s v="TXN_000947"/>
    <s v="CORP_023"/>
    <x v="43"/>
    <x v="1"/>
    <x v="1"/>
    <s v="13:15–13:45"/>
    <s v="Buffet"/>
    <n v="3"/>
    <n v="60"/>
    <s v="Credit Card"/>
    <s v="Takeaway"/>
    <n v="4"/>
    <n v="1"/>
  </r>
  <r>
    <s v="TXN_000948"/>
    <s v="CORP_009"/>
    <x v="43"/>
    <x v="1"/>
    <x v="1"/>
    <s v="13:45–14:15"/>
    <s v="Buffet"/>
    <n v="3"/>
    <n v="60"/>
    <s v="Credit Card"/>
    <s v="In-store"/>
    <n v="4"/>
    <n v="1"/>
  </r>
  <r>
    <s v="TXN_000949"/>
    <s v="CORP_064"/>
    <x v="43"/>
    <x v="1"/>
    <x v="1"/>
    <s v="13:45–14:15"/>
    <s v="AlaCarte"/>
    <n v="2"/>
    <n v="18.32"/>
    <s v="Cash"/>
    <s v="In-store"/>
    <n v="4"/>
    <n v="0"/>
  </r>
  <r>
    <s v="TXN_000950"/>
    <s v="CORP_018"/>
    <x v="43"/>
    <x v="1"/>
    <x v="1"/>
    <s v="13:45–14:15"/>
    <s v="Buffet"/>
    <n v="2"/>
    <n v="44.5"/>
    <s v="Digital Wallet"/>
    <s v="In-store"/>
    <n v="4"/>
    <n v="1"/>
  </r>
  <r>
    <s v="TXN_000951"/>
    <s v="CORP_038"/>
    <x v="43"/>
    <x v="1"/>
    <x v="1"/>
    <s v="13:45–14:15"/>
    <s v="Buffet"/>
    <n v="4"/>
    <n v="84.5"/>
    <s v="Credit Card"/>
    <s v="Takeaway"/>
    <n v="4"/>
    <n v="1"/>
  </r>
  <r>
    <s v="TXN_000952"/>
    <s v="WALK_045"/>
    <x v="44"/>
    <x v="2"/>
    <x v="0"/>
    <s v="18:00–18:30"/>
    <s v="AlaCarte"/>
    <n v="2"/>
    <n v="43.98"/>
    <s v="Credit Card"/>
    <s v="Takeaway"/>
    <n v="5"/>
    <n v="0"/>
  </r>
  <r>
    <s v="TXN_000953"/>
    <s v="WALK_114"/>
    <x v="44"/>
    <x v="2"/>
    <x v="0"/>
    <s v="18:00–18:30"/>
    <s v="AlaCarte"/>
    <n v="4"/>
    <n v="129.44999999999999"/>
    <s v="Credit Card"/>
    <s v="In-store"/>
    <n v="5"/>
    <n v="0"/>
  </r>
  <r>
    <s v="TXN_000954"/>
    <s v="WALK_036"/>
    <x v="44"/>
    <x v="2"/>
    <x v="0"/>
    <s v="18:30–19:00"/>
    <s v="AlaCarte"/>
    <n v="3"/>
    <n v="113.62"/>
    <s v="Credit Card"/>
    <s v="In-store"/>
    <n v="5"/>
    <n v="0"/>
  </r>
  <r>
    <s v="TXN_000955"/>
    <s v="WALK_066"/>
    <x v="44"/>
    <x v="2"/>
    <x v="0"/>
    <s v="19:00–19:30"/>
    <s v="AlaCarte"/>
    <n v="3"/>
    <n v="92.04"/>
    <s v="Credit Card"/>
    <s v="In-store"/>
    <n v="5"/>
    <n v="0"/>
  </r>
  <r>
    <s v="TXN_000956"/>
    <s v="WALK_035"/>
    <x v="44"/>
    <x v="2"/>
    <x v="0"/>
    <s v="19:00–19:30"/>
    <s v="AlaCarte"/>
    <n v="1"/>
    <n v="33.369999999999997"/>
    <s v="Cash"/>
    <s v="In-store"/>
    <n v="5"/>
    <n v="0"/>
  </r>
  <r>
    <s v="TXN_000957"/>
    <s v="WALK_106"/>
    <x v="44"/>
    <x v="2"/>
    <x v="0"/>
    <s v="20:00–20:30"/>
    <s v="AlaCarte"/>
    <n v="3"/>
    <n v="64.59"/>
    <s v="Credit Card"/>
    <s v="Takeaway"/>
    <n v="5"/>
    <n v="0"/>
  </r>
  <r>
    <s v="TXN_000958"/>
    <s v="CORP_025"/>
    <x v="44"/>
    <x v="2"/>
    <x v="1"/>
    <s v="12:15–12:45"/>
    <s v="AlaCarte"/>
    <n v="2"/>
    <n v="47.13"/>
    <s v="Credit Card"/>
    <s v="In-store"/>
    <n v="5"/>
    <n v="0"/>
  </r>
  <r>
    <s v="TXN_000959"/>
    <s v="CORP_030"/>
    <x v="44"/>
    <x v="2"/>
    <x v="1"/>
    <s v="12:15–12:45"/>
    <s v="AlaCarte"/>
    <n v="3"/>
    <n v="80.77"/>
    <s v="Digital Wallet"/>
    <s v="In-store"/>
    <n v="5"/>
    <n v="0"/>
  </r>
  <r>
    <s v="TXN_000960"/>
    <s v="CORP_060"/>
    <x v="44"/>
    <x v="2"/>
    <x v="1"/>
    <s v="12:45–13:15"/>
    <s v="AlaCarte"/>
    <n v="5"/>
    <n v="108.66"/>
    <s v="Credit Card"/>
    <s v="In-store"/>
    <n v="5"/>
    <n v="0"/>
  </r>
  <r>
    <s v="TXN_000961"/>
    <s v="CORP_062"/>
    <x v="44"/>
    <x v="2"/>
    <x v="1"/>
    <s v="13:15–13:45"/>
    <s v="Buffet"/>
    <n v="2"/>
    <n v="40"/>
    <s v="Credit Card"/>
    <s v="Takeaway"/>
    <n v="5"/>
    <n v="1"/>
  </r>
  <r>
    <s v="TXN_000962"/>
    <s v="CORP_050"/>
    <x v="44"/>
    <x v="2"/>
    <x v="1"/>
    <s v="13:15–13:45"/>
    <s v="Buffet"/>
    <n v="4"/>
    <n v="89"/>
    <s v="Digital Wallet"/>
    <s v="In-store"/>
    <n v="5"/>
    <n v="1"/>
  </r>
  <r>
    <s v="TXN_000963"/>
    <s v="WALK_048"/>
    <x v="44"/>
    <x v="2"/>
    <x v="1"/>
    <s v="13:15–13:45"/>
    <s v="Buffet"/>
    <n v="1"/>
    <n v="20"/>
    <s v="Digital Wallet"/>
    <s v="In-store"/>
    <n v="5"/>
    <n v="1"/>
  </r>
  <r>
    <s v="TXN_000964"/>
    <s v="CORP_024"/>
    <x v="44"/>
    <x v="2"/>
    <x v="1"/>
    <s v="13:45–14:15"/>
    <s v="AlaCarte"/>
    <n v="2"/>
    <n v="27.5"/>
    <s v="Cash"/>
    <s v="Takeaway"/>
    <n v="5"/>
    <n v="0"/>
  </r>
  <r>
    <s v="TXN_000965"/>
    <s v="WALK_026"/>
    <x v="44"/>
    <x v="2"/>
    <x v="1"/>
    <s v="13:45–14:15"/>
    <s v="Buffet"/>
    <n v="3"/>
    <n v="64.5"/>
    <s v="Credit Card"/>
    <s v="In-store"/>
    <n v="5"/>
    <n v="1"/>
  </r>
  <r>
    <s v="TXN_000966"/>
    <s v="WALK_044"/>
    <x v="44"/>
    <x v="2"/>
    <x v="1"/>
    <s v="13:45–14:15"/>
    <s v="Buffet"/>
    <n v="4"/>
    <n v="84.5"/>
    <s v="Cash"/>
    <s v="In-store"/>
    <n v="5"/>
    <n v="1"/>
  </r>
  <r>
    <s v="TXN_000967"/>
    <s v="WALK_105"/>
    <x v="45"/>
    <x v="3"/>
    <x v="0"/>
    <s v="18:00–18:30"/>
    <s v="AlaCarte"/>
    <n v="3"/>
    <n v="127.69"/>
    <s v="Digital Wallet"/>
    <s v="In-store"/>
    <n v="6"/>
    <n v="0"/>
  </r>
  <r>
    <s v="TXN_000968"/>
    <s v="HOTEL_037"/>
    <x v="45"/>
    <x v="3"/>
    <x v="0"/>
    <s v="18:00–18:30"/>
    <s v="AlaCarte"/>
    <n v="5"/>
    <n v="100.07"/>
    <s v="Credit Card"/>
    <s v="In-store"/>
    <n v="6"/>
    <n v="0"/>
  </r>
  <r>
    <s v="TXN_000969"/>
    <s v="WALK_073"/>
    <x v="45"/>
    <x v="3"/>
    <x v="0"/>
    <s v="18:30–19:00"/>
    <s v="AlaCarte"/>
    <n v="1"/>
    <n v="23.02"/>
    <s v="Credit Card"/>
    <s v="In-store"/>
    <n v="6"/>
    <n v="0"/>
  </r>
  <r>
    <s v="TXN_000970"/>
    <s v="WALK_008"/>
    <x v="45"/>
    <x v="3"/>
    <x v="0"/>
    <s v="19:00–19:30"/>
    <s v="AlaCarte"/>
    <n v="2"/>
    <n v="59.12"/>
    <s v="Credit Card"/>
    <s v="In-store"/>
    <n v="6"/>
    <n v="0"/>
  </r>
  <r>
    <s v="TXN_000971"/>
    <s v="HOTEL_004"/>
    <x v="45"/>
    <x v="3"/>
    <x v="0"/>
    <s v="19:00–19:30"/>
    <s v="AlaCarte"/>
    <n v="4"/>
    <n v="120.44"/>
    <s v="Cash"/>
    <s v="In-store"/>
    <n v="6"/>
    <n v="0"/>
  </r>
  <r>
    <s v="TXN_000972"/>
    <s v="WALK_083"/>
    <x v="45"/>
    <x v="3"/>
    <x v="0"/>
    <s v="19:00–19:30"/>
    <s v="AlaCarte"/>
    <n v="5"/>
    <n v="131.12"/>
    <s v="Cash"/>
    <s v="In-store"/>
    <n v="6"/>
    <n v="0"/>
  </r>
  <r>
    <s v="TXN_000973"/>
    <s v="HOTEL_026"/>
    <x v="45"/>
    <x v="3"/>
    <x v="0"/>
    <s v="19:00–19:30"/>
    <s v="AlaCarte"/>
    <n v="1"/>
    <n v="39.85"/>
    <s v="Credit Card"/>
    <s v="In-store"/>
    <n v="6"/>
    <n v="0"/>
  </r>
  <r>
    <s v="TXN_000974"/>
    <s v="WALK_085"/>
    <x v="45"/>
    <x v="3"/>
    <x v="0"/>
    <s v="19:00–19:30"/>
    <s v="AlaCarte"/>
    <n v="1"/>
    <n v="36.200000000000003"/>
    <s v="Digital Wallet"/>
    <s v="Takeaway"/>
    <n v="6"/>
    <n v="0"/>
  </r>
  <r>
    <s v="TXN_000975"/>
    <s v="WALK_030"/>
    <x v="45"/>
    <x v="3"/>
    <x v="0"/>
    <s v="19:00–19:30"/>
    <s v="AlaCarte"/>
    <n v="2"/>
    <n v="46.89"/>
    <s v="Cash"/>
    <s v="In-store"/>
    <n v="6"/>
    <n v="0"/>
  </r>
  <r>
    <s v="TXN_000976"/>
    <s v="WALK_012"/>
    <x v="45"/>
    <x v="3"/>
    <x v="0"/>
    <s v="19:00–19:30"/>
    <s v="AlaCarte"/>
    <n v="3"/>
    <n v="61.5"/>
    <s v="Credit Card"/>
    <s v="In-store"/>
    <n v="6"/>
    <n v="0"/>
  </r>
  <r>
    <s v="TXN_000977"/>
    <s v="WALK_012"/>
    <x v="45"/>
    <x v="3"/>
    <x v="0"/>
    <s v="19:00–19:30"/>
    <s v="AlaCarte"/>
    <n v="6"/>
    <n v="150.46"/>
    <s v="Cash"/>
    <s v="In-store"/>
    <n v="6"/>
    <n v="0"/>
  </r>
  <r>
    <s v="TXN_000978"/>
    <s v="HOTEL_010"/>
    <x v="45"/>
    <x v="3"/>
    <x v="0"/>
    <s v="19:30–20:00"/>
    <s v="AlaCarte"/>
    <n v="5"/>
    <n v="260.91000000000003"/>
    <s v="Digital Wallet"/>
    <s v="Takeaway"/>
    <n v="6"/>
    <n v="0"/>
  </r>
  <r>
    <s v="TXN_000979"/>
    <s v="HOTEL_034"/>
    <x v="45"/>
    <x v="3"/>
    <x v="0"/>
    <s v="19:30–20:00"/>
    <s v="AlaCarte"/>
    <n v="3"/>
    <n v="62.37"/>
    <s v="Cash"/>
    <s v="In-store"/>
    <n v="6"/>
    <n v="0"/>
  </r>
  <r>
    <s v="TXN_000980"/>
    <s v="WALK_107"/>
    <x v="45"/>
    <x v="3"/>
    <x v="0"/>
    <s v="20:00–20:30"/>
    <s v="AlaCarte"/>
    <n v="4"/>
    <n v="199.19"/>
    <s v="Credit Card"/>
    <s v="In-store"/>
    <n v="6"/>
    <n v="0"/>
  </r>
  <r>
    <s v="TXN_000981"/>
    <s v="CORP_077"/>
    <x v="45"/>
    <x v="3"/>
    <x v="0"/>
    <s v="20:00–20:30"/>
    <s v="AlaCarte"/>
    <n v="5"/>
    <n v="310.02"/>
    <s v="Credit Card"/>
    <s v="Takeaway"/>
    <n v="6"/>
    <n v="0"/>
  </r>
  <r>
    <s v="TXN_000982"/>
    <s v="WALK_003"/>
    <x v="45"/>
    <x v="3"/>
    <x v="0"/>
    <s v="20:00–20:30"/>
    <s v="AlaCarte"/>
    <n v="4"/>
    <n v="133.25"/>
    <s v="Credit Card"/>
    <s v="Takeaway"/>
    <n v="6"/>
    <n v="0"/>
  </r>
  <r>
    <s v="TXN_000983"/>
    <s v="WALK_010"/>
    <x v="45"/>
    <x v="3"/>
    <x v="1"/>
    <s v="12:45–13:15"/>
    <s v="AlaCarte"/>
    <n v="1"/>
    <n v="28.55"/>
    <s v="Credit Card"/>
    <s v="Takeaway"/>
    <n v="6"/>
    <n v="0"/>
  </r>
  <r>
    <s v="TXN_000984"/>
    <s v="CORP_034"/>
    <x v="45"/>
    <x v="3"/>
    <x v="1"/>
    <s v="13:15–13:45"/>
    <s v="AlaCarte"/>
    <n v="2"/>
    <n v="30.47"/>
    <s v="Credit Card"/>
    <s v="In-store"/>
    <n v="6"/>
    <n v="0"/>
  </r>
  <r>
    <s v="TXN_000985"/>
    <s v="CORP_078"/>
    <x v="45"/>
    <x v="3"/>
    <x v="1"/>
    <s v="13:15–13:45"/>
    <s v="AlaCarte"/>
    <n v="2"/>
    <n v="25.04"/>
    <s v="Credit Card"/>
    <s v="In-store"/>
    <n v="6"/>
    <n v="0"/>
  </r>
  <r>
    <s v="TXN_000986"/>
    <s v="WALK_083"/>
    <x v="46"/>
    <x v="4"/>
    <x v="0"/>
    <s v="18:00–18:30"/>
    <s v="AlaCarte"/>
    <n v="3"/>
    <n v="62.35"/>
    <s v="Credit Card"/>
    <s v="In-store"/>
    <n v="7"/>
    <n v="0"/>
  </r>
  <r>
    <s v="TXN_000987"/>
    <s v="HOTEL_037"/>
    <x v="46"/>
    <x v="4"/>
    <x v="0"/>
    <s v="18:30–19:00"/>
    <s v="AlaCarte"/>
    <n v="2"/>
    <n v="55.4"/>
    <s v="Credit Card"/>
    <s v="In-store"/>
    <n v="7"/>
    <n v="0"/>
  </r>
  <r>
    <s v="TXN_000988"/>
    <s v="HOTEL_033"/>
    <x v="46"/>
    <x v="4"/>
    <x v="0"/>
    <s v="18:30–19:00"/>
    <s v="AlaCarte"/>
    <n v="2"/>
    <n v="83.46"/>
    <s v="Credit Card"/>
    <s v="Takeaway"/>
    <n v="7"/>
    <n v="0"/>
  </r>
  <r>
    <s v="TXN_000989"/>
    <s v="WALK_039"/>
    <x v="46"/>
    <x v="4"/>
    <x v="0"/>
    <s v="18:30–19:00"/>
    <s v="AlaCarte"/>
    <n v="5"/>
    <n v="193.59"/>
    <s v="Cash"/>
    <s v="In-store"/>
    <n v="7"/>
    <n v="0"/>
  </r>
  <r>
    <s v="TXN_000990"/>
    <s v="CORP_017"/>
    <x v="46"/>
    <x v="4"/>
    <x v="0"/>
    <s v="18:30–19:00"/>
    <s v="AlaCarte"/>
    <n v="1"/>
    <n v="26.05"/>
    <s v="Cash"/>
    <s v="In-store"/>
    <n v="7"/>
    <n v="0"/>
  </r>
  <r>
    <s v="TXN_000991"/>
    <s v="WALK_065"/>
    <x v="46"/>
    <x v="4"/>
    <x v="0"/>
    <s v="18:30–19:00"/>
    <s v="AlaCarte"/>
    <n v="5"/>
    <n v="148.43"/>
    <s v="Credit Card"/>
    <s v="In-store"/>
    <n v="7"/>
    <n v="0"/>
  </r>
  <r>
    <s v="TXN_000992"/>
    <s v="WALK_093"/>
    <x v="46"/>
    <x v="4"/>
    <x v="0"/>
    <s v="19:00–19:30"/>
    <s v="AlaCarte"/>
    <n v="2"/>
    <n v="66.180000000000007"/>
    <s v="Credit Card"/>
    <s v="Takeaway"/>
    <n v="7"/>
    <n v="0"/>
  </r>
  <r>
    <s v="TXN_000993"/>
    <s v="WALK_022"/>
    <x v="46"/>
    <x v="4"/>
    <x v="0"/>
    <s v="19:00–19:30"/>
    <s v="AlaCarte"/>
    <n v="3"/>
    <n v="211.2"/>
    <s v="Cash"/>
    <s v="In-store"/>
    <n v="7"/>
    <n v="0"/>
  </r>
  <r>
    <s v="TXN_000994"/>
    <s v="HOTEL_031"/>
    <x v="46"/>
    <x v="4"/>
    <x v="0"/>
    <s v="19:00–19:30"/>
    <s v="AlaCarte"/>
    <n v="4"/>
    <n v="89"/>
    <s v="Digital Wallet"/>
    <s v="In-store"/>
    <n v="7"/>
    <n v="0"/>
  </r>
  <r>
    <s v="TXN_000995"/>
    <s v="CORP_031"/>
    <x v="46"/>
    <x v="4"/>
    <x v="0"/>
    <s v="19:00–19:30"/>
    <s v="AlaCarte"/>
    <n v="1"/>
    <n v="25.61"/>
    <s v="Credit Card"/>
    <s v="Takeaway"/>
    <n v="7"/>
    <n v="0"/>
  </r>
  <r>
    <s v="TXN_000996"/>
    <s v="HOTEL_027"/>
    <x v="46"/>
    <x v="4"/>
    <x v="0"/>
    <s v="19:00–19:30"/>
    <s v="AlaCarte"/>
    <n v="3"/>
    <n v="65.790000000000006"/>
    <s v="Credit Card"/>
    <s v="In-store"/>
    <n v="7"/>
    <n v="0"/>
  </r>
  <r>
    <s v="TXN_000997"/>
    <s v="WALK_097"/>
    <x v="46"/>
    <x v="4"/>
    <x v="0"/>
    <s v="19:00–19:30"/>
    <s v="AlaCarte"/>
    <n v="2"/>
    <n v="40.53"/>
    <s v="Cash"/>
    <s v="In-store"/>
    <n v="7"/>
    <n v="0"/>
  </r>
  <r>
    <s v="TXN_000998"/>
    <s v="WALK_004"/>
    <x v="46"/>
    <x v="4"/>
    <x v="0"/>
    <s v="19:30–20:00"/>
    <s v="AlaCarte"/>
    <n v="6"/>
    <n v="169.67"/>
    <s v="Cash"/>
    <s v="In-store"/>
    <n v="7"/>
    <n v="0"/>
  </r>
  <r>
    <s v="TXN_000999"/>
    <s v="WALK_015"/>
    <x v="46"/>
    <x v="4"/>
    <x v="0"/>
    <s v="19:30–20:00"/>
    <s v="AlaCarte"/>
    <n v="1"/>
    <n v="19.440000000000001"/>
    <s v="Cash"/>
    <s v="In-store"/>
    <n v="7"/>
    <n v="0"/>
  </r>
  <r>
    <s v="TXN_001000"/>
    <s v="WALK_082"/>
    <x v="46"/>
    <x v="4"/>
    <x v="0"/>
    <s v="19:30–20:00"/>
    <s v="AlaCarte"/>
    <n v="3"/>
    <n v="52.92"/>
    <s v="Credit Card"/>
    <s v="In-store"/>
    <n v="7"/>
    <n v="0"/>
  </r>
  <r>
    <s v="TXN_001001"/>
    <s v="HOTEL_028"/>
    <x v="46"/>
    <x v="4"/>
    <x v="0"/>
    <s v="20:00–20:30"/>
    <s v="AlaCarte"/>
    <n v="3"/>
    <n v="117.22"/>
    <s v="Cash"/>
    <s v="In-store"/>
    <n v="7"/>
    <n v="0"/>
  </r>
  <r>
    <s v="TXN_001002"/>
    <s v="WALK_028"/>
    <x v="46"/>
    <x v="4"/>
    <x v="0"/>
    <s v="20:00–20:30"/>
    <s v="AlaCarte"/>
    <n v="5"/>
    <n v="111.47"/>
    <s v="Digital Wallet"/>
    <s v="Takeaway"/>
    <n v="7"/>
    <n v="0"/>
  </r>
  <r>
    <s v="TXN_001003"/>
    <s v="WALK_015"/>
    <x v="46"/>
    <x v="4"/>
    <x v="0"/>
    <s v="20:00–20:30"/>
    <s v="AlaCarte"/>
    <n v="3"/>
    <n v="61.44"/>
    <s v="Cash"/>
    <s v="In-store"/>
    <n v="7"/>
    <n v="0"/>
  </r>
  <r>
    <s v="TXN_001004"/>
    <s v="CORP_065"/>
    <x v="46"/>
    <x v="4"/>
    <x v="1"/>
    <s v="12:45–13:15"/>
    <s v="AlaCarte"/>
    <n v="5"/>
    <n v="130.13999999999999"/>
    <s v="Credit Card"/>
    <s v="In-store"/>
    <n v="7"/>
    <n v="0"/>
  </r>
  <r>
    <s v="TXN_001005"/>
    <s v="WALK_067"/>
    <x v="46"/>
    <x v="4"/>
    <x v="1"/>
    <s v="12:45–13:15"/>
    <s v="AlaCarte"/>
    <n v="2"/>
    <n v="35.86"/>
    <s v="Credit Card"/>
    <s v="In-store"/>
    <n v="7"/>
    <n v="0"/>
  </r>
  <r>
    <s v="TXN_001006"/>
    <s v="WALK_078"/>
    <x v="46"/>
    <x v="4"/>
    <x v="1"/>
    <s v="12:45–13:15"/>
    <s v="AlaCarte"/>
    <n v="4"/>
    <n v="51.18"/>
    <s v="Cash"/>
    <s v="In-store"/>
    <n v="7"/>
    <n v="0"/>
  </r>
  <r>
    <s v="TXN_001007"/>
    <s v="CORP_046"/>
    <x v="46"/>
    <x v="4"/>
    <x v="1"/>
    <s v="13:15–13:45"/>
    <s v="AlaCarte"/>
    <n v="2"/>
    <n v="13.79"/>
    <s v="Cash"/>
    <s v="In-store"/>
    <n v="7"/>
    <n v="0"/>
  </r>
  <r>
    <s v="TXN_001008"/>
    <s v="WALK_060"/>
    <x v="46"/>
    <x v="4"/>
    <x v="1"/>
    <s v="13:15–13:45"/>
    <s v="AlaCarte"/>
    <n v="5"/>
    <n v="103.25"/>
    <s v="Credit Card"/>
    <s v="Takeaway"/>
    <n v="7"/>
    <n v="0"/>
  </r>
  <r>
    <s v="TXN_001009"/>
    <s v="WALK_016"/>
    <x v="47"/>
    <x v="5"/>
    <x v="0"/>
    <s v="18:00–18:30"/>
    <s v="AlaCarte"/>
    <n v="2"/>
    <n v="96.25"/>
    <s v="Credit Card"/>
    <s v="In-store"/>
    <n v="1"/>
    <n v="0"/>
  </r>
  <r>
    <s v="TXN_001010"/>
    <s v="WALK_020"/>
    <x v="47"/>
    <x v="5"/>
    <x v="0"/>
    <s v="18:30–19:00"/>
    <s v="AlaCarte"/>
    <n v="4"/>
    <n v="79.84"/>
    <s v="Credit Card"/>
    <s v="Takeaway"/>
    <n v="1"/>
    <n v="0"/>
  </r>
  <r>
    <s v="TXN_001011"/>
    <s v="WALK_059"/>
    <x v="47"/>
    <x v="5"/>
    <x v="0"/>
    <s v="18:30–19:00"/>
    <s v="AlaCarte"/>
    <n v="2"/>
    <n v="25.85"/>
    <s v="Credit Card"/>
    <s v="In-store"/>
    <n v="1"/>
    <n v="0"/>
  </r>
  <r>
    <s v="TXN_001012"/>
    <s v="CORP_010"/>
    <x v="47"/>
    <x v="5"/>
    <x v="0"/>
    <s v="18:30–19:00"/>
    <s v="AlaCarte"/>
    <n v="4"/>
    <n v="148.77000000000001"/>
    <s v="Credit Card"/>
    <s v="In-store"/>
    <n v="1"/>
    <n v="0"/>
  </r>
  <r>
    <s v="TXN_001013"/>
    <s v="WALK_101"/>
    <x v="47"/>
    <x v="5"/>
    <x v="0"/>
    <s v="18:30–19:00"/>
    <s v="AlaCarte"/>
    <n v="2"/>
    <n v="74.77"/>
    <s v="Cash"/>
    <s v="In-store"/>
    <n v="1"/>
    <n v="0"/>
  </r>
  <r>
    <s v="TXN_001014"/>
    <s v="HOTEL_034"/>
    <x v="47"/>
    <x v="5"/>
    <x v="0"/>
    <s v="19:00–19:30"/>
    <s v="AlaCarte"/>
    <n v="2"/>
    <n v="62.88"/>
    <s v="Digital Wallet"/>
    <s v="In-store"/>
    <n v="1"/>
    <n v="0"/>
  </r>
  <r>
    <s v="TXN_001015"/>
    <s v="WALK_069"/>
    <x v="47"/>
    <x v="5"/>
    <x v="0"/>
    <s v="19:00–19:30"/>
    <s v="AlaCarte"/>
    <n v="3"/>
    <n v="82.61"/>
    <s v="Digital Wallet"/>
    <s v="Takeaway"/>
    <n v="1"/>
    <n v="0"/>
  </r>
  <r>
    <s v="TXN_001016"/>
    <s v="WALK_090"/>
    <x v="47"/>
    <x v="5"/>
    <x v="0"/>
    <s v="19:00–19:30"/>
    <s v="AlaCarte"/>
    <n v="3"/>
    <n v="105.25"/>
    <s v="Cash"/>
    <s v="In-store"/>
    <n v="1"/>
    <n v="0"/>
  </r>
  <r>
    <s v="TXN_001017"/>
    <s v="WALK_088"/>
    <x v="47"/>
    <x v="5"/>
    <x v="0"/>
    <s v="19:00–19:30"/>
    <s v="AlaCarte"/>
    <n v="4"/>
    <n v="61.67"/>
    <s v="Cash"/>
    <s v="In-store"/>
    <n v="1"/>
    <n v="0"/>
  </r>
  <r>
    <s v="TXN_001018"/>
    <s v="CORP_006"/>
    <x v="47"/>
    <x v="5"/>
    <x v="0"/>
    <s v="19:00–19:30"/>
    <s v="AlaCarte"/>
    <n v="5"/>
    <n v="136.88999999999999"/>
    <s v="Cash"/>
    <s v="Takeaway"/>
    <n v="1"/>
    <n v="0"/>
  </r>
  <r>
    <s v="TXN_001019"/>
    <s v="CORP_061"/>
    <x v="47"/>
    <x v="5"/>
    <x v="0"/>
    <s v="19:00–19:30"/>
    <s v="AlaCarte"/>
    <n v="1"/>
    <n v="50.69"/>
    <s v="Credit Card"/>
    <s v="In-store"/>
    <n v="1"/>
    <n v="0"/>
  </r>
  <r>
    <s v="TXN_001020"/>
    <s v="HOTEL_021"/>
    <x v="47"/>
    <x v="5"/>
    <x v="0"/>
    <s v="19:00–19:30"/>
    <s v="AlaCarte"/>
    <n v="2"/>
    <n v="92.29"/>
    <s v="Credit Card"/>
    <s v="Takeaway"/>
    <n v="1"/>
    <n v="0"/>
  </r>
  <r>
    <s v="TXN_001021"/>
    <s v="WALK_077"/>
    <x v="47"/>
    <x v="5"/>
    <x v="0"/>
    <s v="19:00–19:30"/>
    <s v="AlaCarte"/>
    <n v="3"/>
    <n v="77.36"/>
    <s v="Cash"/>
    <s v="In-store"/>
    <n v="1"/>
    <n v="0"/>
  </r>
  <r>
    <s v="TXN_001022"/>
    <s v="WALK_085"/>
    <x v="47"/>
    <x v="5"/>
    <x v="0"/>
    <s v="19:00–19:30"/>
    <s v="AlaCarte"/>
    <n v="1"/>
    <n v="32.74"/>
    <s v="Digital Wallet"/>
    <s v="In-store"/>
    <n v="1"/>
    <n v="0"/>
  </r>
  <r>
    <s v="TXN_001023"/>
    <s v="WALK_044"/>
    <x v="47"/>
    <x v="5"/>
    <x v="0"/>
    <s v="19:30–20:00"/>
    <s v="AlaCarte"/>
    <n v="1"/>
    <n v="27.73"/>
    <s v="Credit Card"/>
    <s v="In-store"/>
    <n v="1"/>
    <n v="0"/>
  </r>
  <r>
    <s v="TXN_001024"/>
    <s v="WALK_020"/>
    <x v="47"/>
    <x v="5"/>
    <x v="0"/>
    <s v="19:30–20:00"/>
    <s v="AlaCarte"/>
    <n v="2"/>
    <n v="30.29"/>
    <s v="Credit Card"/>
    <s v="Takeaway"/>
    <n v="1"/>
    <n v="0"/>
  </r>
  <r>
    <s v="TXN_001025"/>
    <s v="WALK_114"/>
    <x v="47"/>
    <x v="5"/>
    <x v="0"/>
    <s v="20:00–20:30"/>
    <s v="AlaCarte"/>
    <n v="6"/>
    <n v="292.02"/>
    <s v="Cash"/>
    <s v="In-store"/>
    <n v="1"/>
    <n v="0"/>
  </r>
  <r>
    <s v="TXN_001026"/>
    <s v="WALK_076"/>
    <x v="47"/>
    <x v="5"/>
    <x v="0"/>
    <s v="20:00–20:30"/>
    <s v="AlaCarte"/>
    <n v="3"/>
    <n v="105.39"/>
    <s v="Credit Card"/>
    <s v="Takeaway"/>
    <n v="1"/>
    <n v="0"/>
  </r>
  <r>
    <s v="TXN_001027"/>
    <s v="CORP_080"/>
    <x v="47"/>
    <x v="5"/>
    <x v="0"/>
    <s v="20:00–20:30"/>
    <s v="AlaCarte"/>
    <n v="3"/>
    <n v="69.63"/>
    <s v="Digital Wallet"/>
    <s v="Takeaway"/>
    <n v="1"/>
    <n v="0"/>
  </r>
  <r>
    <s v="TXN_001028"/>
    <s v="CORP_034"/>
    <x v="47"/>
    <x v="5"/>
    <x v="1"/>
    <s v="12:15–12:45"/>
    <s v="AlaCarte"/>
    <n v="2"/>
    <n v="36.729999999999997"/>
    <s v="Cash"/>
    <s v="In-store"/>
    <n v="1"/>
    <n v="0"/>
  </r>
  <r>
    <s v="TXN_001029"/>
    <s v="CORP_066"/>
    <x v="47"/>
    <x v="5"/>
    <x v="1"/>
    <s v="12:15–12:45"/>
    <s v="AlaCarte"/>
    <n v="3"/>
    <n v="25.68"/>
    <s v="Cash"/>
    <s v="In-store"/>
    <n v="1"/>
    <n v="0"/>
  </r>
  <r>
    <s v="TXN_001030"/>
    <s v="CORP_071"/>
    <x v="47"/>
    <x v="5"/>
    <x v="1"/>
    <s v="12:15–12:45"/>
    <s v="AlaCarte"/>
    <n v="1"/>
    <n v="28.82"/>
    <s v="Credit Card"/>
    <s v="In-store"/>
    <n v="1"/>
    <n v="0"/>
  </r>
  <r>
    <s v="TXN_001031"/>
    <s v="CORP_068"/>
    <x v="47"/>
    <x v="5"/>
    <x v="1"/>
    <s v="12:45–13:15"/>
    <s v="AlaCarte"/>
    <n v="2"/>
    <n v="31.72"/>
    <s v="Credit Card"/>
    <s v="Takeaway"/>
    <n v="1"/>
    <n v="0"/>
  </r>
  <r>
    <s v="TXN_001032"/>
    <s v="CORP_038"/>
    <x v="47"/>
    <x v="5"/>
    <x v="1"/>
    <s v="12:45–13:15"/>
    <s v="AlaCarte"/>
    <n v="1"/>
    <n v="18.88"/>
    <s v="Cash"/>
    <s v="Takeaway"/>
    <n v="1"/>
    <n v="0"/>
  </r>
  <r>
    <s v="TXN_001033"/>
    <s v="CORP_072"/>
    <x v="47"/>
    <x v="5"/>
    <x v="1"/>
    <s v="12:45–13:15"/>
    <s v="AlaCarte"/>
    <n v="2"/>
    <n v="37.729999999999997"/>
    <s v="Credit Card"/>
    <s v="In-store"/>
    <n v="1"/>
    <n v="0"/>
  </r>
  <r>
    <s v="TXN_001034"/>
    <s v="CORP_065"/>
    <x v="47"/>
    <x v="5"/>
    <x v="1"/>
    <s v="12:45–13:15"/>
    <s v="AlaCarte"/>
    <n v="1"/>
    <n v="36.14"/>
    <s v="Digital Wallet"/>
    <s v="In-store"/>
    <n v="1"/>
    <n v="0"/>
  </r>
  <r>
    <s v="TXN_001035"/>
    <s v="CORP_054"/>
    <x v="47"/>
    <x v="5"/>
    <x v="1"/>
    <s v="13:15–13:45"/>
    <s v="AlaCarte"/>
    <n v="3"/>
    <n v="58.07"/>
    <s v="Digital Wallet"/>
    <s v="In-store"/>
    <n v="1"/>
    <n v="0"/>
  </r>
  <r>
    <s v="TXN_001036"/>
    <s v="HOTEL_025"/>
    <x v="48"/>
    <x v="6"/>
    <x v="0"/>
    <s v="18:00–18:30"/>
    <s v="AlaCarte"/>
    <n v="1"/>
    <n v="28.93"/>
    <s v="Credit Card"/>
    <s v="In-store"/>
    <n v="2"/>
    <n v="0"/>
  </r>
  <r>
    <s v="TXN_001037"/>
    <s v="CORP_048"/>
    <x v="48"/>
    <x v="6"/>
    <x v="0"/>
    <s v="18:30–19:00"/>
    <s v="AlaCarte"/>
    <n v="2"/>
    <n v="56.64"/>
    <s v="Credit Card"/>
    <s v="In-store"/>
    <n v="2"/>
    <n v="0"/>
  </r>
  <r>
    <s v="TXN_001038"/>
    <s v="WALK_048"/>
    <x v="48"/>
    <x v="6"/>
    <x v="0"/>
    <s v="19:00–19:30"/>
    <s v="AlaCarte"/>
    <n v="3"/>
    <n v="56.15"/>
    <s v="Credit Card"/>
    <s v="In-store"/>
    <n v="2"/>
    <n v="0"/>
  </r>
  <r>
    <s v="TXN_001039"/>
    <s v="CORP_012"/>
    <x v="48"/>
    <x v="6"/>
    <x v="0"/>
    <s v="19:00–19:30"/>
    <s v="AlaCarte"/>
    <n v="2"/>
    <n v="57.27"/>
    <s v="Credit Card"/>
    <s v="In-store"/>
    <n v="2"/>
    <n v="0"/>
  </r>
  <r>
    <s v="TXN_001040"/>
    <s v="CORP_017"/>
    <x v="48"/>
    <x v="6"/>
    <x v="0"/>
    <s v="19:00–19:30"/>
    <s v="AlaCarte"/>
    <n v="2"/>
    <n v="71.75"/>
    <s v="Credit Card"/>
    <s v="In-store"/>
    <n v="2"/>
    <n v="0"/>
  </r>
  <r>
    <s v="TXN_001041"/>
    <s v="WALK_098"/>
    <x v="48"/>
    <x v="6"/>
    <x v="0"/>
    <s v="19:00–19:30"/>
    <s v="AlaCarte"/>
    <n v="3"/>
    <n v="133.82"/>
    <s v="Digital Wallet"/>
    <s v="In-store"/>
    <n v="2"/>
    <n v="0"/>
  </r>
  <r>
    <s v="TXN_001042"/>
    <s v="WALK_094"/>
    <x v="48"/>
    <x v="6"/>
    <x v="0"/>
    <s v="19:30–20:00"/>
    <s v="AlaCarte"/>
    <n v="2"/>
    <n v="86.04"/>
    <s v="Cash"/>
    <s v="In-store"/>
    <n v="2"/>
    <n v="0"/>
  </r>
  <r>
    <s v="TXN_001043"/>
    <s v="HOTEL_005"/>
    <x v="48"/>
    <x v="6"/>
    <x v="0"/>
    <s v="19:30–20:00"/>
    <s v="AlaCarte"/>
    <n v="3"/>
    <n v="57.6"/>
    <s v="Credit Card"/>
    <s v="In-store"/>
    <n v="2"/>
    <n v="0"/>
  </r>
  <r>
    <s v="TXN_001044"/>
    <s v="WALK_098"/>
    <x v="48"/>
    <x v="6"/>
    <x v="0"/>
    <s v="19:30–20:00"/>
    <s v="AlaCarte"/>
    <n v="2"/>
    <n v="79.19"/>
    <s v="Cash"/>
    <s v="In-store"/>
    <n v="2"/>
    <n v="0"/>
  </r>
  <r>
    <s v="TXN_001045"/>
    <s v="WALK_027"/>
    <x v="48"/>
    <x v="6"/>
    <x v="0"/>
    <s v="20:00–20:30"/>
    <s v="AlaCarte"/>
    <n v="2"/>
    <n v="74.12"/>
    <s v="Credit Card"/>
    <s v="In-store"/>
    <n v="2"/>
    <n v="0"/>
  </r>
  <r>
    <s v="TXN_001046"/>
    <s v="WALK_048"/>
    <x v="48"/>
    <x v="6"/>
    <x v="0"/>
    <s v="20:00–20:30"/>
    <s v="AlaCarte"/>
    <n v="4"/>
    <n v="200.31"/>
    <s v="Cash"/>
    <s v="In-store"/>
    <n v="2"/>
    <n v="0"/>
  </r>
  <r>
    <s v="TXN_001047"/>
    <s v="WALK_045"/>
    <x v="48"/>
    <x v="6"/>
    <x v="1"/>
    <s v="12:15–12:45"/>
    <s v="AlaCarte"/>
    <n v="1"/>
    <n v="10.53"/>
    <s v="Digital Wallet"/>
    <s v="In-store"/>
    <n v="2"/>
    <n v="0"/>
  </r>
  <r>
    <s v="TXN_001048"/>
    <s v="WALK_114"/>
    <x v="48"/>
    <x v="6"/>
    <x v="1"/>
    <s v="12:45–13:15"/>
    <s v="AlaCarte"/>
    <n v="2"/>
    <n v="26.2"/>
    <s v="Digital Wallet"/>
    <s v="In-store"/>
    <n v="2"/>
    <n v="0"/>
  </r>
  <r>
    <s v="TXN_001049"/>
    <s v="CORP_026"/>
    <x v="48"/>
    <x v="6"/>
    <x v="1"/>
    <s v="13:15–13:45"/>
    <s v="AlaCarte"/>
    <n v="4"/>
    <n v="68.94"/>
    <s v="Credit Card"/>
    <s v="In-store"/>
    <n v="2"/>
    <n v="0"/>
  </r>
  <r>
    <s v="TXN_001050"/>
    <s v="CORP_052"/>
    <x v="48"/>
    <x v="6"/>
    <x v="1"/>
    <s v="13:45–14:15"/>
    <s v="AlaCarte"/>
    <n v="6"/>
    <n v="128.63999999999999"/>
    <s v="Credit Card"/>
    <s v="Takeaway"/>
    <n v="2"/>
    <n v="0"/>
  </r>
  <r>
    <s v="TXN_001051"/>
    <s v="WALK_072"/>
    <x v="49"/>
    <x v="0"/>
    <x v="0"/>
    <s v="18:30–19:00"/>
    <s v="AlaCarte"/>
    <n v="3"/>
    <n v="125.03"/>
    <s v="Cash"/>
    <s v="In-store"/>
    <n v="3"/>
    <n v="0"/>
  </r>
  <r>
    <s v="TXN_001052"/>
    <s v="HOTEL_021"/>
    <x v="49"/>
    <x v="0"/>
    <x v="0"/>
    <s v="18:30–19:00"/>
    <s v="AlaCarte"/>
    <n v="2"/>
    <n v="70.03"/>
    <s v="Credit Card"/>
    <s v="Takeaway"/>
    <n v="3"/>
    <n v="0"/>
  </r>
  <r>
    <s v="TXN_001053"/>
    <s v="WALK_109"/>
    <x v="49"/>
    <x v="0"/>
    <x v="0"/>
    <s v="18:30–19:00"/>
    <s v="AlaCarte"/>
    <n v="3"/>
    <n v="139.47999999999999"/>
    <s v="Credit Card"/>
    <s v="In-store"/>
    <n v="3"/>
    <n v="0"/>
  </r>
  <r>
    <s v="TXN_001054"/>
    <s v="WALK_120"/>
    <x v="49"/>
    <x v="0"/>
    <x v="0"/>
    <s v="19:00–19:30"/>
    <s v="AlaCarte"/>
    <n v="1"/>
    <n v="24.92"/>
    <s v="Cash"/>
    <s v="Takeaway"/>
    <n v="3"/>
    <n v="0"/>
  </r>
  <r>
    <s v="TXN_001055"/>
    <s v="CORP_026"/>
    <x v="49"/>
    <x v="0"/>
    <x v="0"/>
    <s v="19:00–19:30"/>
    <s v="AlaCarte"/>
    <n v="1"/>
    <n v="16.579999999999998"/>
    <s v="Cash"/>
    <s v="In-store"/>
    <n v="3"/>
    <n v="0"/>
  </r>
  <r>
    <s v="TXN_001056"/>
    <s v="WALK_079"/>
    <x v="49"/>
    <x v="0"/>
    <x v="0"/>
    <s v="19:00–19:30"/>
    <s v="AlaCarte"/>
    <n v="3"/>
    <n v="66.7"/>
    <s v="Credit Card"/>
    <s v="In-store"/>
    <n v="3"/>
    <n v="0"/>
  </r>
  <r>
    <s v="TXN_001057"/>
    <s v="WALK_025"/>
    <x v="49"/>
    <x v="0"/>
    <x v="0"/>
    <s v="19:00–19:30"/>
    <s v="AlaCarte"/>
    <n v="5"/>
    <n v="127.9"/>
    <s v="Credit Card"/>
    <s v="In-store"/>
    <n v="3"/>
    <n v="0"/>
  </r>
  <r>
    <s v="TXN_001058"/>
    <s v="WALK_072"/>
    <x v="49"/>
    <x v="0"/>
    <x v="0"/>
    <s v="19:30–20:00"/>
    <s v="AlaCarte"/>
    <n v="3"/>
    <n v="76.19"/>
    <s v="Digital Wallet"/>
    <s v="In-store"/>
    <n v="3"/>
    <n v="0"/>
  </r>
  <r>
    <s v="TXN_001059"/>
    <s v="CORP_063"/>
    <x v="49"/>
    <x v="0"/>
    <x v="0"/>
    <s v="19:30–20:00"/>
    <s v="AlaCarte"/>
    <n v="4"/>
    <n v="130.38999999999999"/>
    <s v="Cash"/>
    <s v="In-store"/>
    <n v="3"/>
    <n v="0"/>
  </r>
  <r>
    <s v="TXN_001060"/>
    <s v="WALK_096"/>
    <x v="49"/>
    <x v="0"/>
    <x v="0"/>
    <s v="20:00–20:30"/>
    <s v="AlaCarte"/>
    <n v="5"/>
    <n v="108.41"/>
    <s v="Credit Card"/>
    <s v="Takeaway"/>
    <n v="3"/>
    <n v="0"/>
  </r>
  <r>
    <s v="TXN_001061"/>
    <s v="CORP_047"/>
    <x v="49"/>
    <x v="0"/>
    <x v="1"/>
    <s v="12:15–12:45"/>
    <s v="Buffet"/>
    <n v="4"/>
    <n v="89"/>
    <s v="Credit Card"/>
    <s v="In-store"/>
    <n v="3"/>
    <n v="1"/>
  </r>
  <r>
    <s v="TXN_001062"/>
    <s v="CORP_058"/>
    <x v="49"/>
    <x v="0"/>
    <x v="1"/>
    <s v="12:15–12:45"/>
    <s v="Buffet"/>
    <n v="3"/>
    <n v="60"/>
    <s v="Digital Wallet"/>
    <s v="In-store"/>
    <n v="3"/>
    <n v="1"/>
  </r>
  <r>
    <s v="TXN_001063"/>
    <s v="CORP_035"/>
    <x v="49"/>
    <x v="0"/>
    <x v="1"/>
    <s v="12:15–12:45"/>
    <s v="Buffet"/>
    <n v="5"/>
    <n v="113.5"/>
    <s v="Cash"/>
    <s v="In-store"/>
    <n v="3"/>
    <n v="1"/>
  </r>
  <r>
    <s v="TXN_001064"/>
    <s v="WALK_057"/>
    <x v="49"/>
    <x v="0"/>
    <x v="1"/>
    <s v="12:15–12:45"/>
    <s v="Buffet"/>
    <n v="4"/>
    <n v="84.5"/>
    <s v="Cash"/>
    <s v="In-store"/>
    <n v="3"/>
    <n v="1"/>
  </r>
  <r>
    <s v="TXN_001065"/>
    <s v="WALK_050"/>
    <x v="49"/>
    <x v="0"/>
    <x v="1"/>
    <s v="12:15–12:45"/>
    <s v="AlaCarte"/>
    <n v="2"/>
    <n v="24.21"/>
    <s v="Credit Card"/>
    <s v="Takeaway"/>
    <n v="3"/>
    <n v="0"/>
  </r>
  <r>
    <s v="TXN_001066"/>
    <s v="CORP_072"/>
    <x v="49"/>
    <x v="0"/>
    <x v="1"/>
    <s v="12:45–13:15"/>
    <s v="AlaCarte"/>
    <n v="3"/>
    <n v="104.5"/>
    <s v="Credit Card"/>
    <s v="In-store"/>
    <n v="3"/>
    <n v="0"/>
  </r>
  <r>
    <s v="TXN_001067"/>
    <s v="CORP_069"/>
    <x v="49"/>
    <x v="0"/>
    <x v="1"/>
    <s v="12:45–13:15"/>
    <s v="Buffet"/>
    <n v="4"/>
    <n v="93.5"/>
    <s v="Cash"/>
    <s v="In-store"/>
    <n v="3"/>
    <n v="1"/>
  </r>
  <r>
    <s v="TXN_001068"/>
    <s v="CORP_076"/>
    <x v="49"/>
    <x v="0"/>
    <x v="1"/>
    <s v="13:15–13:45"/>
    <s v="AlaCarte"/>
    <n v="7"/>
    <n v="116.4"/>
    <s v="Credit Card"/>
    <s v="In-store"/>
    <n v="3"/>
    <n v="0"/>
  </r>
  <r>
    <s v="TXN_001069"/>
    <s v="WALK_071"/>
    <x v="49"/>
    <x v="0"/>
    <x v="1"/>
    <s v="13:15–13:45"/>
    <s v="AlaCarte"/>
    <n v="4"/>
    <n v="80.47"/>
    <s v="Credit Card"/>
    <s v="Takeaway"/>
    <n v="3"/>
    <n v="0"/>
  </r>
  <r>
    <s v="TXN_001070"/>
    <s v="CORP_041"/>
    <x v="49"/>
    <x v="0"/>
    <x v="1"/>
    <s v="13:45–14:15"/>
    <s v="Buffet"/>
    <n v="1"/>
    <n v="24.5"/>
    <s v="Credit Card"/>
    <s v="In-store"/>
    <n v="3"/>
    <n v="1"/>
  </r>
  <r>
    <s v="TXN_001071"/>
    <s v="CORP_058"/>
    <x v="49"/>
    <x v="0"/>
    <x v="1"/>
    <s v="13:45–14:15"/>
    <s v="Buffet"/>
    <n v="3"/>
    <n v="69"/>
    <s v="Credit Card"/>
    <s v="In-store"/>
    <n v="3"/>
    <n v="1"/>
  </r>
  <r>
    <s v="TXN_001072"/>
    <s v="CORP_016"/>
    <x v="49"/>
    <x v="0"/>
    <x v="1"/>
    <s v="13:45–14:15"/>
    <s v="Buffet"/>
    <n v="5"/>
    <n v="100"/>
    <s v="Cash"/>
    <s v="In-store"/>
    <n v="3"/>
    <n v="1"/>
  </r>
  <r>
    <s v="TXN_001073"/>
    <s v="WALK_063"/>
    <x v="50"/>
    <x v="1"/>
    <x v="0"/>
    <s v="18:00–18:30"/>
    <s v="AlaCarte"/>
    <n v="4"/>
    <n v="122.51"/>
    <s v="Cash"/>
    <s v="In-store"/>
    <n v="4"/>
    <n v="0"/>
  </r>
  <r>
    <s v="TXN_001074"/>
    <s v="HOTEL_019"/>
    <x v="50"/>
    <x v="1"/>
    <x v="0"/>
    <s v="18:30–19:00"/>
    <s v="AlaCarte"/>
    <n v="1"/>
    <n v="44.59"/>
    <s v="Digital Wallet"/>
    <s v="In-store"/>
    <n v="4"/>
    <n v="0"/>
  </r>
  <r>
    <s v="TXN_001075"/>
    <s v="CORP_014"/>
    <x v="50"/>
    <x v="1"/>
    <x v="0"/>
    <s v="18:30–19:00"/>
    <s v="AlaCarte"/>
    <n v="2"/>
    <n v="69.33"/>
    <s v="Cash"/>
    <s v="In-store"/>
    <n v="4"/>
    <n v="0"/>
  </r>
  <r>
    <s v="TXN_001076"/>
    <s v="WALK_055"/>
    <x v="50"/>
    <x v="1"/>
    <x v="0"/>
    <s v="18:30–19:00"/>
    <s v="AlaCarte"/>
    <n v="4"/>
    <n v="170.45"/>
    <s v="Cash"/>
    <s v="Takeaway"/>
    <n v="4"/>
    <n v="0"/>
  </r>
  <r>
    <s v="TXN_001077"/>
    <s v="WALK_041"/>
    <x v="50"/>
    <x v="1"/>
    <x v="0"/>
    <s v="18:30–19:00"/>
    <s v="AlaCarte"/>
    <n v="4"/>
    <n v="129.13"/>
    <s v="Credit Card"/>
    <s v="In-store"/>
    <n v="4"/>
    <n v="0"/>
  </r>
  <r>
    <s v="TXN_001078"/>
    <s v="CORP_063"/>
    <x v="50"/>
    <x v="1"/>
    <x v="0"/>
    <s v="19:00–19:30"/>
    <s v="AlaCarte"/>
    <n v="2"/>
    <n v="62.03"/>
    <s v="Credit Card"/>
    <s v="In-store"/>
    <n v="4"/>
    <n v="0"/>
  </r>
  <r>
    <s v="TXN_001079"/>
    <s v="WALK_071"/>
    <x v="50"/>
    <x v="1"/>
    <x v="0"/>
    <s v="19:00–19:30"/>
    <s v="AlaCarte"/>
    <n v="2"/>
    <n v="55.44"/>
    <s v="Cash"/>
    <s v="In-store"/>
    <n v="4"/>
    <n v="0"/>
  </r>
  <r>
    <s v="TXN_001080"/>
    <s v="CORP_037"/>
    <x v="50"/>
    <x v="1"/>
    <x v="1"/>
    <s v="12:15–12:45"/>
    <s v="Buffet"/>
    <n v="2"/>
    <n v="44.5"/>
    <s v="Credit Card"/>
    <s v="In-store"/>
    <n v="4"/>
    <n v="1"/>
  </r>
  <r>
    <s v="TXN_001081"/>
    <s v="CORP_062"/>
    <x v="50"/>
    <x v="1"/>
    <x v="1"/>
    <s v="12:15–12:45"/>
    <s v="Buffet"/>
    <n v="4"/>
    <n v="80"/>
    <s v="Digital Wallet"/>
    <s v="Takeaway"/>
    <n v="4"/>
    <n v="1"/>
  </r>
  <r>
    <s v="TXN_001082"/>
    <s v="CORP_034"/>
    <x v="50"/>
    <x v="1"/>
    <x v="1"/>
    <s v="12:15–12:45"/>
    <s v="Buffet"/>
    <n v="3"/>
    <n v="60"/>
    <s v="Credit Card"/>
    <s v="Takeaway"/>
    <n v="4"/>
    <n v="1"/>
  </r>
  <r>
    <s v="TXN_001083"/>
    <s v="CORP_013"/>
    <x v="50"/>
    <x v="1"/>
    <x v="1"/>
    <s v="12:15–12:45"/>
    <s v="Buffet"/>
    <n v="4"/>
    <n v="84.5"/>
    <s v="Cash"/>
    <s v="In-store"/>
    <n v="4"/>
    <n v="1"/>
  </r>
  <r>
    <s v="TXN_001084"/>
    <s v="CORP_019"/>
    <x v="50"/>
    <x v="1"/>
    <x v="1"/>
    <s v="12:45–13:15"/>
    <s v="AlaCarte"/>
    <n v="3"/>
    <n v="36.340000000000003"/>
    <s v="Cash"/>
    <s v="In-store"/>
    <n v="4"/>
    <n v="0"/>
  </r>
  <r>
    <s v="TXN_001085"/>
    <s v="CORP_078"/>
    <x v="50"/>
    <x v="1"/>
    <x v="1"/>
    <s v="12:45–13:15"/>
    <s v="Buffet"/>
    <n v="4"/>
    <n v="80"/>
    <s v="Credit Card"/>
    <s v="In-store"/>
    <n v="4"/>
    <n v="1"/>
  </r>
  <r>
    <s v="TXN_001086"/>
    <s v="WALK_029"/>
    <x v="50"/>
    <x v="1"/>
    <x v="1"/>
    <s v="13:15–13:45"/>
    <s v="AlaCarte"/>
    <n v="4"/>
    <n v="48.16"/>
    <s v="Credit Card"/>
    <s v="In-store"/>
    <n v="4"/>
    <n v="0"/>
  </r>
  <r>
    <s v="TXN_001087"/>
    <s v="CORP_054"/>
    <x v="50"/>
    <x v="1"/>
    <x v="1"/>
    <s v="13:15–13:45"/>
    <s v="Buffet"/>
    <n v="6"/>
    <n v="129"/>
    <s v="Digital Wallet"/>
    <s v="In-store"/>
    <n v="4"/>
    <n v="1"/>
  </r>
  <r>
    <s v="TXN_001088"/>
    <s v="WALK_004"/>
    <x v="50"/>
    <x v="1"/>
    <x v="1"/>
    <s v="13:15–13:45"/>
    <s v="Buffet"/>
    <n v="4"/>
    <n v="80"/>
    <s v="Cash"/>
    <s v="In-store"/>
    <n v="4"/>
    <n v="1"/>
  </r>
  <r>
    <s v="TXN_001089"/>
    <s v="CORP_080"/>
    <x v="50"/>
    <x v="1"/>
    <x v="1"/>
    <s v="13:15–13:45"/>
    <s v="Buffet"/>
    <n v="2"/>
    <n v="49"/>
    <s v="Credit Card"/>
    <s v="In-store"/>
    <n v="4"/>
    <n v="1"/>
  </r>
  <r>
    <s v="TXN_001090"/>
    <s v="CORP_049"/>
    <x v="50"/>
    <x v="1"/>
    <x v="1"/>
    <s v="13:45–14:15"/>
    <s v="AlaCarte"/>
    <n v="2"/>
    <n v="29.97"/>
    <s v="Credit Card"/>
    <s v="Takeaway"/>
    <n v="4"/>
    <n v="0"/>
  </r>
  <r>
    <s v="TXN_001091"/>
    <s v="WALK_074"/>
    <x v="51"/>
    <x v="2"/>
    <x v="0"/>
    <s v="18:00–18:30"/>
    <s v="AlaCarte"/>
    <n v="5"/>
    <n v="97.71"/>
    <s v="Credit Card"/>
    <s v="Takeaway"/>
    <n v="5"/>
    <n v="0"/>
  </r>
  <r>
    <s v="TXN_001092"/>
    <s v="WALK_051"/>
    <x v="51"/>
    <x v="2"/>
    <x v="0"/>
    <s v="18:30–19:00"/>
    <s v="AlaCarte"/>
    <n v="2"/>
    <n v="43.66"/>
    <s v="Cash"/>
    <s v="In-store"/>
    <n v="5"/>
    <n v="0"/>
  </r>
  <r>
    <s v="TXN_001093"/>
    <s v="WALK_013"/>
    <x v="51"/>
    <x v="2"/>
    <x v="0"/>
    <s v="19:00–19:30"/>
    <s v="AlaCarte"/>
    <n v="2"/>
    <n v="45.24"/>
    <s v="Credit Card"/>
    <s v="Takeaway"/>
    <n v="5"/>
    <n v="0"/>
  </r>
  <r>
    <s v="TXN_001094"/>
    <s v="WALK_059"/>
    <x v="51"/>
    <x v="2"/>
    <x v="0"/>
    <s v="19:00–19:30"/>
    <s v="AlaCarte"/>
    <n v="1"/>
    <n v="23.89"/>
    <s v="Cash"/>
    <s v="In-store"/>
    <n v="5"/>
    <n v="0"/>
  </r>
  <r>
    <s v="TXN_001095"/>
    <s v="HOTEL_032"/>
    <x v="51"/>
    <x v="2"/>
    <x v="0"/>
    <s v="19:30–20:00"/>
    <s v="AlaCarte"/>
    <n v="3"/>
    <n v="89.79"/>
    <s v="Digital Wallet"/>
    <s v="In-store"/>
    <n v="5"/>
    <n v="0"/>
  </r>
  <r>
    <s v="TXN_001096"/>
    <s v="WALK_120"/>
    <x v="51"/>
    <x v="2"/>
    <x v="0"/>
    <s v="19:30–20:00"/>
    <s v="AlaCarte"/>
    <n v="2"/>
    <n v="54.4"/>
    <s v="Cash"/>
    <s v="In-store"/>
    <n v="5"/>
    <n v="0"/>
  </r>
  <r>
    <s v="TXN_001097"/>
    <s v="CORP_074"/>
    <x v="51"/>
    <x v="2"/>
    <x v="1"/>
    <s v="12:15–12:45"/>
    <s v="Buffet"/>
    <n v="4"/>
    <n v="84.5"/>
    <s v="Credit Card"/>
    <s v="In-store"/>
    <n v="5"/>
    <n v="1"/>
  </r>
  <r>
    <s v="TXN_001098"/>
    <s v="CORP_043"/>
    <x v="51"/>
    <x v="2"/>
    <x v="1"/>
    <s v="12:45–13:15"/>
    <s v="Buffet"/>
    <n v="4"/>
    <n v="89"/>
    <s v="Credit Card"/>
    <s v="In-store"/>
    <n v="5"/>
    <n v="1"/>
  </r>
  <r>
    <s v="TXN_001099"/>
    <s v="CORP_071"/>
    <x v="51"/>
    <x v="2"/>
    <x v="1"/>
    <s v="12:45–13:15"/>
    <s v="Buffet"/>
    <n v="3"/>
    <n v="69"/>
    <s v="Credit Card"/>
    <s v="In-store"/>
    <n v="5"/>
    <n v="1"/>
  </r>
  <r>
    <s v="TXN_001100"/>
    <s v="CORP_006"/>
    <x v="51"/>
    <x v="2"/>
    <x v="1"/>
    <s v="12:45–13:15"/>
    <s v="Buffet"/>
    <n v="1"/>
    <n v="20"/>
    <s v="Credit Card"/>
    <s v="In-store"/>
    <n v="5"/>
    <n v="1"/>
  </r>
  <r>
    <s v="TXN_001101"/>
    <s v="CORP_080"/>
    <x v="51"/>
    <x v="2"/>
    <x v="1"/>
    <s v="13:15–13:45"/>
    <s v="Buffet"/>
    <n v="4"/>
    <n v="89"/>
    <s v="Cash"/>
    <s v="In-store"/>
    <n v="5"/>
    <n v="1"/>
  </r>
  <r>
    <s v="TXN_001102"/>
    <s v="CORP_025"/>
    <x v="51"/>
    <x v="2"/>
    <x v="1"/>
    <s v="13:15–13:45"/>
    <s v="Buffet"/>
    <n v="6"/>
    <n v="129"/>
    <s v="Credit Card"/>
    <s v="Takeaway"/>
    <n v="5"/>
    <n v="1"/>
  </r>
  <r>
    <s v="TXN_001103"/>
    <s v="WALK_078"/>
    <x v="51"/>
    <x v="2"/>
    <x v="1"/>
    <s v="13:15–13:45"/>
    <s v="Buffet"/>
    <n v="3"/>
    <n v="69"/>
    <s v="Cash"/>
    <s v="In-store"/>
    <n v="5"/>
    <n v="1"/>
  </r>
  <r>
    <s v="TXN_001104"/>
    <s v="CORP_003"/>
    <x v="51"/>
    <x v="2"/>
    <x v="1"/>
    <s v="13:45–14:15"/>
    <s v="Buffet"/>
    <n v="2"/>
    <n v="40"/>
    <s v="Credit Card"/>
    <s v="In-store"/>
    <n v="5"/>
    <n v="1"/>
  </r>
  <r>
    <s v="TXN_001105"/>
    <s v="CORP_015"/>
    <x v="51"/>
    <x v="2"/>
    <x v="1"/>
    <s v="13:45–14:15"/>
    <s v="AlaCarte"/>
    <n v="2"/>
    <n v="32.72"/>
    <s v="Digital Wallet"/>
    <s v="Takeaway"/>
    <n v="5"/>
    <n v="0"/>
  </r>
  <r>
    <s v="TXN_001106"/>
    <s v="WALK_060"/>
    <x v="51"/>
    <x v="2"/>
    <x v="1"/>
    <s v="13:45–14:15"/>
    <s v="AlaCarte"/>
    <n v="2"/>
    <n v="36.36"/>
    <s v="Credit Card"/>
    <s v="In-store"/>
    <n v="5"/>
    <n v="0"/>
  </r>
  <r>
    <s v="TXN_001107"/>
    <s v="WALK_055"/>
    <x v="52"/>
    <x v="3"/>
    <x v="0"/>
    <s v="18:00–18:30"/>
    <s v="AlaCarte"/>
    <n v="6"/>
    <n v="173.81"/>
    <s v="Credit Card"/>
    <s v="Takeaway"/>
    <n v="6"/>
    <n v="0"/>
  </r>
  <r>
    <s v="TXN_001108"/>
    <s v="WALK_027"/>
    <x v="52"/>
    <x v="3"/>
    <x v="0"/>
    <s v="18:00–18:30"/>
    <s v="AlaCarte"/>
    <n v="4"/>
    <n v="123.04"/>
    <s v="Credit Card"/>
    <s v="In-store"/>
    <n v="6"/>
    <n v="0"/>
  </r>
  <r>
    <s v="TXN_001109"/>
    <s v="HOTEL_001"/>
    <x v="52"/>
    <x v="3"/>
    <x v="0"/>
    <s v="18:00–18:30"/>
    <s v="AlaCarte"/>
    <n v="4"/>
    <n v="121.53"/>
    <s v="Credit Card"/>
    <s v="In-store"/>
    <n v="6"/>
    <n v="0"/>
  </r>
  <r>
    <s v="TXN_001110"/>
    <s v="WALK_073"/>
    <x v="52"/>
    <x v="3"/>
    <x v="0"/>
    <s v="18:00–18:30"/>
    <s v="AlaCarte"/>
    <n v="2"/>
    <n v="75.42"/>
    <s v="Credit Card"/>
    <s v="In-store"/>
    <n v="6"/>
    <n v="0"/>
  </r>
  <r>
    <s v="TXN_001111"/>
    <s v="CORP_024"/>
    <x v="52"/>
    <x v="3"/>
    <x v="0"/>
    <s v="18:00–18:30"/>
    <s v="AlaCarte"/>
    <n v="3"/>
    <n v="89.69"/>
    <s v="Cash"/>
    <s v="In-store"/>
    <n v="6"/>
    <n v="0"/>
  </r>
  <r>
    <s v="TXN_001112"/>
    <s v="WALK_028"/>
    <x v="52"/>
    <x v="3"/>
    <x v="0"/>
    <s v="18:00–18:30"/>
    <s v="AlaCarte"/>
    <n v="7"/>
    <n v="245.6"/>
    <s v="Digital Wallet"/>
    <s v="Takeaway"/>
    <n v="6"/>
    <n v="0"/>
  </r>
  <r>
    <s v="TXN_001113"/>
    <s v="WALK_033"/>
    <x v="52"/>
    <x v="3"/>
    <x v="0"/>
    <s v="18:30–19:00"/>
    <s v="AlaCarte"/>
    <n v="1"/>
    <n v="45.13"/>
    <s v="Credit Card"/>
    <s v="In-store"/>
    <n v="6"/>
    <n v="0"/>
  </r>
  <r>
    <s v="TXN_001114"/>
    <s v="WALK_083"/>
    <x v="52"/>
    <x v="3"/>
    <x v="0"/>
    <s v="18:30–19:00"/>
    <s v="AlaCarte"/>
    <n v="5"/>
    <n v="90.65"/>
    <s v="Digital Wallet"/>
    <s v="In-store"/>
    <n v="6"/>
    <n v="0"/>
  </r>
  <r>
    <s v="TXN_001115"/>
    <s v="WALK_100"/>
    <x v="52"/>
    <x v="3"/>
    <x v="0"/>
    <s v="18:30–19:00"/>
    <s v="AlaCarte"/>
    <n v="4"/>
    <n v="98.25"/>
    <s v="Digital Wallet"/>
    <s v="In-store"/>
    <n v="6"/>
    <n v="0"/>
  </r>
  <r>
    <s v="TXN_001116"/>
    <s v="WALK_107"/>
    <x v="52"/>
    <x v="3"/>
    <x v="0"/>
    <s v="19:00–19:30"/>
    <s v="AlaCarte"/>
    <n v="4"/>
    <n v="91.95"/>
    <s v="Credit Card"/>
    <s v="In-store"/>
    <n v="6"/>
    <n v="0"/>
  </r>
  <r>
    <s v="TXN_001117"/>
    <s v="WALK_118"/>
    <x v="52"/>
    <x v="3"/>
    <x v="0"/>
    <s v="19:00–19:30"/>
    <s v="AlaCarte"/>
    <n v="5"/>
    <n v="132.58000000000001"/>
    <s v="Digital Wallet"/>
    <s v="Takeaway"/>
    <n v="6"/>
    <n v="0"/>
  </r>
  <r>
    <s v="TXN_001118"/>
    <s v="WALK_118"/>
    <x v="52"/>
    <x v="3"/>
    <x v="0"/>
    <s v="19:00–19:30"/>
    <s v="AlaCarte"/>
    <n v="5"/>
    <n v="106.86"/>
    <s v="Credit Card"/>
    <s v="In-store"/>
    <n v="6"/>
    <n v="0"/>
  </r>
  <r>
    <s v="TXN_001119"/>
    <s v="CORP_069"/>
    <x v="52"/>
    <x v="3"/>
    <x v="0"/>
    <s v="19:00–19:30"/>
    <s v="AlaCarte"/>
    <n v="2"/>
    <n v="52.77"/>
    <s v="Credit Card"/>
    <s v="In-store"/>
    <n v="6"/>
    <n v="0"/>
  </r>
  <r>
    <s v="TXN_001120"/>
    <s v="WALK_065"/>
    <x v="52"/>
    <x v="3"/>
    <x v="0"/>
    <s v="19:00–19:30"/>
    <s v="AlaCarte"/>
    <n v="4"/>
    <n v="208.29"/>
    <s v="Credit Card"/>
    <s v="In-store"/>
    <n v="6"/>
    <n v="0"/>
  </r>
  <r>
    <s v="TXN_001121"/>
    <s v="CORP_052"/>
    <x v="52"/>
    <x v="3"/>
    <x v="0"/>
    <s v="19:00–19:30"/>
    <s v="AlaCarte"/>
    <n v="3"/>
    <n v="76.430000000000007"/>
    <s v="Credit Card"/>
    <s v="Takeaway"/>
    <n v="6"/>
    <n v="0"/>
  </r>
  <r>
    <s v="TXN_001122"/>
    <s v="HOTEL_013"/>
    <x v="52"/>
    <x v="3"/>
    <x v="0"/>
    <s v="19:30–20:00"/>
    <s v="AlaCarte"/>
    <n v="7"/>
    <n v="167.64"/>
    <s v="Credit Card"/>
    <s v="Takeaway"/>
    <n v="6"/>
    <n v="0"/>
  </r>
  <r>
    <s v="TXN_001123"/>
    <s v="WALK_113"/>
    <x v="52"/>
    <x v="3"/>
    <x v="0"/>
    <s v="19:30–20:00"/>
    <s v="AlaCarte"/>
    <n v="3"/>
    <n v="63.48"/>
    <s v="Credit Card"/>
    <s v="In-store"/>
    <n v="6"/>
    <n v="0"/>
  </r>
  <r>
    <s v="TXN_001124"/>
    <s v="HOTEL_026"/>
    <x v="52"/>
    <x v="3"/>
    <x v="0"/>
    <s v="19:30–20:00"/>
    <s v="AlaCarte"/>
    <n v="7"/>
    <n v="219.74"/>
    <s v="Digital Wallet"/>
    <s v="In-store"/>
    <n v="6"/>
    <n v="0"/>
  </r>
  <r>
    <s v="TXN_001125"/>
    <s v="WALK_031"/>
    <x v="52"/>
    <x v="3"/>
    <x v="0"/>
    <s v="19:30–20:00"/>
    <s v="AlaCarte"/>
    <n v="3"/>
    <n v="96.26"/>
    <s v="Credit Card"/>
    <s v="In-store"/>
    <n v="6"/>
    <n v="0"/>
  </r>
  <r>
    <s v="TXN_001126"/>
    <s v="HOTEL_019"/>
    <x v="52"/>
    <x v="3"/>
    <x v="0"/>
    <s v="19:30–20:00"/>
    <s v="AlaCarte"/>
    <n v="5"/>
    <n v="117.61"/>
    <s v="Credit Card"/>
    <s v="In-store"/>
    <n v="6"/>
    <n v="0"/>
  </r>
  <r>
    <s v="TXN_001127"/>
    <s v="WALK_006"/>
    <x v="52"/>
    <x v="3"/>
    <x v="0"/>
    <s v="20:00–20:30"/>
    <s v="AlaCarte"/>
    <n v="7"/>
    <n v="281.02"/>
    <s v="Digital Wallet"/>
    <s v="Takeaway"/>
    <n v="6"/>
    <n v="0"/>
  </r>
  <r>
    <s v="TXN_001128"/>
    <s v="WALK_054"/>
    <x v="52"/>
    <x v="3"/>
    <x v="0"/>
    <s v="20:00–20:30"/>
    <s v="AlaCarte"/>
    <n v="7"/>
    <n v="108.51"/>
    <s v="Credit Card"/>
    <s v="In-store"/>
    <n v="6"/>
    <n v="0"/>
  </r>
  <r>
    <s v="TXN_001129"/>
    <s v="HOTEL_037"/>
    <x v="52"/>
    <x v="3"/>
    <x v="0"/>
    <s v="20:00–20:30"/>
    <s v="AlaCarte"/>
    <n v="3"/>
    <n v="72.87"/>
    <s v="Cash"/>
    <s v="Takeaway"/>
    <n v="6"/>
    <n v="0"/>
  </r>
  <r>
    <s v="TXN_001130"/>
    <s v="HOTEL_013"/>
    <x v="52"/>
    <x v="3"/>
    <x v="0"/>
    <s v="20:00–20:30"/>
    <s v="AlaCarte"/>
    <n v="3"/>
    <n v="76.91"/>
    <s v="Digital Wallet"/>
    <s v="Takeaway"/>
    <n v="6"/>
    <n v="0"/>
  </r>
  <r>
    <s v="TXN_001131"/>
    <s v="HOTEL_037"/>
    <x v="52"/>
    <x v="3"/>
    <x v="0"/>
    <s v="20:00–20:30"/>
    <s v="AlaCarte"/>
    <n v="4"/>
    <n v="112.1"/>
    <s v="Cash"/>
    <s v="In-store"/>
    <n v="6"/>
    <n v="0"/>
  </r>
  <r>
    <s v="TXN_001132"/>
    <s v="HOTEL_034"/>
    <x v="52"/>
    <x v="3"/>
    <x v="0"/>
    <s v="20:00–20:30"/>
    <s v="AlaCarte"/>
    <n v="6"/>
    <n v="110.32"/>
    <s v="Cash"/>
    <s v="Takeaway"/>
    <n v="6"/>
    <n v="0"/>
  </r>
  <r>
    <s v="TXN_001133"/>
    <s v="CORP_021"/>
    <x v="52"/>
    <x v="3"/>
    <x v="1"/>
    <s v="12:15–12:45"/>
    <s v="AlaCarte"/>
    <n v="2"/>
    <n v="30.13"/>
    <s v="Cash"/>
    <s v="In-store"/>
    <n v="6"/>
    <n v="0"/>
  </r>
  <r>
    <s v="TXN_001134"/>
    <s v="CORP_029"/>
    <x v="52"/>
    <x v="3"/>
    <x v="1"/>
    <s v="12:15–12:45"/>
    <s v="AlaCarte"/>
    <n v="2"/>
    <n v="39.86"/>
    <s v="Credit Card"/>
    <s v="In-store"/>
    <n v="6"/>
    <n v="0"/>
  </r>
  <r>
    <s v="TXN_001135"/>
    <s v="CORP_051"/>
    <x v="52"/>
    <x v="3"/>
    <x v="1"/>
    <s v="13:15–13:45"/>
    <s v="AlaCarte"/>
    <n v="3"/>
    <n v="70.94"/>
    <s v="Cash"/>
    <s v="Takeaway"/>
    <n v="6"/>
    <n v="0"/>
  </r>
  <r>
    <s v="TXN_001136"/>
    <s v="WALK_060"/>
    <x v="52"/>
    <x v="3"/>
    <x v="1"/>
    <s v="13:45–14:15"/>
    <s v="AlaCarte"/>
    <n v="5"/>
    <n v="51.51"/>
    <s v="Digital Wallet"/>
    <s v="In-store"/>
    <n v="6"/>
    <n v="0"/>
  </r>
  <r>
    <s v="TXN_001137"/>
    <s v="HOTEL_002"/>
    <x v="53"/>
    <x v="4"/>
    <x v="0"/>
    <s v="18:00–18:30"/>
    <s v="AlaCarte"/>
    <n v="2"/>
    <n v="45.23"/>
    <s v="Credit Card"/>
    <s v="In-store"/>
    <n v="7"/>
    <n v="0"/>
  </r>
  <r>
    <s v="TXN_001138"/>
    <s v="CORP_005"/>
    <x v="53"/>
    <x v="4"/>
    <x v="0"/>
    <s v="18:00–18:30"/>
    <s v="AlaCarte"/>
    <n v="3"/>
    <n v="41.08"/>
    <s v="Cash"/>
    <s v="In-store"/>
    <n v="7"/>
    <n v="0"/>
  </r>
  <r>
    <s v="TXN_001139"/>
    <s v="WALK_027"/>
    <x v="53"/>
    <x v="4"/>
    <x v="0"/>
    <s v="18:30–19:00"/>
    <s v="AlaCarte"/>
    <n v="2"/>
    <n v="61.35"/>
    <s v="Credit Card"/>
    <s v="In-store"/>
    <n v="7"/>
    <n v="0"/>
  </r>
  <r>
    <s v="TXN_001140"/>
    <s v="WALK_090"/>
    <x v="53"/>
    <x v="4"/>
    <x v="0"/>
    <s v="18:30–19:00"/>
    <s v="AlaCarte"/>
    <n v="3"/>
    <n v="109.6"/>
    <s v="Cash"/>
    <s v="In-store"/>
    <n v="7"/>
    <n v="0"/>
  </r>
  <r>
    <s v="TXN_001141"/>
    <s v="WALK_013"/>
    <x v="53"/>
    <x v="4"/>
    <x v="0"/>
    <s v="18:30–19:00"/>
    <s v="AlaCarte"/>
    <n v="3"/>
    <n v="81.17"/>
    <s v="Digital Wallet"/>
    <s v="In-store"/>
    <n v="7"/>
    <n v="0"/>
  </r>
  <r>
    <s v="TXN_001142"/>
    <s v="WALK_109"/>
    <x v="53"/>
    <x v="4"/>
    <x v="0"/>
    <s v="18:30–19:00"/>
    <s v="AlaCarte"/>
    <n v="3"/>
    <n v="68.66"/>
    <s v="Credit Card"/>
    <s v="In-store"/>
    <n v="7"/>
    <n v="0"/>
  </r>
  <r>
    <s v="TXN_001143"/>
    <s v="HOTEL_035"/>
    <x v="53"/>
    <x v="4"/>
    <x v="0"/>
    <s v="19:00–19:30"/>
    <s v="AlaCarte"/>
    <n v="4"/>
    <n v="108.59"/>
    <s v="Credit Card"/>
    <s v="In-store"/>
    <n v="7"/>
    <n v="0"/>
  </r>
  <r>
    <s v="TXN_001144"/>
    <s v="HOTEL_028"/>
    <x v="53"/>
    <x v="4"/>
    <x v="0"/>
    <s v="19:00–19:30"/>
    <s v="AlaCarte"/>
    <n v="3"/>
    <n v="72.849999999999994"/>
    <s v="Credit Card"/>
    <s v="In-store"/>
    <n v="7"/>
    <n v="0"/>
  </r>
  <r>
    <s v="TXN_001145"/>
    <s v="WALK_073"/>
    <x v="53"/>
    <x v="4"/>
    <x v="0"/>
    <s v="19:00–19:30"/>
    <s v="AlaCarte"/>
    <n v="6"/>
    <n v="105.07"/>
    <s v="Digital Wallet"/>
    <s v="In-store"/>
    <n v="7"/>
    <n v="0"/>
  </r>
  <r>
    <s v="TXN_001146"/>
    <s v="CORP_024"/>
    <x v="53"/>
    <x v="4"/>
    <x v="0"/>
    <s v="19:00–19:30"/>
    <s v="AlaCarte"/>
    <n v="3"/>
    <n v="67.91"/>
    <s v="Digital Wallet"/>
    <s v="In-store"/>
    <n v="7"/>
    <n v="0"/>
  </r>
  <r>
    <s v="TXN_001147"/>
    <s v="WALK_014"/>
    <x v="53"/>
    <x v="4"/>
    <x v="0"/>
    <s v="19:00–19:30"/>
    <s v="AlaCarte"/>
    <n v="3"/>
    <n v="68.31"/>
    <s v="Credit Card"/>
    <s v="In-store"/>
    <n v="7"/>
    <n v="0"/>
  </r>
  <r>
    <s v="TXN_001148"/>
    <s v="WALK_100"/>
    <x v="53"/>
    <x v="4"/>
    <x v="0"/>
    <s v="19:30–20:00"/>
    <s v="AlaCarte"/>
    <n v="6"/>
    <n v="178.28"/>
    <s v="Credit Card"/>
    <s v="In-store"/>
    <n v="7"/>
    <n v="0"/>
  </r>
  <r>
    <s v="TXN_001149"/>
    <s v="HOTEL_037"/>
    <x v="53"/>
    <x v="4"/>
    <x v="0"/>
    <s v="19:30–20:00"/>
    <s v="AlaCarte"/>
    <n v="4"/>
    <n v="152.86000000000001"/>
    <s v="Digital Wallet"/>
    <s v="In-store"/>
    <n v="7"/>
    <n v="0"/>
  </r>
  <r>
    <s v="TXN_001150"/>
    <s v="CORP_037"/>
    <x v="53"/>
    <x v="4"/>
    <x v="0"/>
    <s v="19:30–20:00"/>
    <s v="AlaCarte"/>
    <n v="2"/>
    <n v="55.02"/>
    <s v="Credit Card"/>
    <s v="In-store"/>
    <n v="7"/>
    <n v="0"/>
  </r>
  <r>
    <s v="TXN_001151"/>
    <s v="HOTEL_031"/>
    <x v="53"/>
    <x v="4"/>
    <x v="0"/>
    <s v="19:30–20:00"/>
    <s v="AlaCarte"/>
    <n v="3"/>
    <n v="55.8"/>
    <s v="Credit Card"/>
    <s v="Takeaway"/>
    <n v="7"/>
    <n v="0"/>
  </r>
  <r>
    <s v="TXN_001152"/>
    <s v="WALK_118"/>
    <x v="53"/>
    <x v="4"/>
    <x v="0"/>
    <s v="20:00–20:30"/>
    <s v="AlaCarte"/>
    <n v="6"/>
    <n v="190.42"/>
    <s v="Digital Wallet"/>
    <s v="In-store"/>
    <n v="7"/>
    <n v="0"/>
  </r>
  <r>
    <s v="TXN_001153"/>
    <s v="WALK_049"/>
    <x v="53"/>
    <x v="4"/>
    <x v="0"/>
    <s v="20:00–20:30"/>
    <s v="AlaCarte"/>
    <n v="4"/>
    <n v="75.39"/>
    <s v="Credit Card"/>
    <s v="In-store"/>
    <n v="7"/>
    <n v="0"/>
  </r>
  <r>
    <s v="TXN_001154"/>
    <s v="WALK_113"/>
    <x v="53"/>
    <x v="4"/>
    <x v="0"/>
    <s v="20:00–20:30"/>
    <s v="AlaCarte"/>
    <n v="3"/>
    <n v="89.57"/>
    <s v="Digital Wallet"/>
    <s v="Takeaway"/>
    <n v="7"/>
    <n v="0"/>
  </r>
  <r>
    <s v="TXN_001155"/>
    <s v="HOTEL_028"/>
    <x v="53"/>
    <x v="4"/>
    <x v="0"/>
    <s v="20:00–20:30"/>
    <s v="AlaCarte"/>
    <n v="2"/>
    <n v="30.57"/>
    <s v="Credit Card"/>
    <s v="In-store"/>
    <n v="7"/>
    <n v="0"/>
  </r>
  <r>
    <s v="TXN_001156"/>
    <s v="WALK_024"/>
    <x v="53"/>
    <x v="4"/>
    <x v="0"/>
    <s v="20:00–20:30"/>
    <s v="AlaCarte"/>
    <n v="2"/>
    <n v="37.86"/>
    <s v="Digital Wallet"/>
    <s v="In-store"/>
    <n v="7"/>
    <n v="0"/>
  </r>
  <r>
    <s v="TXN_001157"/>
    <s v="HOTEL_022"/>
    <x v="53"/>
    <x v="4"/>
    <x v="0"/>
    <s v="20:00–20:30"/>
    <s v="AlaCarte"/>
    <n v="2"/>
    <n v="59.8"/>
    <s v="Credit Card"/>
    <s v="In-store"/>
    <n v="7"/>
    <n v="0"/>
  </r>
  <r>
    <s v="TXN_001158"/>
    <s v="WALK_096"/>
    <x v="53"/>
    <x v="4"/>
    <x v="1"/>
    <s v="12:15–12:45"/>
    <s v="AlaCarte"/>
    <n v="2"/>
    <n v="32.33"/>
    <s v="Credit Card"/>
    <s v="Takeaway"/>
    <n v="7"/>
    <n v="0"/>
  </r>
  <r>
    <s v="TXN_001159"/>
    <s v="CORP_053"/>
    <x v="53"/>
    <x v="4"/>
    <x v="1"/>
    <s v="13:45–14:15"/>
    <s v="AlaCarte"/>
    <n v="4"/>
    <n v="72.03"/>
    <s v="Credit Card"/>
    <s v="Takeaway"/>
    <n v="7"/>
    <n v="0"/>
  </r>
  <r>
    <s v="TXN_001160"/>
    <s v="HOTEL_025"/>
    <x v="54"/>
    <x v="5"/>
    <x v="0"/>
    <s v="18:00–18:30"/>
    <s v="AlaCarte"/>
    <n v="1"/>
    <n v="25.38"/>
    <s v="Credit Card"/>
    <s v="In-store"/>
    <n v="1"/>
    <n v="0"/>
  </r>
  <r>
    <s v="TXN_001161"/>
    <s v="WALK_048"/>
    <x v="54"/>
    <x v="5"/>
    <x v="0"/>
    <s v="18:00–18:30"/>
    <s v="AlaCarte"/>
    <n v="2"/>
    <n v="56"/>
    <s v="Credit Card"/>
    <s v="In-store"/>
    <n v="1"/>
    <n v="0"/>
  </r>
  <r>
    <s v="TXN_001162"/>
    <s v="WALK_114"/>
    <x v="54"/>
    <x v="5"/>
    <x v="0"/>
    <s v="18:00–18:30"/>
    <s v="AlaCarte"/>
    <n v="2"/>
    <n v="76.59"/>
    <s v="Cash"/>
    <s v="In-store"/>
    <n v="1"/>
    <n v="0"/>
  </r>
  <r>
    <s v="TXN_001163"/>
    <s v="CORP_044"/>
    <x v="54"/>
    <x v="5"/>
    <x v="0"/>
    <s v="18:00–18:30"/>
    <s v="AlaCarte"/>
    <n v="4"/>
    <n v="107.2"/>
    <s v="Digital Wallet"/>
    <s v="In-store"/>
    <n v="1"/>
    <n v="0"/>
  </r>
  <r>
    <s v="TXN_001164"/>
    <s v="CORP_061"/>
    <x v="54"/>
    <x v="5"/>
    <x v="0"/>
    <s v="18:30–19:00"/>
    <s v="AlaCarte"/>
    <n v="4"/>
    <n v="103.73"/>
    <s v="Cash"/>
    <s v="Takeaway"/>
    <n v="1"/>
    <n v="0"/>
  </r>
  <r>
    <s v="TXN_001165"/>
    <s v="WALK_026"/>
    <x v="54"/>
    <x v="5"/>
    <x v="0"/>
    <s v="18:30–19:00"/>
    <s v="AlaCarte"/>
    <n v="3"/>
    <n v="114.53"/>
    <s v="Credit Card"/>
    <s v="Takeaway"/>
    <n v="1"/>
    <n v="0"/>
  </r>
  <r>
    <s v="TXN_001166"/>
    <s v="HOTEL_028"/>
    <x v="54"/>
    <x v="5"/>
    <x v="0"/>
    <s v="18:30–19:00"/>
    <s v="AlaCarte"/>
    <n v="3"/>
    <n v="51.83"/>
    <s v="Credit Card"/>
    <s v="Takeaway"/>
    <n v="1"/>
    <n v="0"/>
  </r>
  <r>
    <s v="TXN_001167"/>
    <s v="WALK_045"/>
    <x v="54"/>
    <x v="5"/>
    <x v="0"/>
    <s v="18:30–19:00"/>
    <s v="AlaCarte"/>
    <n v="6"/>
    <n v="299.25"/>
    <s v="Credit Card"/>
    <s v="In-store"/>
    <n v="1"/>
    <n v="0"/>
  </r>
  <r>
    <s v="TXN_001168"/>
    <s v="WALK_016"/>
    <x v="54"/>
    <x v="5"/>
    <x v="0"/>
    <s v="18:30–19:00"/>
    <s v="AlaCarte"/>
    <n v="4"/>
    <n v="105.43"/>
    <s v="Cash"/>
    <s v="In-store"/>
    <n v="1"/>
    <n v="0"/>
  </r>
  <r>
    <s v="TXN_001169"/>
    <s v="WALK_020"/>
    <x v="54"/>
    <x v="5"/>
    <x v="0"/>
    <s v="18:30–19:00"/>
    <s v="AlaCarte"/>
    <n v="5"/>
    <n v="112.4"/>
    <s v="Cash"/>
    <s v="Takeaway"/>
    <n v="1"/>
    <n v="0"/>
  </r>
  <r>
    <s v="TXN_001170"/>
    <s v="WALK_084"/>
    <x v="54"/>
    <x v="5"/>
    <x v="0"/>
    <s v="18:30–19:00"/>
    <s v="AlaCarte"/>
    <n v="1"/>
    <n v="19.420000000000002"/>
    <s v="Cash"/>
    <s v="Takeaway"/>
    <n v="1"/>
    <n v="0"/>
  </r>
  <r>
    <s v="TXN_001171"/>
    <s v="WALK_024"/>
    <x v="54"/>
    <x v="5"/>
    <x v="0"/>
    <s v="19:00–19:30"/>
    <s v="AlaCarte"/>
    <n v="1"/>
    <n v="25.83"/>
    <s v="Credit Card"/>
    <s v="In-store"/>
    <n v="1"/>
    <n v="0"/>
  </r>
  <r>
    <s v="TXN_001172"/>
    <s v="HOTEL_039"/>
    <x v="54"/>
    <x v="5"/>
    <x v="0"/>
    <s v="19:00–19:30"/>
    <s v="AlaCarte"/>
    <n v="3"/>
    <n v="65.400000000000006"/>
    <s v="Cash"/>
    <s v="In-store"/>
    <n v="1"/>
    <n v="0"/>
  </r>
  <r>
    <s v="TXN_001173"/>
    <s v="WALK_083"/>
    <x v="54"/>
    <x v="5"/>
    <x v="0"/>
    <s v="19:00–19:30"/>
    <s v="AlaCarte"/>
    <n v="3"/>
    <n v="92.74"/>
    <s v="Credit Card"/>
    <s v="In-store"/>
    <n v="1"/>
    <n v="0"/>
  </r>
  <r>
    <s v="TXN_001174"/>
    <s v="WALK_110"/>
    <x v="54"/>
    <x v="5"/>
    <x v="0"/>
    <s v="19:00–19:30"/>
    <s v="AlaCarte"/>
    <n v="6"/>
    <n v="244.69"/>
    <s v="Credit Card"/>
    <s v="In-store"/>
    <n v="1"/>
    <n v="0"/>
  </r>
  <r>
    <s v="TXN_001175"/>
    <s v="WALK_064"/>
    <x v="54"/>
    <x v="5"/>
    <x v="0"/>
    <s v="19:00–19:30"/>
    <s v="AlaCarte"/>
    <n v="5"/>
    <n v="129.66999999999999"/>
    <s v="Credit Card"/>
    <s v="In-store"/>
    <n v="1"/>
    <n v="0"/>
  </r>
  <r>
    <s v="TXN_001176"/>
    <s v="WALK_044"/>
    <x v="54"/>
    <x v="5"/>
    <x v="0"/>
    <s v="19:00–19:30"/>
    <s v="AlaCarte"/>
    <n v="6"/>
    <n v="219.77"/>
    <s v="Credit Card"/>
    <s v="Takeaway"/>
    <n v="1"/>
    <n v="0"/>
  </r>
  <r>
    <s v="TXN_001177"/>
    <s v="CORP_030"/>
    <x v="54"/>
    <x v="5"/>
    <x v="0"/>
    <s v="19:30–20:00"/>
    <s v="AlaCarte"/>
    <n v="3"/>
    <n v="86.35"/>
    <s v="Credit Card"/>
    <s v="Takeaway"/>
    <n v="1"/>
    <n v="0"/>
  </r>
  <r>
    <s v="TXN_001178"/>
    <s v="WALK_010"/>
    <x v="54"/>
    <x v="5"/>
    <x v="0"/>
    <s v="19:30–20:00"/>
    <s v="AlaCarte"/>
    <n v="3"/>
    <n v="61.57"/>
    <s v="Credit Card"/>
    <s v="In-store"/>
    <n v="1"/>
    <n v="0"/>
  </r>
  <r>
    <s v="TXN_001179"/>
    <s v="CORP_040"/>
    <x v="54"/>
    <x v="5"/>
    <x v="0"/>
    <s v="19:30–20:00"/>
    <s v="AlaCarte"/>
    <n v="2"/>
    <n v="62.52"/>
    <s v="Cash"/>
    <s v="Takeaway"/>
    <n v="1"/>
    <n v="0"/>
  </r>
  <r>
    <s v="TXN_001180"/>
    <s v="CORP_039"/>
    <x v="54"/>
    <x v="5"/>
    <x v="0"/>
    <s v="20:00–20:30"/>
    <s v="AlaCarte"/>
    <n v="4"/>
    <n v="145.13999999999999"/>
    <s v="Credit Card"/>
    <s v="In-store"/>
    <n v="1"/>
    <n v="0"/>
  </r>
  <r>
    <s v="TXN_001181"/>
    <s v="CORP_035"/>
    <x v="54"/>
    <x v="5"/>
    <x v="1"/>
    <s v="12:15–12:45"/>
    <s v="AlaCarte"/>
    <n v="4"/>
    <n v="91.67"/>
    <s v="Digital Wallet"/>
    <s v="In-store"/>
    <n v="1"/>
    <n v="0"/>
  </r>
  <r>
    <s v="TXN_001182"/>
    <s v="WALK_061"/>
    <x v="54"/>
    <x v="5"/>
    <x v="1"/>
    <s v="12:15–12:45"/>
    <s v="AlaCarte"/>
    <n v="2"/>
    <n v="53.74"/>
    <s v="Digital Wallet"/>
    <s v="In-store"/>
    <n v="1"/>
    <n v="0"/>
  </r>
  <r>
    <s v="TXN_001183"/>
    <s v="CORP_021"/>
    <x v="54"/>
    <x v="5"/>
    <x v="1"/>
    <s v="12:15–12:45"/>
    <s v="AlaCarte"/>
    <n v="1"/>
    <n v="9.85"/>
    <s v="Credit Card"/>
    <s v="In-store"/>
    <n v="1"/>
    <n v="0"/>
  </r>
  <r>
    <s v="TXN_001184"/>
    <s v="CORP_036"/>
    <x v="54"/>
    <x v="5"/>
    <x v="1"/>
    <s v="12:15–12:45"/>
    <s v="AlaCarte"/>
    <n v="3"/>
    <n v="110.39"/>
    <s v="Credit Card"/>
    <s v="In-store"/>
    <n v="1"/>
    <n v="0"/>
  </r>
  <r>
    <s v="TXN_001185"/>
    <s v="WALK_092"/>
    <x v="54"/>
    <x v="5"/>
    <x v="1"/>
    <s v="12:45–13:15"/>
    <s v="AlaCarte"/>
    <n v="2"/>
    <n v="38.46"/>
    <s v="Credit Card"/>
    <s v="In-store"/>
    <n v="1"/>
    <n v="0"/>
  </r>
  <r>
    <s v="TXN_001186"/>
    <s v="CORP_050"/>
    <x v="54"/>
    <x v="5"/>
    <x v="1"/>
    <s v="12:45–13:15"/>
    <s v="AlaCarte"/>
    <n v="3"/>
    <n v="33.03"/>
    <s v="Cash"/>
    <s v="In-store"/>
    <n v="1"/>
    <n v="0"/>
  </r>
  <r>
    <s v="TXN_001187"/>
    <s v="WALK_062"/>
    <x v="54"/>
    <x v="5"/>
    <x v="1"/>
    <s v="12:45–13:15"/>
    <s v="AlaCarte"/>
    <n v="4"/>
    <n v="55.47"/>
    <s v="Cash"/>
    <s v="Takeaway"/>
    <n v="1"/>
    <n v="0"/>
  </r>
  <r>
    <s v="TXN_001188"/>
    <s v="CORP_037"/>
    <x v="54"/>
    <x v="5"/>
    <x v="1"/>
    <s v="13:15–13:45"/>
    <s v="AlaCarte"/>
    <n v="3"/>
    <n v="35.770000000000003"/>
    <s v="Credit Card"/>
    <s v="In-store"/>
    <n v="1"/>
    <n v="0"/>
  </r>
  <r>
    <s v="TXN_001189"/>
    <s v="WALK_016"/>
    <x v="55"/>
    <x v="6"/>
    <x v="0"/>
    <s v="18:00–18:30"/>
    <s v="AlaCarte"/>
    <n v="2"/>
    <n v="75.38"/>
    <s v="Credit Card"/>
    <s v="In-store"/>
    <n v="2"/>
    <n v="0"/>
  </r>
  <r>
    <s v="TXN_001190"/>
    <s v="WALK_088"/>
    <x v="55"/>
    <x v="6"/>
    <x v="0"/>
    <s v="18:30–19:00"/>
    <s v="AlaCarte"/>
    <n v="3"/>
    <n v="74.7"/>
    <s v="Credit Card"/>
    <s v="In-store"/>
    <n v="2"/>
    <n v="0"/>
  </r>
  <r>
    <s v="TXN_001191"/>
    <s v="WALK_030"/>
    <x v="55"/>
    <x v="6"/>
    <x v="0"/>
    <s v="19:00–19:30"/>
    <s v="AlaCarte"/>
    <n v="2"/>
    <n v="79.010000000000005"/>
    <s v="Digital Wallet"/>
    <s v="Takeaway"/>
    <n v="2"/>
    <n v="0"/>
  </r>
  <r>
    <s v="TXN_001192"/>
    <s v="WALK_024"/>
    <x v="55"/>
    <x v="6"/>
    <x v="0"/>
    <s v="19:00–19:30"/>
    <s v="AlaCarte"/>
    <n v="3"/>
    <n v="76.3"/>
    <s v="Credit Card"/>
    <s v="In-store"/>
    <n v="2"/>
    <n v="0"/>
  </r>
  <r>
    <s v="TXN_001193"/>
    <s v="WALK_093"/>
    <x v="55"/>
    <x v="6"/>
    <x v="0"/>
    <s v="19:00–19:30"/>
    <s v="AlaCarte"/>
    <n v="3"/>
    <n v="80.930000000000007"/>
    <s v="Credit Card"/>
    <s v="In-store"/>
    <n v="2"/>
    <n v="0"/>
  </r>
  <r>
    <s v="TXN_001194"/>
    <s v="WALK_080"/>
    <x v="55"/>
    <x v="6"/>
    <x v="0"/>
    <s v="19:00–19:30"/>
    <s v="AlaCarte"/>
    <n v="2"/>
    <n v="83.56"/>
    <s v="Digital Wallet"/>
    <s v="In-store"/>
    <n v="2"/>
    <n v="0"/>
  </r>
  <r>
    <s v="TXN_001195"/>
    <s v="WALK_048"/>
    <x v="55"/>
    <x v="6"/>
    <x v="0"/>
    <s v="19:00–19:30"/>
    <s v="AlaCarte"/>
    <n v="3"/>
    <n v="112.01"/>
    <s v="Credit Card"/>
    <s v="In-store"/>
    <n v="2"/>
    <n v="0"/>
  </r>
  <r>
    <s v="TXN_001196"/>
    <s v="CORP_013"/>
    <x v="55"/>
    <x v="6"/>
    <x v="0"/>
    <s v="19:30–20:00"/>
    <s v="AlaCarte"/>
    <n v="3"/>
    <n v="82.06"/>
    <s v="Digital Wallet"/>
    <s v="Takeaway"/>
    <n v="2"/>
    <n v="0"/>
  </r>
  <r>
    <s v="TXN_001197"/>
    <s v="WALK_049"/>
    <x v="55"/>
    <x v="6"/>
    <x v="0"/>
    <s v="19:30–20:00"/>
    <s v="AlaCarte"/>
    <n v="2"/>
    <n v="23.58"/>
    <s v="Credit Card"/>
    <s v="Takeaway"/>
    <n v="2"/>
    <n v="0"/>
  </r>
  <r>
    <s v="TXN_001198"/>
    <s v="HOTEL_004"/>
    <x v="55"/>
    <x v="6"/>
    <x v="0"/>
    <s v="19:30–20:00"/>
    <s v="AlaCarte"/>
    <n v="5"/>
    <n v="192.39"/>
    <s v="Credit Card"/>
    <s v="In-store"/>
    <n v="2"/>
    <n v="0"/>
  </r>
  <r>
    <s v="TXN_001199"/>
    <s v="CORP_078"/>
    <x v="55"/>
    <x v="6"/>
    <x v="0"/>
    <s v="20:00–20:30"/>
    <s v="AlaCarte"/>
    <n v="2"/>
    <n v="59.83"/>
    <s v="Cash"/>
    <s v="In-store"/>
    <n v="2"/>
    <n v="0"/>
  </r>
  <r>
    <s v="TXN_001200"/>
    <s v="WALK_024"/>
    <x v="55"/>
    <x v="6"/>
    <x v="0"/>
    <s v="20:00–20:30"/>
    <s v="AlaCarte"/>
    <n v="5"/>
    <n v="205.06"/>
    <s v="Credit Card"/>
    <s v="Takeaway"/>
    <n v="2"/>
    <n v="0"/>
  </r>
  <r>
    <s v="TXN_001201"/>
    <s v="CORP_065"/>
    <x v="55"/>
    <x v="6"/>
    <x v="0"/>
    <s v="20:00–20:30"/>
    <s v="AlaCarte"/>
    <n v="2"/>
    <n v="64.09"/>
    <s v="Cash"/>
    <s v="Takeaway"/>
    <n v="2"/>
    <n v="0"/>
  </r>
  <r>
    <s v="TXN_001202"/>
    <s v="WALK_066"/>
    <x v="55"/>
    <x v="6"/>
    <x v="1"/>
    <s v="12:15–12:45"/>
    <s v="AlaCarte"/>
    <n v="3"/>
    <n v="45.98"/>
    <s v="Credit Card"/>
    <s v="In-store"/>
    <n v="2"/>
    <n v="0"/>
  </r>
  <r>
    <s v="TXN_001203"/>
    <s v="CORP_063"/>
    <x v="55"/>
    <x v="6"/>
    <x v="1"/>
    <s v="12:15–12:45"/>
    <s v="AlaCarte"/>
    <n v="3"/>
    <n v="66.97"/>
    <s v="Credit Card"/>
    <s v="In-store"/>
    <n v="2"/>
    <n v="0"/>
  </r>
  <r>
    <s v="TXN_001204"/>
    <s v="WALK_104"/>
    <x v="55"/>
    <x v="6"/>
    <x v="1"/>
    <s v="12:15–12:45"/>
    <s v="AlaCarte"/>
    <n v="5"/>
    <n v="113.1"/>
    <s v="Credit Card"/>
    <s v="Takeaway"/>
    <n v="2"/>
    <n v="0"/>
  </r>
  <r>
    <s v="TXN_001205"/>
    <s v="CORP_015"/>
    <x v="55"/>
    <x v="6"/>
    <x v="1"/>
    <s v="12:15–12:45"/>
    <s v="AlaCarte"/>
    <n v="2"/>
    <n v="39.85"/>
    <s v="Cash"/>
    <s v="In-store"/>
    <n v="2"/>
    <n v="0"/>
  </r>
  <r>
    <s v="TXN_001206"/>
    <s v="CORP_038"/>
    <x v="55"/>
    <x v="6"/>
    <x v="1"/>
    <s v="13:15–13:45"/>
    <s v="AlaCarte"/>
    <n v="1"/>
    <n v="8.24"/>
    <s v="Digital Wallet"/>
    <s v="In-store"/>
    <n v="2"/>
    <n v="0"/>
  </r>
  <r>
    <s v="TXN_001207"/>
    <s v="WALK_002"/>
    <x v="55"/>
    <x v="6"/>
    <x v="1"/>
    <s v="13:15–13:45"/>
    <s v="AlaCarte"/>
    <n v="2"/>
    <n v="76.22"/>
    <s v="Digital Wallet"/>
    <s v="In-store"/>
    <n v="2"/>
    <n v="0"/>
  </r>
  <r>
    <s v="TXN_001208"/>
    <s v="WALK_114"/>
    <x v="55"/>
    <x v="6"/>
    <x v="1"/>
    <s v="13:45–14:15"/>
    <s v="AlaCarte"/>
    <n v="2"/>
    <n v="20.350000000000001"/>
    <s v="Credit Card"/>
    <s v="In-store"/>
    <n v="2"/>
    <n v="0"/>
  </r>
  <r>
    <s v="TXN_001209"/>
    <s v="WALK_015"/>
    <x v="55"/>
    <x v="6"/>
    <x v="1"/>
    <s v="13:45–14:15"/>
    <s v="AlaCarte"/>
    <n v="3"/>
    <n v="81.430000000000007"/>
    <s v="Cash"/>
    <s v="In-store"/>
    <n v="2"/>
    <n v="0"/>
  </r>
  <r>
    <s v="TXN_001210"/>
    <s v="CORP_051"/>
    <x v="55"/>
    <x v="6"/>
    <x v="1"/>
    <s v="13:45–14:15"/>
    <s v="AlaCarte"/>
    <n v="3"/>
    <n v="46.63"/>
    <s v="Digital Wallet"/>
    <s v="Takeaway"/>
    <n v="2"/>
    <n v="0"/>
  </r>
  <r>
    <s v="TXN_001211"/>
    <s v="WALK_097"/>
    <x v="56"/>
    <x v="0"/>
    <x v="0"/>
    <s v="18:00–18:30"/>
    <s v="AlaCarte"/>
    <n v="1"/>
    <n v="36.56"/>
    <s v="Cash"/>
    <s v="In-store"/>
    <n v="3"/>
    <n v="0"/>
  </r>
  <r>
    <s v="TXN_001212"/>
    <s v="WALK_108"/>
    <x v="56"/>
    <x v="0"/>
    <x v="0"/>
    <s v="18:00–18:30"/>
    <s v="AlaCarte"/>
    <n v="2"/>
    <n v="101.63"/>
    <s v="Credit Card"/>
    <s v="In-store"/>
    <n v="3"/>
    <n v="0"/>
  </r>
  <r>
    <s v="TXN_001213"/>
    <s v="WALK_093"/>
    <x v="56"/>
    <x v="0"/>
    <x v="0"/>
    <s v="18:00–18:30"/>
    <s v="AlaCarte"/>
    <n v="1"/>
    <n v="28.56"/>
    <s v="Digital Wallet"/>
    <s v="In-store"/>
    <n v="3"/>
    <n v="0"/>
  </r>
  <r>
    <s v="TXN_001214"/>
    <s v="WALK_070"/>
    <x v="56"/>
    <x v="0"/>
    <x v="0"/>
    <s v="18:00–18:30"/>
    <s v="AlaCarte"/>
    <n v="2"/>
    <n v="96.01"/>
    <s v="Credit Card"/>
    <s v="Takeaway"/>
    <n v="3"/>
    <n v="0"/>
  </r>
  <r>
    <s v="TXN_001215"/>
    <s v="WALK_083"/>
    <x v="56"/>
    <x v="0"/>
    <x v="0"/>
    <s v="18:30–19:00"/>
    <s v="AlaCarte"/>
    <n v="4"/>
    <n v="81.33"/>
    <s v="Credit Card"/>
    <s v="In-store"/>
    <n v="3"/>
    <n v="0"/>
  </r>
  <r>
    <s v="TXN_001216"/>
    <s v="CORP_030"/>
    <x v="56"/>
    <x v="0"/>
    <x v="0"/>
    <s v="19:00–19:30"/>
    <s v="AlaCarte"/>
    <n v="1"/>
    <n v="50.85"/>
    <s v="Cash"/>
    <s v="In-store"/>
    <n v="3"/>
    <n v="0"/>
  </r>
  <r>
    <s v="TXN_001217"/>
    <s v="WALK_082"/>
    <x v="56"/>
    <x v="0"/>
    <x v="0"/>
    <s v="19:00–19:30"/>
    <s v="AlaCarte"/>
    <n v="6"/>
    <n v="200.25"/>
    <s v="Cash"/>
    <s v="In-store"/>
    <n v="3"/>
    <n v="0"/>
  </r>
  <r>
    <s v="TXN_001218"/>
    <s v="WALK_107"/>
    <x v="56"/>
    <x v="0"/>
    <x v="0"/>
    <s v="19:30–20:00"/>
    <s v="AlaCarte"/>
    <n v="3"/>
    <n v="74.709999999999994"/>
    <s v="Digital Wallet"/>
    <s v="In-store"/>
    <n v="3"/>
    <n v="0"/>
  </r>
  <r>
    <s v="TXN_001219"/>
    <s v="CORP_041"/>
    <x v="56"/>
    <x v="0"/>
    <x v="0"/>
    <s v="19:30–20:00"/>
    <s v="AlaCarte"/>
    <n v="3"/>
    <n v="49.94"/>
    <s v="Credit Card"/>
    <s v="In-store"/>
    <n v="3"/>
    <n v="0"/>
  </r>
  <r>
    <s v="TXN_001220"/>
    <s v="HOTEL_024"/>
    <x v="56"/>
    <x v="0"/>
    <x v="0"/>
    <s v="20:00–20:30"/>
    <s v="AlaCarte"/>
    <n v="2"/>
    <n v="66.63"/>
    <s v="Credit Card"/>
    <s v="In-store"/>
    <n v="3"/>
    <n v="0"/>
  </r>
  <r>
    <s v="TXN_001221"/>
    <s v="WALK_042"/>
    <x v="56"/>
    <x v="0"/>
    <x v="0"/>
    <s v="20:00–20:30"/>
    <s v="AlaCarte"/>
    <n v="2"/>
    <n v="54.39"/>
    <s v="Digital Wallet"/>
    <s v="In-store"/>
    <n v="3"/>
    <n v="0"/>
  </r>
  <r>
    <s v="TXN_001222"/>
    <s v="HOTEL_019"/>
    <x v="56"/>
    <x v="0"/>
    <x v="0"/>
    <s v="20:00–20:30"/>
    <s v="AlaCarte"/>
    <n v="4"/>
    <n v="82.62"/>
    <s v="Digital Wallet"/>
    <s v="In-store"/>
    <n v="3"/>
    <n v="0"/>
  </r>
  <r>
    <s v="TXN_001223"/>
    <s v="CORP_067"/>
    <x v="56"/>
    <x v="0"/>
    <x v="1"/>
    <s v="12:15–12:45"/>
    <s v="Buffet"/>
    <n v="3"/>
    <n v="73.5"/>
    <s v="Digital Wallet"/>
    <s v="Takeaway"/>
    <n v="3"/>
    <n v="1"/>
  </r>
  <r>
    <s v="TXN_001224"/>
    <s v="WALK_110"/>
    <x v="56"/>
    <x v="0"/>
    <x v="1"/>
    <s v="12:15–12:45"/>
    <s v="AlaCarte"/>
    <n v="2"/>
    <n v="50.52"/>
    <s v="Credit Card"/>
    <s v="In-store"/>
    <n v="3"/>
    <n v="0"/>
  </r>
  <r>
    <s v="TXN_001225"/>
    <s v="CORP_067"/>
    <x v="56"/>
    <x v="0"/>
    <x v="1"/>
    <s v="12:15–12:45"/>
    <s v="Buffet"/>
    <n v="2"/>
    <n v="49"/>
    <s v="Credit Card"/>
    <s v="In-store"/>
    <n v="3"/>
    <n v="1"/>
  </r>
  <r>
    <s v="TXN_001226"/>
    <s v="CORP_008"/>
    <x v="56"/>
    <x v="0"/>
    <x v="1"/>
    <s v="12:45–13:15"/>
    <s v="Buffet"/>
    <n v="3"/>
    <n v="64.5"/>
    <s v="Credit Card"/>
    <s v="In-store"/>
    <n v="3"/>
    <n v="1"/>
  </r>
  <r>
    <s v="TXN_001227"/>
    <s v="CORP_015"/>
    <x v="56"/>
    <x v="0"/>
    <x v="1"/>
    <s v="12:45–13:15"/>
    <s v="Buffet"/>
    <n v="6"/>
    <n v="142.5"/>
    <s v="Credit Card"/>
    <s v="In-store"/>
    <n v="3"/>
    <n v="1"/>
  </r>
  <r>
    <s v="TXN_001228"/>
    <s v="WALK_033"/>
    <x v="56"/>
    <x v="0"/>
    <x v="1"/>
    <s v="12:45–13:15"/>
    <s v="AlaCarte"/>
    <n v="6"/>
    <n v="90.06"/>
    <s v="Credit Card"/>
    <s v="Takeaway"/>
    <n v="3"/>
    <n v="0"/>
  </r>
  <r>
    <s v="TXN_001229"/>
    <s v="CORP_072"/>
    <x v="56"/>
    <x v="0"/>
    <x v="1"/>
    <s v="12:45–13:15"/>
    <s v="Buffet"/>
    <n v="4"/>
    <n v="89"/>
    <s v="Cash"/>
    <s v="In-store"/>
    <n v="3"/>
    <n v="1"/>
  </r>
  <r>
    <s v="TXN_001230"/>
    <s v="WALK_016"/>
    <x v="56"/>
    <x v="0"/>
    <x v="1"/>
    <s v="12:45–13:15"/>
    <s v="Buffet"/>
    <n v="1"/>
    <n v="24.5"/>
    <s v="Digital Wallet"/>
    <s v="In-store"/>
    <n v="3"/>
    <n v="1"/>
  </r>
  <r>
    <s v="TXN_001231"/>
    <s v="CORP_050"/>
    <x v="56"/>
    <x v="0"/>
    <x v="1"/>
    <s v="13:15–13:45"/>
    <s v="Buffet"/>
    <n v="3"/>
    <n v="64.5"/>
    <s v="Digital Wallet"/>
    <s v="In-store"/>
    <n v="3"/>
    <n v="1"/>
  </r>
  <r>
    <s v="TXN_001232"/>
    <s v="CORP_037"/>
    <x v="56"/>
    <x v="0"/>
    <x v="1"/>
    <s v="13:15–13:45"/>
    <s v="Buffet"/>
    <n v="4"/>
    <n v="84.5"/>
    <s v="Credit Card"/>
    <s v="In-store"/>
    <n v="3"/>
    <n v="1"/>
  </r>
  <r>
    <s v="TXN_001233"/>
    <s v="CORP_050"/>
    <x v="56"/>
    <x v="0"/>
    <x v="1"/>
    <s v="13:45–14:15"/>
    <s v="Buffet"/>
    <n v="2"/>
    <n v="40"/>
    <s v="Cash"/>
    <s v="In-store"/>
    <n v="3"/>
    <n v="1"/>
  </r>
  <r>
    <s v="TXN_001234"/>
    <s v="CORP_034"/>
    <x v="56"/>
    <x v="0"/>
    <x v="1"/>
    <s v="13:45–14:15"/>
    <s v="Buffet"/>
    <n v="3"/>
    <n v="64.5"/>
    <s v="Cash"/>
    <s v="In-store"/>
    <n v="3"/>
    <n v="1"/>
  </r>
  <r>
    <s v="TXN_001235"/>
    <s v="CORP_062"/>
    <x v="56"/>
    <x v="0"/>
    <x v="1"/>
    <s v="13:45–14:15"/>
    <s v="Buffet"/>
    <n v="1"/>
    <n v="20"/>
    <s v="Cash"/>
    <s v="In-store"/>
    <n v="3"/>
    <n v="1"/>
  </r>
  <r>
    <s v="TXN_001236"/>
    <s v="HOTEL_013"/>
    <x v="57"/>
    <x v="1"/>
    <x v="0"/>
    <s v="18:00–18:30"/>
    <s v="AlaCarte"/>
    <n v="4"/>
    <n v="135.47"/>
    <s v="Cash"/>
    <s v="In-store"/>
    <n v="4"/>
    <n v="0"/>
  </r>
  <r>
    <s v="TXN_001237"/>
    <s v="HOTEL_006"/>
    <x v="57"/>
    <x v="1"/>
    <x v="0"/>
    <s v="18:00–18:30"/>
    <s v="AlaCarte"/>
    <n v="2"/>
    <n v="45.15"/>
    <s v="Credit Card"/>
    <s v="In-store"/>
    <n v="4"/>
    <n v="0"/>
  </r>
  <r>
    <s v="TXN_001238"/>
    <s v="CORP_079"/>
    <x v="57"/>
    <x v="1"/>
    <x v="0"/>
    <s v="18:30–19:00"/>
    <s v="AlaCarte"/>
    <n v="4"/>
    <n v="178.01"/>
    <s v="Cash"/>
    <s v="Takeaway"/>
    <n v="4"/>
    <n v="0"/>
  </r>
  <r>
    <s v="TXN_001239"/>
    <s v="WALK_087"/>
    <x v="57"/>
    <x v="1"/>
    <x v="0"/>
    <s v="18:30–19:00"/>
    <s v="AlaCarte"/>
    <n v="2"/>
    <n v="120.28"/>
    <s v="Credit Card"/>
    <s v="In-store"/>
    <n v="4"/>
    <n v="0"/>
  </r>
  <r>
    <s v="TXN_001240"/>
    <s v="WALK_030"/>
    <x v="57"/>
    <x v="1"/>
    <x v="0"/>
    <s v="18:30–19:00"/>
    <s v="AlaCarte"/>
    <n v="2"/>
    <n v="26.35"/>
    <s v="Credit Card"/>
    <s v="In-store"/>
    <n v="4"/>
    <n v="0"/>
  </r>
  <r>
    <s v="TXN_001241"/>
    <s v="HOTEL_026"/>
    <x v="57"/>
    <x v="1"/>
    <x v="0"/>
    <s v="19:00–19:30"/>
    <s v="AlaCarte"/>
    <n v="3"/>
    <n v="94.18"/>
    <s v="Credit Card"/>
    <s v="In-store"/>
    <n v="4"/>
    <n v="0"/>
  </r>
  <r>
    <s v="TXN_001242"/>
    <s v="WALK_059"/>
    <x v="57"/>
    <x v="1"/>
    <x v="0"/>
    <s v="19:00–19:30"/>
    <s v="AlaCarte"/>
    <n v="2"/>
    <n v="105.06"/>
    <s v="Credit Card"/>
    <s v="In-store"/>
    <n v="4"/>
    <n v="0"/>
  </r>
  <r>
    <s v="TXN_001243"/>
    <s v="WALK_098"/>
    <x v="57"/>
    <x v="1"/>
    <x v="0"/>
    <s v="19:00–19:30"/>
    <s v="AlaCarte"/>
    <n v="3"/>
    <n v="71.25"/>
    <s v="Cash"/>
    <s v="In-store"/>
    <n v="4"/>
    <n v="0"/>
  </r>
  <r>
    <s v="TXN_001244"/>
    <s v="WALK_095"/>
    <x v="57"/>
    <x v="1"/>
    <x v="0"/>
    <s v="19:30–20:00"/>
    <s v="AlaCarte"/>
    <n v="3"/>
    <n v="87.6"/>
    <s v="Cash"/>
    <s v="In-store"/>
    <n v="4"/>
    <n v="0"/>
  </r>
  <r>
    <s v="TXN_001245"/>
    <s v="WALK_080"/>
    <x v="57"/>
    <x v="1"/>
    <x v="0"/>
    <s v="20:00–20:30"/>
    <s v="AlaCarte"/>
    <n v="2"/>
    <n v="59.19"/>
    <s v="Credit Card"/>
    <s v="Takeaway"/>
    <n v="4"/>
    <n v="0"/>
  </r>
  <r>
    <s v="TXN_001246"/>
    <s v="WALK_082"/>
    <x v="57"/>
    <x v="1"/>
    <x v="0"/>
    <s v="20:00–20:30"/>
    <s v="AlaCarte"/>
    <n v="1"/>
    <n v="40.06"/>
    <s v="Digital Wallet"/>
    <s v="In-store"/>
    <n v="4"/>
    <n v="0"/>
  </r>
  <r>
    <s v="TXN_001247"/>
    <s v="WALK_111"/>
    <x v="57"/>
    <x v="1"/>
    <x v="1"/>
    <s v="12:15–12:45"/>
    <s v="AlaCarte"/>
    <n v="2"/>
    <n v="37.14"/>
    <s v="Credit Card"/>
    <s v="In-store"/>
    <n v="4"/>
    <n v="0"/>
  </r>
  <r>
    <s v="TXN_001248"/>
    <s v="CORP_007"/>
    <x v="57"/>
    <x v="1"/>
    <x v="1"/>
    <s v="12:15–12:45"/>
    <s v="Buffet"/>
    <n v="1"/>
    <n v="20"/>
    <s v="Digital Wallet"/>
    <s v="In-store"/>
    <n v="4"/>
    <n v="1"/>
  </r>
  <r>
    <s v="TXN_001249"/>
    <s v="CORP_066"/>
    <x v="57"/>
    <x v="1"/>
    <x v="1"/>
    <s v="12:45–13:15"/>
    <s v="AlaCarte"/>
    <n v="3"/>
    <n v="47.17"/>
    <s v="Digital Wallet"/>
    <s v="In-store"/>
    <n v="4"/>
    <n v="0"/>
  </r>
  <r>
    <s v="TXN_001250"/>
    <s v="CORP_052"/>
    <x v="57"/>
    <x v="1"/>
    <x v="1"/>
    <s v="12:45–13:15"/>
    <s v="Buffet"/>
    <n v="5"/>
    <n v="104.5"/>
    <s v="Cash"/>
    <s v="In-store"/>
    <n v="4"/>
    <n v="1"/>
  </r>
  <r>
    <s v="TXN_001251"/>
    <s v="WALK_112"/>
    <x v="57"/>
    <x v="1"/>
    <x v="1"/>
    <s v="12:45–13:15"/>
    <s v="AlaCarte"/>
    <n v="5"/>
    <n v="52.44"/>
    <s v="Cash"/>
    <s v="In-store"/>
    <n v="4"/>
    <n v="0"/>
  </r>
  <r>
    <s v="TXN_001252"/>
    <s v="CORP_052"/>
    <x v="57"/>
    <x v="1"/>
    <x v="1"/>
    <s v="13:15–13:45"/>
    <s v="AlaCarte"/>
    <n v="3"/>
    <n v="76.650000000000006"/>
    <s v="Credit Card"/>
    <s v="In-store"/>
    <n v="4"/>
    <n v="0"/>
  </r>
  <r>
    <s v="TXN_001253"/>
    <s v="CORP_073"/>
    <x v="57"/>
    <x v="1"/>
    <x v="1"/>
    <s v="13:15–13:45"/>
    <s v="AlaCarte"/>
    <n v="3"/>
    <n v="43.03"/>
    <s v="Credit Card"/>
    <s v="In-store"/>
    <n v="4"/>
    <n v="0"/>
  </r>
  <r>
    <s v="TXN_001254"/>
    <s v="CORP_073"/>
    <x v="57"/>
    <x v="1"/>
    <x v="1"/>
    <s v="13:15–13:45"/>
    <s v="Buffet"/>
    <n v="3"/>
    <n v="64.5"/>
    <s v="Digital Wallet"/>
    <s v="In-store"/>
    <n v="4"/>
    <n v="1"/>
  </r>
  <r>
    <s v="TXN_001255"/>
    <s v="CORP_016"/>
    <x v="57"/>
    <x v="1"/>
    <x v="1"/>
    <s v="13:15–13:45"/>
    <s v="Buffet"/>
    <n v="1"/>
    <n v="20"/>
    <s v="Cash"/>
    <s v="In-store"/>
    <n v="4"/>
    <n v="1"/>
  </r>
  <r>
    <s v="TXN_001256"/>
    <s v="CORP_075"/>
    <x v="57"/>
    <x v="1"/>
    <x v="1"/>
    <s v="13:45–14:15"/>
    <s v="Buffet"/>
    <n v="3"/>
    <n v="64.5"/>
    <s v="Credit Card"/>
    <s v="In-store"/>
    <n v="4"/>
    <n v="1"/>
  </r>
  <r>
    <s v="TXN_001257"/>
    <s v="WALK_017"/>
    <x v="57"/>
    <x v="1"/>
    <x v="1"/>
    <s v="13:45–14:15"/>
    <s v="AlaCarte"/>
    <n v="4"/>
    <n v="55.65"/>
    <s v="Cash"/>
    <s v="In-store"/>
    <n v="4"/>
    <n v="0"/>
  </r>
  <r>
    <s v="TXN_001258"/>
    <s v="WALK_017"/>
    <x v="58"/>
    <x v="2"/>
    <x v="0"/>
    <s v="18:00–18:30"/>
    <s v="AlaCarte"/>
    <n v="3"/>
    <n v="105.03"/>
    <s v="Cash"/>
    <s v="In-store"/>
    <n v="5"/>
    <n v="0"/>
  </r>
  <r>
    <s v="TXN_001259"/>
    <s v="HOTEL_014"/>
    <x v="58"/>
    <x v="2"/>
    <x v="0"/>
    <s v="18:00–18:30"/>
    <s v="AlaCarte"/>
    <n v="5"/>
    <n v="81.540000000000006"/>
    <s v="Credit Card"/>
    <s v="In-store"/>
    <n v="5"/>
    <n v="0"/>
  </r>
  <r>
    <s v="TXN_001260"/>
    <s v="HOTEL_009"/>
    <x v="58"/>
    <x v="2"/>
    <x v="0"/>
    <s v="18:00–18:30"/>
    <s v="AlaCarte"/>
    <n v="4"/>
    <n v="85.78"/>
    <s v="Digital Wallet"/>
    <s v="In-store"/>
    <n v="5"/>
    <n v="0"/>
  </r>
  <r>
    <s v="TXN_001261"/>
    <s v="WALK_099"/>
    <x v="58"/>
    <x v="2"/>
    <x v="0"/>
    <s v="18:30–19:00"/>
    <s v="AlaCarte"/>
    <n v="1"/>
    <n v="38.92"/>
    <s v="Credit Card"/>
    <s v="In-store"/>
    <n v="5"/>
    <n v="0"/>
  </r>
  <r>
    <s v="TXN_001262"/>
    <s v="HOTEL_034"/>
    <x v="58"/>
    <x v="2"/>
    <x v="0"/>
    <s v="18:30–19:00"/>
    <s v="AlaCarte"/>
    <n v="3"/>
    <n v="120.16"/>
    <s v="Credit Card"/>
    <s v="In-store"/>
    <n v="5"/>
    <n v="0"/>
  </r>
  <r>
    <s v="TXN_001263"/>
    <s v="WALK_112"/>
    <x v="58"/>
    <x v="2"/>
    <x v="0"/>
    <s v="18:30–19:00"/>
    <s v="AlaCarte"/>
    <n v="4"/>
    <n v="272.5"/>
    <s v="Digital Wallet"/>
    <s v="In-store"/>
    <n v="5"/>
    <n v="0"/>
  </r>
  <r>
    <s v="TXN_001264"/>
    <s v="WALK_079"/>
    <x v="58"/>
    <x v="2"/>
    <x v="0"/>
    <s v="18:30–19:00"/>
    <s v="AlaCarte"/>
    <n v="4"/>
    <n v="163.36000000000001"/>
    <s v="Cash"/>
    <s v="In-store"/>
    <n v="5"/>
    <n v="0"/>
  </r>
  <r>
    <s v="TXN_001265"/>
    <s v="WALK_027"/>
    <x v="58"/>
    <x v="2"/>
    <x v="0"/>
    <s v="19:00–19:30"/>
    <s v="AlaCarte"/>
    <n v="3"/>
    <n v="179.22"/>
    <s v="Cash"/>
    <s v="Takeaway"/>
    <n v="5"/>
    <n v="0"/>
  </r>
  <r>
    <s v="TXN_001266"/>
    <s v="WALK_096"/>
    <x v="58"/>
    <x v="2"/>
    <x v="0"/>
    <s v="19:00–19:30"/>
    <s v="AlaCarte"/>
    <n v="3"/>
    <n v="90.35"/>
    <s v="Digital Wallet"/>
    <s v="Takeaway"/>
    <n v="5"/>
    <n v="0"/>
  </r>
  <r>
    <s v="TXN_001267"/>
    <s v="WALK_024"/>
    <x v="58"/>
    <x v="2"/>
    <x v="0"/>
    <s v="19:30–20:00"/>
    <s v="AlaCarte"/>
    <n v="4"/>
    <n v="99.4"/>
    <s v="Credit Card"/>
    <s v="Takeaway"/>
    <n v="5"/>
    <n v="0"/>
  </r>
  <r>
    <s v="TXN_001268"/>
    <s v="CORP_065"/>
    <x v="58"/>
    <x v="2"/>
    <x v="0"/>
    <s v="19:30–20:00"/>
    <s v="AlaCarte"/>
    <n v="4"/>
    <n v="177.45"/>
    <s v="Credit Card"/>
    <s v="In-store"/>
    <n v="5"/>
    <n v="0"/>
  </r>
  <r>
    <s v="TXN_001269"/>
    <s v="WALK_109"/>
    <x v="58"/>
    <x v="2"/>
    <x v="0"/>
    <s v="20:00–20:30"/>
    <s v="AlaCarte"/>
    <n v="2"/>
    <n v="33.090000000000003"/>
    <s v="Cash"/>
    <s v="In-store"/>
    <n v="5"/>
    <n v="0"/>
  </r>
  <r>
    <s v="TXN_001270"/>
    <s v="WALK_076"/>
    <x v="58"/>
    <x v="2"/>
    <x v="1"/>
    <s v="12:15–12:45"/>
    <s v="Buffet"/>
    <n v="1"/>
    <n v="20"/>
    <s v="Credit Card"/>
    <s v="Takeaway"/>
    <n v="5"/>
    <n v="1"/>
  </r>
  <r>
    <s v="TXN_001271"/>
    <s v="CORP_055"/>
    <x v="58"/>
    <x v="2"/>
    <x v="1"/>
    <s v="12:15–12:45"/>
    <s v="AlaCarte"/>
    <n v="1"/>
    <n v="20.83"/>
    <s v="Cash"/>
    <s v="In-store"/>
    <n v="5"/>
    <n v="0"/>
  </r>
  <r>
    <s v="TXN_001272"/>
    <s v="WALK_118"/>
    <x v="58"/>
    <x v="2"/>
    <x v="1"/>
    <s v="12:15–12:45"/>
    <s v="AlaCarte"/>
    <n v="3"/>
    <n v="40.520000000000003"/>
    <s v="Cash"/>
    <s v="In-store"/>
    <n v="5"/>
    <n v="0"/>
  </r>
  <r>
    <s v="TXN_001273"/>
    <s v="WALK_106"/>
    <x v="58"/>
    <x v="2"/>
    <x v="1"/>
    <s v="13:15–13:45"/>
    <s v="Buffet"/>
    <n v="3"/>
    <n v="64.5"/>
    <s v="Credit Card"/>
    <s v="In-store"/>
    <n v="5"/>
    <n v="1"/>
  </r>
  <r>
    <s v="TXN_001274"/>
    <s v="CORP_040"/>
    <x v="58"/>
    <x v="2"/>
    <x v="1"/>
    <s v="13:15–13:45"/>
    <s v="Buffet"/>
    <n v="3"/>
    <n v="60"/>
    <s v="Cash"/>
    <s v="In-store"/>
    <n v="5"/>
    <n v="1"/>
  </r>
  <r>
    <s v="TXN_001275"/>
    <s v="CORP_023"/>
    <x v="58"/>
    <x v="2"/>
    <x v="1"/>
    <s v="13:15–13:45"/>
    <s v="Buffet"/>
    <n v="3"/>
    <n v="64.5"/>
    <s v="Credit Card"/>
    <s v="In-store"/>
    <n v="5"/>
    <n v="1"/>
  </r>
  <r>
    <s v="TXN_001276"/>
    <s v="CORP_035"/>
    <x v="58"/>
    <x v="2"/>
    <x v="1"/>
    <s v="13:15–13:45"/>
    <s v="AlaCarte"/>
    <n v="2"/>
    <n v="28.01"/>
    <s v="Digital Wallet"/>
    <s v="In-store"/>
    <n v="5"/>
    <n v="0"/>
  </r>
  <r>
    <s v="TXN_001277"/>
    <s v="CORP_004"/>
    <x v="58"/>
    <x v="2"/>
    <x v="1"/>
    <s v="13:45–14:15"/>
    <s v="AlaCarte"/>
    <n v="3"/>
    <n v="44.87"/>
    <s v="Credit Card"/>
    <s v="In-store"/>
    <n v="5"/>
    <n v="0"/>
  </r>
  <r>
    <s v="TXN_001278"/>
    <s v="HOTEL_030"/>
    <x v="59"/>
    <x v="3"/>
    <x v="0"/>
    <s v="18:00–18:30"/>
    <s v="AlaCarte"/>
    <n v="4"/>
    <n v="128.24"/>
    <s v="Cash"/>
    <s v="In-store"/>
    <n v="6"/>
    <n v="0"/>
  </r>
  <r>
    <s v="TXN_001279"/>
    <s v="HOTEL_005"/>
    <x v="59"/>
    <x v="3"/>
    <x v="0"/>
    <s v="18:30–19:00"/>
    <s v="AlaCarte"/>
    <n v="4"/>
    <n v="121.13"/>
    <s v="Digital Wallet"/>
    <s v="Takeaway"/>
    <n v="6"/>
    <n v="0"/>
  </r>
  <r>
    <s v="TXN_001280"/>
    <s v="CORP_067"/>
    <x v="59"/>
    <x v="3"/>
    <x v="0"/>
    <s v="18:30–19:00"/>
    <s v="AlaCarte"/>
    <n v="3"/>
    <n v="87.38"/>
    <s v="Digital Wallet"/>
    <s v="In-store"/>
    <n v="6"/>
    <n v="0"/>
  </r>
  <r>
    <s v="TXN_001281"/>
    <s v="WALK_106"/>
    <x v="59"/>
    <x v="3"/>
    <x v="0"/>
    <s v="19:00–19:30"/>
    <s v="AlaCarte"/>
    <n v="2"/>
    <n v="50.06"/>
    <s v="Cash"/>
    <s v="In-store"/>
    <n v="6"/>
    <n v="0"/>
  </r>
  <r>
    <s v="TXN_001282"/>
    <s v="HOTEL_038"/>
    <x v="59"/>
    <x v="3"/>
    <x v="0"/>
    <s v="19:00–19:30"/>
    <s v="AlaCarte"/>
    <n v="2"/>
    <n v="78.099999999999994"/>
    <s v="Credit Card"/>
    <s v="In-store"/>
    <n v="6"/>
    <n v="0"/>
  </r>
  <r>
    <s v="TXN_001283"/>
    <s v="WALK_021"/>
    <x v="59"/>
    <x v="3"/>
    <x v="0"/>
    <s v="19:00–19:30"/>
    <s v="AlaCarte"/>
    <n v="3"/>
    <n v="72.11"/>
    <s v="Credit Card"/>
    <s v="Takeaway"/>
    <n v="6"/>
    <n v="0"/>
  </r>
  <r>
    <s v="TXN_001284"/>
    <s v="WALK_064"/>
    <x v="59"/>
    <x v="3"/>
    <x v="0"/>
    <s v="19:30–20:00"/>
    <s v="AlaCarte"/>
    <n v="6"/>
    <n v="252.31"/>
    <s v="Digital Wallet"/>
    <s v="In-store"/>
    <n v="6"/>
    <n v="0"/>
  </r>
  <r>
    <s v="TXN_001285"/>
    <s v="HOTEL_038"/>
    <x v="59"/>
    <x v="3"/>
    <x v="0"/>
    <s v="19:30–20:00"/>
    <s v="AlaCarte"/>
    <n v="3"/>
    <n v="214.96"/>
    <s v="Credit Card"/>
    <s v="In-store"/>
    <n v="6"/>
    <n v="0"/>
  </r>
  <r>
    <s v="TXN_001286"/>
    <s v="WALK_023"/>
    <x v="59"/>
    <x v="3"/>
    <x v="0"/>
    <s v="19:30–20:00"/>
    <s v="AlaCarte"/>
    <n v="1"/>
    <n v="44.31"/>
    <s v="Credit Card"/>
    <s v="In-store"/>
    <n v="6"/>
    <n v="0"/>
  </r>
  <r>
    <s v="TXN_001287"/>
    <s v="HOTEL_017"/>
    <x v="59"/>
    <x v="3"/>
    <x v="0"/>
    <s v="19:30–20:00"/>
    <s v="AlaCarte"/>
    <n v="3"/>
    <n v="117.88"/>
    <s v="Cash"/>
    <s v="In-store"/>
    <n v="6"/>
    <n v="0"/>
  </r>
  <r>
    <s v="TXN_001288"/>
    <s v="WALK_079"/>
    <x v="59"/>
    <x v="3"/>
    <x v="0"/>
    <s v="19:30–20:00"/>
    <s v="AlaCarte"/>
    <n v="4"/>
    <n v="193.9"/>
    <s v="Credit Card"/>
    <s v="In-store"/>
    <n v="6"/>
    <n v="0"/>
  </r>
  <r>
    <s v="TXN_001289"/>
    <s v="HOTEL_036"/>
    <x v="59"/>
    <x v="3"/>
    <x v="0"/>
    <s v="20:00–20:30"/>
    <s v="AlaCarte"/>
    <n v="5"/>
    <n v="113.41"/>
    <s v="Cash"/>
    <s v="In-store"/>
    <n v="6"/>
    <n v="0"/>
  </r>
  <r>
    <s v="TXN_001290"/>
    <s v="WALK_116"/>
    <x v="59"/>
    <x v="3"/>
    <x v="0"/>
    <s v="20:00–20:30"/>
    <s v="AlaCarte"/>
    <n v="6"/>
    <n v="126.19"/>
    <s v="Cash"/>
    <s v="In-store"/>
    <n v="6"/>
    <n v="0"/>
  </r>
  <r>
    <s v="TXN_001291"/>
    <s v="HOTEL_022"/>
    <x v="59"/>
    <x v="3"/>
    <x v="0"/>
    <s v="20:00–20:30"/>
    <s v="AlaCarte"/>
    <n v="4"/>
    <n v="56.23"/>
    <s v="Credit Card"/>
    <s v="In-store"/>
    <n v="6"/>
    <n v="0"/>
  </r>
  <r>
    <s v="TXN_001292"/>
    <s v="WALK_011"/>
    <x v="59"/>
    <x v="3"/>
    <x v="0"/>
    <s v="20:00–20:30"/>
    <s v="AlaCarte"/>
    <n v="3"/>
    <n v="87.35"/>
    <s v="Cash"/>
    <s v="In-store"/>
    <n v="6"/>
    <n v="0"/>
  </r>
  <r>
    <s v="TXN_001293"/>
    <s v="WALK_115"/>
    <x v="59"/>
    <x v="3"/>
    <x v="0"/>
    <s v="20:00–20:30"/>
    <s v="AlaCarte"/>
    <n v="3"/>
    <n v="50.56"/>
    <s v="Credit Card"/>
    <s v="In-store"/>
    <n v="6"/>
    <n v="0"/>
  </r>
  <r>
    <s v="TXN_001294"/>
    <s v="HOTEL_003"/>
    <x v="59"/>
    <x v="3"/>
    <x v="0"/>
    <s v="20:00–20:30"/>
    <s v="AlaCarte"/>
    <n v="1"/>
    <n v="24.15"/>
    <s v="Credit Card"/>
    <s v="Takeaway"/>
    <n v="6"/>
    <n v="0"/>
  </r>
  <r>
    <s v="TXN_001295"/>
    <s v="CORP_020"/>
    <x v="59"/>
    <x v="3"/>
    <x v="1"/>
    <s v="12:45–13:15"/>
    <s v="AlaCarte"/>
    <n v="4"/>
    <n v="59.7"/>
    <s v="Credit Card"/>
    <s v="In-store"/>
    <n v="6"/>
    <n v="0"/>
  </r>
  <r>
    <s v="TXN_001296"/>
    <s v="WALK_110"/>
    <x v="59"/>
    <x v="3"/>
    <x v="1"/>
    <s v="13:45–14:15"/>
    <s v="AlaCarte"/>
    <n v="3"/>
    <n v="45.6"/>
    <s v="Credit Card"/>
    <s v="Takeaway"/>
    <n v="6"/>
    <n v="0"/>
  </r>
  <r>
    <s v="TXN_001297"/>
    <s v="WALK_018"/>
    <x v="60"/>
    <x v="4"/>
    <x v="0"/>
    <s v="18:00–18:30"/>
    <s v="AlaCarte"/>
    <n v="1"/>
    <n v="52.47"/>
    <s v="Digital Wallet"/>
    <s v="In-store"/>
    <n v="7"/>
    <n v="0"/>
  </r>
  <r>
    <s v="TXN_001298"/>
    <s v="WALK_011"/>
    <x v="60"/>
    <x v="4"/>
    <x v="0"/>
    <s v="18:00–18:30"/>
    <s v="AlaCarte"/>
    <n v="1"/>
    <n v="23.57"/>
    <s v="Credit Card"/>
    <s v="In-store"/>
    <n v="7"/>
    <n v="0"/>
  </r>
  <r>
    <s v="TXN_001299"/>
    <s v="HOTEL_037"/>
    <x v="60"/>
    <x v="4"/>
    <x v="0"/>
    <s v="18:30–19:00"/>
    <s v="AlaCarte"/>
    <n v="4"/>
    <n v="157.38"/>
    <s v="Digital Wallet"/>
    <s v="In-store"/>
    <n v="7"/>
    <n v="0"/>
  </r>
  <r>
    <s v="TXN_001300"/>
    <s v="HOTEL_029"/>
    <x v="60"/>
    <x v="4"/>
    <x v="0"/>
    <s v="18:30–19:00"/>
    <s v="AlaCarte"/>
    <n v="3"/>
    <n v="118.48"/>
    <s v="Credit Card"/>
    <s v="Takeaway"/>
    <n v="7"/>
    <n v="0"/>
  </r>
  <r>
    <s v="TXN_001301"/>
    <s v="WALK_051"/>
    <x v="60"/>
    <x v="4"/>
    <x v="0"/>
    <s v="18:30–19:00"/>
    <s v="AlaCarte"/>
    <n v="4"/>
    <n v="102.53"/>
    <s v="Digital Wallet"/>
    <s v="In-store"/>
    <n v="7"/>
    <n v="0"/>
  </r>
  <r>
    <s v="TXN_001302"/>
    <s v="HOTEL_016"/>
    <x v="60"/>
    <x v="4"/>
    <x v="0"/>
    <s v="18:30–19:00"/>
    <s v="AlaCarte"/>
    <n v="3"/>
    <n v="195.37"/>
    <s v="Cash"/>
    <s v="In-store"/>
    <n v="7"/>
    <n v="0"/>
  </r>
  <r>
    <s v="TXN_001303"/>
    <s v="HOTEL_003"/>
    <x v="60"/>
    <x v="4"/>
    <x v="0"/>
    <s v="18:30–19:00"/>
    <s v="AlaCarte"/>
    <n v="4"/>
    <n v="89.09"/>
    <s v="Cash"/>
    <s v="In-store"/>
    <n v="7"/>
    <n v="0"/>
  </r>
  <r>
    <s v="TXN_001304"/>
    <s v="HOTEL_025"/>
    <x v="60"/>
    <x v="4"/>
    <x v="0"/>
    <s v="19:00–19:30"/>
    <s v="AlaCarte"/>
    <n v="3"/>
    <n v="152.86000000000001"/>
    <s v="Credit Card"/>
    <s v="In-store"/>
    <n v="7"/>
    <n v="0"/>
  </r>
  <r>
    <s v="TXN_001305"/>
    <s v="WALK_120"/>
    <x v="60"/>
    <x v="4"/>
    <x v="0"/>
    <s v="19:00–19:30"/>
    <s v="AlaCarte"/>
    <n v="3"/>
    <n v="58.6"/>
    <s v="Digital Wallet"/>
    <s v="Takeaway"/>
    <n v="7"/>
    <n v="0"/>
  </r>
  <r>
    <s v="TXN_001306"/>
    <s v="WALK_048"/>
    <x v="60"/>
    <x v="4"/>
    <x v="0"/>
    <s v="19:00–19:30"/>
    <s v="AlaCarte"/>
    <n v="4"/>
    <n v="235.26"/>
    <s v="Credit Card"/>
    <s v="In-store"/>
    <n v="7"/>
    <n v="0"/>
  </r>
  <r>
    <s v="TXN_001307"/>
    <s v="HOTEL_001"/>
    <x v="60"/>
    <x v="4"/>
    <x v="0"/>
    <s v="19:00–19:30"/>
    <s v="AlaCarte"/>
    <n v="4"/>
    <n v="170.5"/>
    <s v="Credit Card"/>
    <s v="In-store"/>
    <n v="7"/>
    <n v="0"/>
  </r>
  <r>
    <s v="TXN_001308"/>
    <s v="HOTEL_009"/>
    <x v="60"/>
    <x v="4"/>
    <x v="0"/>
    <s v="19:00–19:30"/>
    <s v="AlaCarte"/>
    <n v="3"/>
    <n v="66.34"/>
    <s v="Digital Wallet"/>
    <s v="In-store"/>
    <n v="7"/>
    <n v="0"/>
  </r>
  <r>
    <s v="TXN_001309"/>
    <s v="WALK_090"/>
    <x v="60"/>
    <x v="4"/>
    <x v="0"/>
    <s v="19:30–20:00"/>
    <s v="AlaCarte"/>
    <n v="5"/>
    <n v="130.41999999999999"/>
    <s v="Credit Card"/>
    <s v="In-store"/>
    <n v="7"/>
    <n v="0"/>
  </r>
  <r>
    <s v="TXN_001310"/>
    <s v="WALK_118"/>
    <x v="60"/>
    <x v="4"/>
    <x v="0"/>
    <s v="19:30–20:00"/>
    <s v="AlaCarte"/>
    <n v="9"/>
    <n v="173.43"/>
    <s v="Credit Card"/>
    <s v="In-store"/>
    <n v="7"/>
    <n v="0"/>
  </r>
  <r>
    <s v="TXN_001311"/>
    <s v="CORP_075"/>
    <x v="60"/>
    <x v="4"/>
    <x v="0"/>
    <s v="19:30–20:00"/>
    <s v="AlaCarte"/>
    <n v="5"/>
    <n v="104.57"/>
    <s v="Credit Card"/>
    <s v="In-store"/>
    <n v="7"/>
    <n v="0"/>
  </r>
  <r>
    <s v="TXN_001312"/>
    <s v="WALK_014"/>
    <x v="60"/>
    <x v="4"/>
    <x v="0"/>
    <s v="19:30–20:00"/>
    <s v="AlaCarte"/>
    <n v="6"/>
    <n v="127.85"/>
    <s v="Cash"/>
    <s v="In-store"/>
    <n v="7"/>
    <n v="0"/>
  </r>
  <r>
    <s v="TXN_001313"/>
    <s v="HOTEL_035"/>
    <x v="60"/>
    <x v="4"/>
    <x v="0"/>
    <s v="19:30–20:00"/>
    <s v="AlaCarte"/>
    <n v="2"/>
    <n v="52.12"/>
    <s v="Credit Card"/>
    <s v="In-store"/>
    <n v="7"/>
    <n v="0"/>
  </r>
  <r>
    <s v="TXN_001314"/>
    <s v="HOTEL_006"/>
    <x v="60"/>
    <x v="4"/>
    <x v="0"/>
    <s v="20:00–20:30"/>
    <s v="AlaCarte"/>
    <n v="6"/>
    <n v="112.61"/>
    <s v="Credit Card"/>
    <s v="In-store"/>
    <n v="7"/>
    <n v="0"/>
  </r>
  <r>
    <s v="TXN_001315"/>
    <s v="CORP_050"/>
    <x v="60"/>
    <x v="4"/>
    <x v="0"/>
    <s v="20:00–20:30"/>
    <s v="AlaCarte"/>
    <n v="2"/>
    <n v="64.319999999999993"/>
    <s v="Credit Card"/>
    <s v="In-store"/>
    <n v="7"/>
    <n v="0"/>
  </r>
  <r>
    <s v="TXN_001316"/>
    <s v="HOTEL_033"/>
    <x v="60"/>
    <x v="4"/>
    <x v="0"/>
    <s v="20:00–20:30"/>
    <s v="AlaCarte"/>
    <n v="1"/>
    <n v="31.06"/>
    <s v="Credit Card"/>
    <s v="In-store"/>
    <n v="7"/>
    <n v="0"/>
  </r>
  <r>
    <s v="TXN_001317"/>
    <s v="HOTEL_007"/>
    <x v="60"/>
    <x v="4"/>
    <x v="0"/>
    <s v="20:00–20:30"/>
    <s v="AlaCarte"/>
    <n v="5"/>
    <n v="98.42"/>
    <s v="Credit Card"/>
    <s v="In-store"/>
    <n v="7"/>
    <n v="0"/>
  </r>
  <r>
    <s v="TXN_001318"/>
    <s v="CORP_064"/>
    <x v="60"/>
    <x v="4"/>
    <x v="1"/>
    <s v="12:15–12:45"/>
    <s v="AlaCarte"/>
    <n v="6"/>
    <n v="128.46"/>
    <s v="Digital Wallet"/>
    <s v="In-store"/>
    <n v="7"/>
    <n v="0"/>
  </r>
  <r>
    <s v="TXN_001319"/>
    <s v="WALK_045"/>
    <x v="60"/>
    <x v="4"/>
    <x v="1"/>
    <s v="12:45–13:15"/>
    <s v="AlaCarte"/>
    <n v="3"/>
    <n v="26.86"/>
    <s v="Cash"/>
    <s v="In-store"/>
    <n v="7"/>
    <n v="0"/>
  </r>
  <r>
    <s v="TXN_001320"/>
    <s v="CORP_003"/>
    <x v="60"/>
    <x v="4"/>
    <x v="1"/>
    <s v="12:45–13:15"/>
    <s v="AlaCarte"/>
    <n v="2"/>
    <n v="44.53"/>
    <s v="Credit Card"/>
    <s v="In-store"/>
    <n v="7"/>
    <n v="0"/>
  </r>
  <r>
    <s v="TXN_001321"/>
    <s v="WALK_099"/>
    <x v="60"/>
    <x v="4"/>
    <x v="1"/>
    <s v="12:45–13:15"/>
    <s v="AlaCarte"/>
    <n v="2"/>
    <n v="67.88"/>
    <s v="Credit Card"/>
    <s v="In-store"/>
    <n v="7"/>
    <n v="0"/>
  </r>
  <r>
    <s v="TXN_001322"/>
    <s v="WALK_006"/>
    <x v="60"/>
    <x v="4"/>
    <x v="1"/>
    <s v="13:45–14:15"/>
    <s v="AlaCarte"/>
    <n v="2"/>
    <n v="31.95"/>
    <s v="Credit Card"/>
    <s v="Takeaway"/>
    <n v="7"/>
    <n v="0"/>
  </r>
  <r>
    <s v="TXN_001323"/>
    <s v="CORP_057"/>
    <x v="61"/>
    <x v="5"/>
    <x v="0"/>
    <s v="18:00–18:30"/>
    <s v="AlaCarte"/>
    <n v="6"/>
    <n v="208.41"/>
    <s v="Cash"/>
    <s v="In-store"/>
    <n v="1"/>
    <n v="0"/>
  </r>
  <r>
    <s v="TXN_001324"/>
    <s v="WALK_040"/>
    <x v="61"/>
    <x v="5"/>
    <x v="0"/>
    <s v="18:00–18:30"/>
    <s v="AlaCarte"/>
    <n v="4"/>
    <n v="59.28"/>
    <s v="Cash"/>
    <s v="In-store"/>
    <n v="1"/>
    <n v="0"/>
  </r>
  <r>
    <s v="TXN_001325"/>
    <s v="WALK_094"/>
    <x v="61"/>
    <x v="5"/>
    <x v="0"/>
    <s v="18:00–18:30"/>
    <s v="AlaCarte"/>
    <n v="4"/>
    <n v="117.49"/>
    <s v="Credit Card"/>
    <s v="In-store"/>
    <n v="1"/>
    <n v="0"/>
  </r>
  <r>
    <s v="TXN_001326"/>
    <s v="WALK_092"/>
    <x v="61"/>
    <x v="5"/>
    <x v="0"/>
    <s v="18:30–19:00"/>
    <s v="AlaCarte"/>
    <n v="5"/>
    <n v="116.47"/>
    <s v="Cash"/>
    <s v="In-store"/>
    <n v="1"/>
    <n v="0"/>
  </r>
  <r>
    <s v="TXN_001327"/>
    <s v="HOTEL_015"/>
    <x v="61"/>
    <x v="5"/>
    <x v="0"/>
    <s v="19:00–19:30"/>
    <s v="AlaCarte"/>
    <n v="5"/>
    <n v="81.02"/>
    <s v="Cash"/>
    <s v="In-store"/>
    <n v="1"/>
    <n v="0"/>
  </r>
  <r>
    <s v="TXN_001328"/>
    <s v="WALK_078"/>
    <x v="61"/>
    <x v="5"/>
    <x v="0"/>
    <s v="19:00–19:30"/>
    <s v="AlaCarte"/>
    <n v="4"/>
    <n v="84.34"/>
    <s v="Digital Wallet"/>
    <s v="In-store"/>
    <n v="1"/>
    <n v="0"/>
  </r>
  <r>
    <s v="TXN_001329"/>
    <s v="WALK_103"/>
    <x v="61"/>
    <x v="5"/>
    <x v="0"/>
    <s v="19:00–19:30"/>
    <s v="AlaCarte"/>
    <n v="4"/>
    <n v="136.12"/>
    <s v="Cash"/>
    <s v="In-store"/>
    <n v="1"/>
    <n v="0"/>
  </r>
  <r>
    <s v="TXN_001330"/>
    <s v="CORP_006"/>
    <x v="61"/>
    <x v="5"/>
    <x v="0"/>
    <s v="19:00–19:30"/>
    <s v="AlaCarte"/>
    <n v="4"/>
    <n v="107.28"/>
    <s v="Credit Card"/>
    <s v="In-store"/>
    <n v="1"/>
    <n v="0"/>
  </r>
  <r>
    <s v="TXN_001331"/>
    <s v="HOTEL_008"/>
    <x v="61"/>
    <x v="5"/>
    <x v="0"/>
    <s v="19:30–20:00"/>
    <s v="AlaCarte"/>
    <n v="3"/>
    <n v="77.64"/>
    <s v="Cash"/>
    <s v="In-store"/>
    <n v="1"/>
    <n v="0"/>
  </r>
  <r>
    <s v="TXN_001332"/>
    <s v="HOTEL_035"/>
    <x v="61"/>
    <x v="5"/>
    <x v="0"/>
    <s v="19:30–20:00"/>
    <s v="AlaCarte"/>
    <n v="2"/>
    <n v="80.27"/>
    <s v="Credit Card"/>
    <s v="In-store"/>
    <n v="1"/>
    <n v="0"/>
  </r>
  <r>
    <s v="TXN_001333"/>
    <s v="WALK_077"/>
    <x v="61"/>
    <x v="5"/>
    <x v="0"/>
    <s v="20:00–20:30"/>
    <s v="AlaCarte"/>
    <n v="5"/>
    <n v="179.83"/>
    <s v="Digital Wallet"/>
    <s v="In-store"/>
    <n v="1"/>
    <n v="0"/>
  </r>
  <r>
    <s v="TXN_001334"/>
    <s v="WALK_048"/>
    <x v="61"/>
    <x v="5"/>
    <x v="1"/>
    <s v="12:15–12:45"/>
    <s v="AlaCarte"/>
    <n v="4"/>
    <n v="82.88"/>
    <s v="Cash"/>
    <s v="In-store"/>
    <n v="1"/>
    <n v="0"/>
  </r>
  <r>
    <s v="TXN_001335"/>
    <s v="CORP_026"/>
    <x v="61"/>
    <x v="5"/>
    <x v="1"/>
    <s v="12:15–12:45"/>
    <s v="AlaCarte"/>
    <n v="4"/>
    <n v="123.52"/>
    <s v="Credit Card"/>
    <s v="Takeaway"/>
    <n v="1"/>
    <n v="0"/>
  </r>
  <r>
    <s v="TXN_001336"/>
    <s v="WALK_024"/>
    <x v="61"/>
    <x v="5"/>
    <x v="1"/>
    <s v="12:15–12:45"/>
    <s v="AlaCarte"/>
    <n v="2"/>
    <n v="26.47"/>
    <s v="Cash"/>
    <s v="In-store"/>
    <n v="1"/>
    <n v="0"/>
  </r>
  <r>
    <s v="TXN_001337"/>
    <s v="CORP_072"/>
    <x v="61"/>
    <x v="5"/>
    <x v="1"/>
    <s v="13:45–14:15"/>
    <s v="AlaCarte"/>
    <n v="3"/>
    <n v="67.8"/>
    <s v="Credit Card"/>
    <s v="In-store"/>
    <n v="1"/>
    <n v="0"/>
  </r>
  <r>
    <s v="TXN_001338"/>
    <s v="WALK_108"/>
    <x v="62"/>
    <x v="6"/>
    <x v="0"/>
    <s v="18:00–18:30"/>
    <s v="AlaCarte"/>
    <n v="2"/>
    <n v="46.86"/>
    <s v="Credit Card"/>
    <s v="Takeaway"/>
    <n v="2"/>
    <n v="0"/>
  </r>
  <r>
    <s v="TXN_001339"/>
    <s v="CORP_041"/>
    <x v="62"/>
    <x v="6"/>
    <x v="0"/>
    <s v="18:00–18:30"/>
    <s v="AlaCarte"/>
    <n v="1"/>
    <n v="20.309999999999999"/>
    <s v="Credit Card"/>
    <s v="Takeaway"/>
    <n v="2"/>
    <n v="0"/>
  </r>
  <r>
    <s v="TXN_001340"/>
    <s v="CORP_057"/>
    <x v="62"/>
    <x v="6"/>
    <x v="0"/>
    <s v="18:00–18:30"/>
    <s v="AlaCarte"/>
    <n v="1"/>
    <n v="37.630000000000003"/>
    <s v="Cash"/>
    <s v="In-store"/>
    <n v="2"/>
    <n v="0"/>
  </r>
  <r>
    <s v="TXN_001341"/>
    <s v="WALK_116"/>
    <x v="62"/>
    <x v="6"/>
    <x v="0"/>
    <s v="18:00–18:30"/>
    <s v="AlaCarte"/>
    <n v="2"/>
    <n v="81.16"/>
    <s v="Cash"/>
    <s v="Takeaway"/>
    <n v="2"/>
    <n v="0"/>
  </r>
  <r>
    <s v="TXN_001342"/>
    <s v="WALK_006"/>
    <x v="62"/>
    <x v="6"/>
    <x v="0"/>
    <s v="18:00–18:30"/>
    <s v="AlaCarte"/>
    <n v="6"/>
    <n v="153.58000000000001"/>
    <s v="Credit Card"/>
    <s v="In-store"/>
    <n v="2"/>
    <n v="0"/>
  </r>
  <r>
    <s v="TXN_001343"/>
    <s v="WALK_077"/>
    <x v="62"/>
    <x v="6"/>
    <x v="0"/>
    <s v="18:30–19:00"/>
    <s v="AlaCarte"/>
    <n v="2"/>
    <n v="89.68"/>
    <s v="Cash"/>
    <s v="In-store"/>
    <n v="2"/>
    <n v="0"/>
  </r>
  <r>
    <s v="TXN_001344"/>
    <s v="WALK_050"/>
    <x v="62"/>
    <x v="6"/>
    <x v="0"/>
    <s v="18:30–19:00"/>
    <s v="AlaCarte"/>
    <n v="1"/>
    <n v="45.66"/>
    <s v="Cash"/>
    <s v="Takeaway"/>
    <n v="2"/>
    <n v="0"/>
  </r>
  <r>
    <s v="TXN_001345"/>
    <s v="WALK_065"/>
    <x v="62"/>
    <x v="6"/>
    <x v="0"/>
    <s v="18:30–19:00"/>
    <s v="AlaCarte"/>
    <n v="1"/>
    <n v="29.61"/>
    <s v="Cash"/>
    <s v="In-store"/>
    <n v="2"/>
    <n v="0"/>
  </r>
  <r>
    <s v="TXN_001346"/>
    <s v="WALK_062"/>
    <x v="62"/>
    <x v="6"/>
    <x v="0"/>
    <s v="18:30–19:00"/>
    <s v="AlaCarte"/>
    <n v="3"/>
    <n v="65.53"/>
    <s v="Credit Card"/>
    <s v="In-store"/>
    <n v="2"/>
    <n v="0"/>
  </r>
  <r>
    <s v="TXN_001347"/>
    <s v="WALK_116"/>
    <x v="62"/>
    <x v="6"/>
    <x v="0"/>
    <s v="18:30–19:00"/>
    <s v="AlaCarte"/>
    <n v="4"/>
    <n v="161.68"/>
    <s v="Credit Card"/>
    <s v="In-store"/>
    <n v="2"/>
    <n v="0"/>
  </r>
  <r>
    <s v="TXN_001348"/>
    <s v="HOTEL_034"/>
    <x v="62"/>
    <x v="6"/>
    <x v="0"/>
    <s v="18:30–19:00"/>
    <s v="AlaCarte"/>
    <n v="2"/>
    <n v="54.36"/>
    <s v="Credit Card"/>
    <s v="In-store"/>
    <n v="2"/>
    <n v="0"/>
  </r>
  <r>
    <s v="TXN_001349"/>
    <s v="CORP_047"/>
    <x v="62"/>
    <x v="6"/>
    <x v="0"/>
    <s v="19:00–19:30"/>
    <s v="AlaCarte"/>
    <n v="4"/>
    <n v="146.12"/>
    <s v="Credit Card"/>
    <s v="In-store"/>
    <n v="2"/>
    <n v="0"/>
  </r>
  <r>
    <s v="TXN_001350"/>
    <s v="WALK_055"/>
    <x v="62"/>
    <x v="6"/>
    <x v="0"/>
    <s v="19:00–19:30"/>
    <s v="AlaCarte"/>
    <n v="3"/>
    <n v="57"/>
    <s v="Digital Wallet"/>
    <s v="Takeaway"/>
    <n v="2"/>
    <n v="0"/>
  </r>
  <r>
    <s v="TXN_001351"/>
    <s v="WALK_110"/>
    <x v="62"/>
    <x v="6"/>
    <x v="0"/>
    <s v="19:00–19:30"/>
    <s v="AlaCarte"/>
    <n v="2"/>
    <n v="40.93"/>
    <s v="Credit Card"/>
    <s v="In-store"/>
    <n v="2"/>
    <n v="0"/>
  </r>
  <r>
    <s v="TXN_001352"/>
    <s v="CORP_011"/>
    <x v="62"/>
    <x v="6"/>
    <x v="0"/>
    <s v="19:00–19:30"/>
    <s v="AlaCarte"/>
    <n v="6"/>
    <n v="107.76"/>
    <s v="Digital Wallet"/>
    <s v="In-store"/>
    <n v="2"/>
    <n v="0"/>
  </r>
  <r>
    <s v="TXN_001353"/>
    <s v="HOTEL_016"/>
    <x v="62"/>
    <x v="6"/>
    <x v="0"/>
    <s v="19:00–19:30"/>
    <s v="AlaCarte"/>
    <n v="3"/>
    <n v="92.8"/>
    <s v="Cash"/>
    <s v="In-store"/>
    <n v="2"/>
    <n v="0"/>
  </r>
  <r>
    <s v="TXN_001354"/>
    <s v="WALK_022"/>
    <x v="62"/>
    <x v="6"/>
    <x v="0"/>
    <s v="19:30–20:00"/>
    <s v="AlaCarte"/>
    <n v="6"/>
    <n v="257.70999999999998"/>
    <s v="Credit Card"/>
    <s v="In-store"/>
    <n v="2"/>
    <n v="0"/>
  </r>
  <r>
    <s v="TXN_001355"/>
    <s v="WALK_036"/>
    <x v="62"/>
    <x v="6"/>
    <x v="0"/>
    <s v="19:30–20:00"/>
    <s v="AlaCarte"/>
    <n v="2"/>
    <n v="58.1"/>
    <s v="Digital Wallet"/>
    <s v="In-store"/>
    <n v="2"/>
    <n v="0"/>
  </r>
  <r>
    <s v="TXN_001356"/>
    <s v="WALK_026"/>
    <x v="62"/>
    <x v="6"/>
    <x v="0"/>
    <s v="19:30–20:00"/>
    <s v="AlaCarte"/>
    <n v="3"/>
    <n v="43.31"/>
    <s v="Credit Card"/>
    <s v="In-store"/>
    <n v="2"/>
    <n v="0"/>
  </r>
  <r>
    <s v="TXN_001357"/>
    <s v="WALK_026"/>
    <x v="62"/>
    <x v="6"/>
    <x v="0"/>
    <s v="20:00–20:30"/>
    <s v="AlaCarte"/>
    <n v="1"/>
    <n v="20.45"/>
    <s v="Credit Card"/>
    <s v="Takeaway"/>
    <n v="2"/>
    <n v="0"/>
  </r>
  <r>
    <s v="TXN_001358"/>
    <s v="WALK_062"/>
    <x v="62"/>
    <x v="6"/>
    <x v="0"/>
    <s v="20:00–20:30"/>
    <s v="AlaCarte"/>
    <n v="1"/>
    <n v="22.42"/>
    <s v="Digital Wallet"/>
    <s v="In-store"/>
    <n v="2"/>
    <n v="0"/>
  </r>
  <r>
    <s v="TXN_001359"/>
    <s v="WALK_076"/>
    <x v="62"/>
    <x v="6"/>
    <x v="0"/>
    <s v="20:00–20:30"/>
    <s v="AlaCarte"/>
    <n v="2"/>
    <n v="39.950000000000003"/>
    <s v="Cash"/>
    <s v="In-store"/>
    <n v="2"/>
    <n v="0"/>
  </r>
  <r>
    <s v="TXN_001360"/>
    <s v="WALK_113"/>
    <x v="62"/>
    <x v="6"/>
    <x v="0"/>
    <s v="20:00–20:30"/>
    <s v="AlaCarte"/>
    <n v="2"/>
    <n v="64.66"/>
    <s v="Cash"/>
    <s v="Takeaway"/>
    <n v="2"/>
    <n v="0"/>
  </r>
  <r>
    <s v="TXN_001361"/>
    <s v="WALK_019"/>
    <x v="62"/>
    <x v="6"/>
    <x v="1"/>
    <s v="12:15–12:45"/>
    <s v="AlaCarte"/>
    <n v="1"/>
    <n v="22.47"/>
    <s v="Digital Wallet"/>
    <s v="In-store"/>
    <n v="2"/>
    <n v="0"/>
  </r>
  <r>
    <s v="TXN_001362"/>
    <s v="CORP_079"/>
    <x v="62"/>
    <x v="6"/>
    <x v="1"/>
    <s v="12:15–12:45"/>
    <s v="AlaCarte"/>
    <n v="2"/>
    <n v="34.6"/>
    <s v="Credit Card"/>
    <s v="In-store"/>
    <n v="2"/>
    <n v="0"/>
  </r>
  <r>
    <s v="TXN_001363"/>
    <s v="CORP_079"/>
    <x v="62"/>
    <x v="6"/>
    <x v="1"/>
    <s v="12:45–13:15"/>
    <s v="AlaCarte"/>
    <n v="5"/>
    <n v="43.35"/>
    <s v="Credit Card"/>
    <s v="Takeaway"/>
    <n v="2"/>
    <n v="0"/>
  </r>
  <r>
    <s v="TXN_001364"/>
    <s v="WALK_053"/>
    <x v="62"/>
    <x v="6"/>
    <x v="1"/>
    <s v="12:45–13:15"/>
    <s v="AlaCarte"/>
    <n v="3"/>
    <n v="41.37"/>
    <s v="Cash"/>
    <s v="In-store"/>
    <n v="2"/>
    <n v="0"/>
  </r>
  <r>
    <s v="TXN_001365"/>
    <s v="WALK_107"/>
    <x v="62"/>
    <x v="6"/>
    <x v="1"/>
    <s v="13:45–14:15"/>
    <s v="AlaCarte"/>
    <n v="2"/>
    <n v="50.65"/>
    <s v="Digital Wallet"/>
    <s v="In-store"/>
    <n v="2"/>
    <n v="0"/>
  </r>
  <r>
    <s v="TXN_001366"/>
    <s v="WALK_031"/>
    <x v="63"/>
    <x v="0"/>
    <x v="0"/>
    <s v="18:00–18:30"/>
    <s v="AlaCarte"/>
    <n v="2"/>
    <n v="56.51"/>
    <s v="Credit Card"/>
    <s v="In-store"/>
    <n v="3"/>
    <n v="0"/>
  </r>
  <r>
    <s v="TXN_001367"/>
    <s v="WALK_035"/>
    <x v="63"/>
    <x v="0"/>
    <x v="0"/>
    <s v="18:00–18:30"/>
    <s v="AlaCarte"/>
    <n v="3"/>
    <n v="107.66"/>
    <s v="Cash"/>
    <s v="In-store"/>
    <n v="3"/>
    <n v="0"/>
  </r>
  <r>
    <s v="TXN_001368"/>
    <s v="WALK_053"/>
    <x v="63"/>
    <x v="0"/>
    <x v="0"/>
    <s v="18:30–19:00"/>
    <s v="AlaCarte"/>
    <n v="2"/>
    <n v="54.8"/>
    <s v="Digital Wallet"/>
    <s v="In-store"/>
    <n v="3"/>
    <n v="0"/>
  </r>
  <r>
    <s v="TXN_001369"/>
    <s v="WALK_052"/>
    <x v="63"/>
    <x v="0"/>
    <x v="0"/>
    <s v="18:30–19:00"/>
    <s v="AlaCarte"/>
    <n v="3"/>
    <n v="89.65"/>
    <s v="Credit Card"/>
    <s v="Takeaway"/>
    <n v="3"/>
    <n v="0"/>
  </r>
  <r>
    <s v="TXN_001370"/>
    <s v="WALK_051"/>
    <x v="63"/>
    <x v="0"/>
    <x v="0"/>
    <s v="18:30–19:00"/>
    <s v="AlaCarte"/>
    <n v="6"/>
    <n v="277.54000000000002"/>
    <s v="Credit Card"/>
    <s v="In-store"/>
    <n v="3"/>
    <n v="0"/>
  </r>
  <r>
    <s v="TXN_001371"/>
    <s v="HOTEL_028"/>
    <x v="63"/>
    <x v="0"/>
    <x v="0"/>
    <s v="19:30–20:00"/>
    <s v="AlaCarte"/>
    <n v="6"/>
    <n v="69.25"/>
    <s v="Credit Card"/>
    <s v="Takeaway"/>
    <n v="3"/>
    <n v="0"/>
  </r>
  <r>
    <s v="TXN_001372"/>
    <s v="WALK_056"/>
    <x v="63"/>
    <x v="0"/>
    <x v="0"/>
    <s v="19:30–20:00"/>
    <s v="AlaCarte"/>
    <n v="2"/>
    <n v="87.64"/>
    <s v="Cash"/>
    <s v="In-store"/>
    <n v="3"/>
    <n v="0"/>
  </r>
  <r>
    <s v="TXN_001373"/>
    <s v="HOTEL_005"/>
    <x v="63"/>
    <x v="0"/>
    <x v="0"/>
    <s v="20:00–20:30"/>
    <s v="AlaCarte"/>
    <n v="3"/>
    <n v="158.86000000000001"/>
    <s v="Credit Card"/>
    <s v="Takeaway"/>
    <n v="3"/>
    <n v="0"/>
  </r>
  <r>
    <s v="TXN_001374"/>
    <s v="HOTEL_007"/>
    <x v="63"/>
    <x v="0"/>
    <x v="0"/>
    <s v="20:00–20:30"/>
    <s v="AlaCarte"/>
    <n v="2"/>
    <n v="99.31"/>
    <s v="Credit Card"/>
    <s v="In-store"/>
    <n v="3"/>
    <n v="0"/>
  </r>
  <r>
    <s v="TXN_001375"/>
    <s v="WALK_106"/>
    <x v="63"/>
    <x v="0"/>
    <x v="1"/>
    <s v="12:15–12:45"/>
    <s v="Buffet"/>
    <n v="2"/>
    <n v="40"/>
    <s v="Digital Wallet"/>
    <s v="In-store"/>
    <n v="3"/>
    <n v="1"/>
  </r>
  <r>
    <s v="TXN_001376"/>
    <s v="CORP_009"/>
    <x v="63"/>
    <x v="0"/>
    <x v="1"/>
    <s v="12:15–12:45"/>
    <s v="AlaCarte"/>
    <n v="5"/>
    <n v="123.1"/>
    <s v="Credit Card"/>
    <s v="In-store"/>
    <n v="3"/>
    <n v="0"/>
  </r>
  <r>
    <s v="TXN_001377"/>
    <s v="CORP_038"/>
    <x v="63"/>
    <x v="0"/>
    <x v="1"/>
    <s v="12:15–12:45"/>
    <s v="Buffet"/>
    <n v="3"/>
    <n v="64.5"/>
    <s v="Digital Wallet"/>
    <s v="In-store"/>
    <n v="3"/>
    <n v="1"/>
  </r>
  <r>
    <s v="TXN_001378"/>
    <s v="CORP_066"/>
    <x v="63"/>
    <x v="0"/>
    <x v="1"/>
    <s v="12:15–12:45"/>
    <s v="Buffet"/>
    <n v="4"/>
    <n v="89"/>
    <s v="Credit Card"/>
    <s v="In-store"/>
    <n v="3"/>
    <n v="1"/>
  </r>
  <r>
    <s v="TXN_001379"/>
    <s v="WALK_027"/>
    <x v="63"/>
    <x v="0"/>
    <x v="1"/>
    <s v="12:15–12:45"/>
    <s v="Buffet"/>
    <n v="4"/>
    <n v="89"/>
    <s v="Digital Wallet"/>
    <s v="In-store"/>
    <n v="3"/>
    <n v="1"/>
  </r>
  <r>
    <s v="TXN_001380"/>
    <s v="WALK_008"/>
    <x v="63"/>
    <x v="0"/>
    <x v="1"/>
    <s v="12:15–12:45"/>
    <s v="AlaCarte"/>
    <n v="2"/>
    <n v="66.209999999999994"/>
    <s v="Credit Card"/>
    <s v="In-store"/>
    <n v="3"/>
    <n v="0"/>
  </r>
  <r>
    <s v="TXN_001381"/>
    <s v="CORP_054"/>
    <x v="63"/>
    <x v="0"/>
    <x v="1"/>
    <s v="12:45–13:15"/>
    <s v="AlaCarte"/>
    <n v="6"/>
    <n v="50.51"/>
    <s v="Credit Card"/>
    <s v="Takeaway"/>
    <n v="3"/>
    <n v="0"/>
  </r>
  <r>
    <s v="TXN_001382"/>
    <s v="CORP_033"/>
    <x v="63"/>
    <x v="0"/>
    <x v="1"/>
    <s v="12:45–13:15"/>
    <s v="AlaCarte"/>
    <n v="1"/>
    <n v="11.73"/>
    <s v="Cash"/>
    <s v="In-store"/>
    <n v="3"/>
    <n v="0"/>
  </r>
  <r>
    <s v="TXN_001383"/>
    <s v="CORP_048"/>
    <x v="63"/>
    <x v="0"/>
    <x v="1"/>
    <s v="13:15–13:45"/>
    <s v="Buffet"/>
    <n v="2"/>
    <n v="40"/>
    <s v="Credit Card"/>
    <s v="Takeaway"/>
    <n v="3"/>
    <n v="1"/>
  </r>
  <r>
    <s v="TXN_001384"/>
    <s v="WALK_002"/>
    <x v="64"/>
    <x v="1"/>
    <x v="0"/>
    <s v="18:00–18:30"/>
    <s v="AlaCarte"/>
    <n v="4"/>
    <n v="78.86"/>
    <s v="Credit Card"/>
    <s v="In-store"/>
    <n v="4"/>
    <n v="0"/>
  </r>
  <r>
    <s v="TXN_001385"/>
    <s v="WALK_045"/>
    <x v="64"/>
    <x v="1"/>
    <x v="0"/>
    <s v="18:30–19:00"/>
    <s v="AlaCarte"/>
    <n v="2"/>
    <n v="23.44"/>
    <s v="Credit Card"/>
    <s v="In-store"/>
    <n v="4"/>
    <n v="0"/>
  </r>
  <r>
    <s v="TXN_001386"/>
    <s v="WALK_041"/>
    <x v="64"/>
    <x v="1"/>
    <x v="0"/>
    <s v="18:30–19:00"/>
    <s v="AlaCarte"/>
    <n v="5"/>
    <n v="155.31"/>
    <s v="Cash"/>
    <s v="In-store"/>
    <n v="4"/>
    <n v="0"/>
  </r>
  <r>
    <s v="TXN_001387"/>
    <s v="WALK_080"/>
    <x v="64"/>
    <x v="1"/>
    <x v="0"/>
    <s v="19:00–19:30"/>
    <s v="AlaCarte"/>
    <n v="3"/>
    <n v="82.22"/>
    <s v="Cash"/>
    <s v="Takeaway"/>
    <n v="4"/>
    <n v="0"/>
  </r>
  <r>
    <s v="TXN_001388"/>
    <s v="HOTEL_035"/>
    <x v="64"/>
    <x v="1"/>
    <x v="0"/>
    <s v="19:00–19:30"/>
    <s v="AlaCarte"/>
    <n v="2"/>
    <n v="31.53"/>
    <s v="Cash"/>
    <s v="In-store"/>
    <n v="4"/>
    <n v="0"/>
  </r>
  <r>
    <s v="TXN_001389"/>
    <s v="HOTEL_012"/>
    <x v="64"/>
    <x v="1"/>
    <x v="0"/>
    <s v="19:30–20:00"/>
    <s v="AlaCarte"/>
    <n v="4"/>
    <n v="131.22"/>
    <s v="Cash"/>
    <s v="In-store"/>
    <n v="4"/>
    <n v="0"/>
  </r>
  <r>
    <s v="TXN_001390"/>
    <s v="WALK_099"/>
    <x v="64"/>
    <x v="1"/>
    <x v="0"/>
    <s v="19:30–20:00"/>
    <s v="AlaCarte"/>
    <n v="3"/>
    <n v="88.6"/>
    <s v="Credit Card"/>
    <s v="Takeaway"/>
    <n v="4"/>
    <n v="0"/>
  </r>
  <r>
    <s v="TXN_001391"/>
    <s v="WALK_023"/>
    <x v="64"/>
    <x v="1"/>
    <x v="0"/>
    <s v="19:30–20:00"/>
    <s v="AlaCarte"/>
    <n v="1"/>
    <n v="28.4"/>
    <s v="Credit Card"/>
    <s v="In-store"/>
    <n v="4"/>
    <n v="0"/>
  </r>
  <r>
    <s v="TXN_001392"/>
    <s v="WALK_040"/>
    <x v="64"/>
    <x v="1"/>
    <x v="0"/>
    <s v="19:30–20:00"/>
    <s v="AlaCarte"/>
    <n v="4"/>
    <n v="102.87"/>
    <s v="Credit Card"/>
    <s v="Takeaway"/>
    <n v="4"/>
    <n v="0"/>
  </r>
  <r>
    <s v="TXN_001393"/>
    <s v="WALK_082"/>
    <x v="64"/>
    <x v="1"/>
    <x v="0"/>
    <s v="20:00–20:30"/>
    <s v="AlaCarte"/>
    <n v="3"/>
    <n v="114.61"/>
    <s v="Credit Card"/>
    <s v="In-store"/>
    <n v="4"/>
    <n v="0"/>
  </r>
  <r>
    <s v="TXN_001394"/>
    <s v="HOTEL_008"/>
    <x v="64"/>
    <x v="1"/>
    <x v="0"/>
    <s v="20:00–20:30"/>
    <s v="AlaCarte"/>
    <n v="3"/>
    <n v="83.26"/>
    <s v="Credit Card"/>
    <s v="Takeaway"/>
    <n v="4"/>
    <n v="0"/>
  </r>
  <r>
    <s v="TXN_001395"/>
    <s v="CORP_049"/>
    <x v="64"/>
    <x v="1"/>
    <x v="1"/>
    <s v="12:15–12:45"/>
    <s v="AlaCarte"/>
    <n v="3"/>
    <n v="35.799999999999997"/>
    <s v="Credit Card"/>
    <s v="Takeaway"/>
    <n v="4"/>
    <n v="0"/>
  </r>
  <r>
    <s v="TXN_001396"/>
    <s v="CORP_030"/>
    <x v="64"/>
    <x v="1"/>
    <x v="1"/>
    <s v="12:15–12:45"/>
    <s v="Buffet"/>
    <n v="3"/>
    <n v="64.5"/>
    <s v="Credit Card"/>
    <s v="In-store"/>
    <n v="4"/>
    <n v="1"/>
  </r>
  <r>
    <s v="TXN_001397"/>
    <s v="WALK_040"/>
    <x v="64"/>
    <x v="1"/>
    <x v="1"/>
    <s v="12:45–13:15"/>
    <s v="Buffet"/>
    <n v="4"/>
    <n v="80"/>
    <s v="Credit Card"/>
    <s v="In-store"/>
    <n v="4"/>
    <n v="1"/>
  </r>
  <r>
    <s v="TXN_001398"/>
    <s v="CORP_023"/>
    <x v="64"/>
    <x v="1"/>
    <x v="1"/>
    <s v="12:45–13:15"/>
    <s v="AlaCarte"/>
    <n v="1"/>
    <n v="22.91"/>
    <s v="Credit Card"/>
    <s v="In-store"/>
    <n v="4"/>
    <n v="0"/>
  </r>
  <r>
    <s v="TXN_001399"/>
    <s v="CORP_047"/>
    <x v="64"/>
    <x v="1"/>
    <x v="1"/>
    <s v="12:45–13:15"/>
    <s v="Buffet"/>
    <n v="3"/>
    <n v="69"/>
    <s v="Cash"/>
    <s v="In-store"/>
    <n v="4"/>
    <n v="1"/>
  </r>
  <r>
    <s v="TXN_001400"/>
    <s v="WALK_067"/>
    <x v="64"/>
    <x v="1"/>
    <x v="1"/>
    <s v="13:15–13:45"/>
    <s v="Buffet"/>
    <n v="8"/>
    <n v="178"/>
    <s v="Credit Card"/>
    <s v="In-store"/>
    <n v="4"/>
    <n v="1"/>
  </r>
  <r>
    <s v="TXN_001401"/>
    <s v="WALK_090"/>
    <x v="64"/>
    <x v="1"/>
    <x v="1"/>
    <s v="13:15–13:45"/>
    <s v="AlaCarte"/>
    <n v="4"/>
    <n v="49.77"/>
    <s v="Credit Card"/>
    <s v="In-store"/>
    <n v="4"/>
    <n v="0"/>
  </r>
  <r>
    <s v="TXN_001402"/>
    <s v="WALK_044"/>
    <x v="64"/>
    <x v="1"/>
    <x v="1"/>
    <s v="13:15–13:45"/>
    <s v="AlaCarte"/>
    <n v="1"/>
    <n v="15.2"/>
    <s v="Credit Card"/>
    <s v="In-store"/>
    <n v="4"/>
    <n v="0"/>
  </r>
  <r>
    <s v="TXN_001403"/>
    <s v="CORP_058"/>
    <x v="64"/>
    <x v="1"/>
    <x v="1"/>
    <s v="13:45–14:15"/>
    <s v="Buffet"/>
    <n v="4"/>
    <n v="89"/>
    <s v="Digital Wallet"/>
    <s v="In-store"/>
    <n v="4"/>
    <n v="1"/>
  </r>
  <r>
    <s v="TXN_001404"/>
    <s v="WALK_006"/>
    <x v="65"/>
    <x v="2"/>
    <x v="0"/>
    <s v="18:00–18:30"/>
    <s v="AlaCarte"/>
    <n v="3"/>
    <n v="72.819999999999993"/>
    <s v="Credit Card"/>
    <s v="Takeaway"/>
    <n v="5"/>
    <n v="0"/>
  </r>
  <r>
    <s v="TXN_001405"/>
    <s v="HOTEL_015"/>
    <x v="65"/>
    <x v="2"/>
    <x v="0"/>
    <s v="18:30–19:00"/>
    <s v="AlaCarte"/>
    <n v="4"/>
    <n v="99.86"/>
    <s v="Credit Card"/>
    <s v="In-store"/>
    <n v="5"/>
    <n v="0"/>
  </r>
  <r>
    <s v="TXN_001406"/>
    <s v="CORP_052"/>
    <x v="65"/>
    <x v="2"/>
    <x v="0"/>
    <s v="19:00–19:30"/>
    <s v="AlaCarte"/>
    <n v="4"/>
    <n v="106.94"/>
    <s v="Cash"/>
    <s v="In-store"/>
    <n v="5"/>
    <n v="0"/>
  </r>
  <r>
    <s v="TXN_001407"/>
    <s v="WALK_097"/>
    <x v="65"/>
    <x v="2"/>
    <x v="0"/>
    <s v="19:30–20:00"/>
    <s v="AlaCarte"/>
    <n v="2"/>
    <n v="56.56"/>
    <s v="Credit Card"/>
    <s v="Takeaway"/>
    <n v="5"/>
    <n v="0"/>
  </r>
  <r>
    <s v="TXN_001408"/>
    <s v="WALK_011"/>
    <x v="65"/>
    <x v="2"/>
    <x v="0"/>
    <s v="20:00–20:30"/>
    <s v="AlaCarte"/>
    <n v="5"/>
    <n v="118.75"/>
    <s v="Credit Card"/>
    <s v="Takeaway"/>
    <n v="5"/>
    <n v="0"/>
  </r>
  <r>
    <s v="TXN_001409"/>
    <s v="CORP_063"/>
    <x v="65"/>
    <x v="2"/>
    <x v="1"/>
    <s v="12:15–12:45"/>
    <s v="Buffet"/>
    <n v="5"/>
    <n v="109"/>
    <s v="Cash"/>
    <s v="Takeaway"/>
    <n v="5"/>
    <n v="1"/>
  </r>
  <r>
    <s v="TXN_001410"/>
    <s v="WALK_062"/>
    <x v="65"/>
    <x v="2"/>
    <x v="1"/>
    <s v="12:15–12:45"/>
    <s v="Buffet"/>
    <n v="1"/>
    <n v="20"/>
    <s v="Credit Card"/>
    <s v="In-store"/>
    <n v="5"/>
    <n v="1"/>
  </r>
  <r>
    <s v="TXN_001411"/>
    <s v="CORP_047"/>
    <x v="65"/>
    <x v="2"/>
    <x v="1"/>
    <s v="12:15–12:45"/>
    <s v="AlaCarte"/>
    <n v="4"/>
    <n v="92.6"/>
    <s v="Credit Card"/>
    <s v="In-store"/>
    <n v="5"/>
    <n v="0"/>
  </r>
  <r>
    <s v="TXN_001412"/>
    <s v="CORP_021"/>
    <x v="65"/>
    <x v="2"/>
    <x v="1"/>
    <s v="12:15–12:45"/>
    <s v="Buffet"/>
    <n v="5"/>
    <n v="113.5"/>
    <s v="Credit Card"/>
    <s v="In-store"/>
    <n v="5"/>
    <n v="1"/>
  </r>
  <r>
    <s v="TXN_001413"/>
    <s v="CORP_020"/>
    <x v="65"/>
    <x v="2"/>
    <x v="1"/>
    <s v="12:15–12:45"/>
    <s v="Buffet"/>
    <n v="1"/>
    <n v="20"/>
    <s v="Digital Wallet"/>
    <s v="In-store"/>
    <n v="5"/>
    <n v="1"/>
  </r>
  <r>
    <s v="TXN_001414"/>
    <s v="CORP_039"/>
    <x v="65"/>
    <x v="2"/>
    <x v="1"/>
    <s v="12:15–12:45"/>
    <s v="Buffet"/>
    <n v="1"/>
    <n v="24.5"/>
    <s v="Cash"/>
    <s v="Takeaway"/>
    <n v="5"/>
    <n v="1"/>
  </r>
  <r>
    <s v="TXN_001415"/>
    <s v="CORP_046"/>
    <x v="65"/>
    <x v="2"/>
    <x v="1"/>
    <s v="12:15–12:45"/>
    <s v="AlaCarte"/>
    <n v="4"/>
    <n v="84.64"/>
    <s v="Credit Card"/>
    <s v="Takeaway"/>
    <n v="5"/>
    <n v="0"/>
  </r>
  <r>
    <s v="TXN_001416"/>
    <s v="CORP_051"/>
    <x v="65"/>
    <x v="2"/>
    <x v="1"/>
    <s v="12:45–13:15"/>
    <s v="AlaCarte"/>
    <n v="3"/>
    <n v="60.71"/>
    <s v="Credit Card"/>
    <s v="Takeaway"/>
    <n v="5"/>
    <n v="0"/>
  </r>
  <r>
    <s v="TXN_001417"/>
    <s v="CORP_079"/>
    <x v="65"/>
    <x v="2"/>
    <x v="1"/>
    <s v="12:45–13:15"/>
    <s v="AlaCarte"/>
    <n v="1"/>
    <n v="15.81"/>
    <s v="Credit Card"/>
    <s v="In-store"/>
    <n v="5"/>
    <n v="0"/>
  </r>
  <r>
    <s v="TXN_001418"/>
    <s v="CORP_024"/>
    <x v="65"/>
    <x v="2"/>
    <x v="1"/>
    <s v="12:45–13:15"/>
    <s v="AlaCarte"/>
    <n v="3"/>
    <n v="27.23"/>
    <s v="Cash"/>
    <s v="In-store"/>
    <n v="5"/>
    <n v="0"/>
  </r>
  <r>
    <s v="TXN_001419"/>
    <s v="CORP_059"/>
    <x v="65"/>
    <x v="2"/>
    <x v="1"/>
    <s v="13:15–13:45"/>
    <s v="AlaCarte"/>
    <n v="2"/>
    <n v="33.14"/>
    <s v="Credit Card"/>
    <s v="In-store"/>
    <n v="5"/>
    <n v="0"/>
  </r>
  <r>
    <s v="TXN_001420"/>
    <s v="CORP_021"/>
    <x v="65"/>
    <x v="2"/>
    <x v="1"/>
    <s v="13:45–14:15"/>
    <s v="AlaCarte"/>
    <n v="7"/>
    <n v="88.51"/>
    <s v="Credit Card"/>
    <s v="In-store"/>
    <n v="5"/>
    <n v="0"/>
  </r>
  <r>
    <s v="TXN_001421"/>
    <s v="CORP_059"/>
    <x v="65"/>
    <x v="2"/>
    <x v="1"/>
    <s v="13:45–14:15"/>
    <s v="AlaCarte"/>
    <n v="3"/>
    <n v="31.79"/>
    <s v="Digital Wallet"/>
    <s v="In-store"/>
    <n v="5"/>
    <n v="0"/>
  </r>
  <r>
    <s v="TXN_001422"/>
    <s v="CORP_066"/>
    <x v="65"/>
    <x v="2"/>
    <x v="1"/>
    <s v="13:45–14:15"/>
    <s v="Buffet"/>
    <n v="5"/>
    <n v="109"/>
    <s v="Cash"/>
    <s v="In-store"/>
    <n v="5"/>
    <n v="1"/>
  </r>
  <r>
    <s v="TXN_001423"/>
    <s v="WALK_022"/>
    <x v="66"/>
    <x v="3"/>
    <x v="0"/>
    <s v="18:00–18:30"/>
    <s v="AlaCarte"/>
    <n v="4"/>
    <n v="184.4"/>
    <s v="Cash"/>
    <s v="In-store"/>
    <n v="6"/>
    <n v="0"/>
  </r>
  <r>
    <s v="TXN_001424"/>
    <s v="WALK_092"/>
    <x v="66"/>
    <x v="3"/>
    <x v="0"/>
    <s v="18:30–19:00"/>
    <s v="AlaCarte"/>
    <n v="6"/>
    <n v="133.74"/>
    <s v="Credit Card"/>
    <s v="In-store"/>
    <n v="6"/>
    <n v="0"/>
  </r>
  <r>
    <s v="TXN_001425"/>
    <s v="HOTEL_018"/>
    <x v="66"/>
    <x v="3"/>
    <x v="0"/>
    <s v="18:30–19:00"/>
    <s v="AlaCarte"/>
    <n v="3"/>
    <n v="78.760000000000005"/>
    <s v="Credit Card"/>
    <s v="In-store"/>
    <n v="6"/>
    <n v="0"/>
  </r>
  <r>
    <s v="TXN_001426"/>
    <s v="HOTEL_009"/>
    <x v="66"/>
    <x v="3"/>
    <x v="0"/>
    <s v="18:30–19:00"/>
    <s v="AlaCarte"/>
    <n v="4"/>
    <n v="129.5"/>
    <s v="Credit Card"/>
    <s v="In-store"/>
    <n v="6"/>
    <n v="0"/>
  </r>
  <r>
    <s v="TXN_001427"/>
    <s v="HOTEL_019"/>
    <x v="66"/>
    <x v="3"/>
    <x v="0"/>
    <s v="18:30–19:00"/>
    <s v="AlaCarte"/>
    <n v="4"/>
    <n v="92.75"/>
    <s v="Digital Wallet"/>
    <s v="In-store"/>
    <n v="6"/>
    <n v="0"/>
  </r>
  <r>
    <s v="TXN_001428"/>
    <s v="WALK_076"/>
    <x v="66"/>
    <x v="3"/>
    <x v="0"/>
    <s v="18:30–19:00"/>
    <s v="AlaCarte"/>
    <n v="3"/>
    <n v="74.58"/>
    <s v="Credit Card"/>
    <s v="In-store"/>
    <n v="6"/>
    <n v="0"/>
  </r>
  <r>
    <s v="TXN_001429"/>
    <s v="WALK_090"/>
    <x v="66"/>
    <x v="3"/>
    <x v="0"/>
    <s v="19:00–19:30"/>
    <s v="AlaCarte"/>
    <n v="4"/>
    <n v="136.68"/>
    <s v="Credit Card"/>
    <s v="In-store"/>
    <n v="6"/>
    <n v="0"/>
  </r>
  <r>
    <s v="TXN_001430"/>
    <s v="WALK_008"/>
    <x v="66"/>
    <x v="3"/>
    <x v="0"/>
    <s v="19:00–19:30"/>
    <s v="AlaCarte"/>
    <n v="2"/>
    <n v="60.45"/>
    <s v="Credit Card"/>
    <s v="Takeaway"/>
    <n v="6"/>
    <n v="0"/>
  </r>
  <r>
    <s v="TXN_001431"/>
    <s v="WALK_043"/>
    <x v="66"/>
    <x v="3"/>
    <x v="0"/>
    <s v="19:00–19:30"/>
    <s v="AlaCarte"/>
    <n v="4"/>
    <n v="138.86000000000001"/>
    <s v="Digital Wallet"/>
    <s v="In-store"/>
    <n v="6"/>
    <n v="0"/>
  </r>
  <r>
    <s v="TXN_001432"/>
    <s v="WALK_034"/>
    <x v="66"/>
    <x v="3"/>
    <x v="0"/>
    <s v="19:30–20:00"/>
    <s v="AlaCarte"/>
    <n v="2"/>
    <n v="87.59"/>
    <s v="Credit Card"/>
    <s v="In-store"/>
    <n v="6"/>
    <n v="0"/>
  </r>
  <r>
    <s v="TXN_001433"/>
    <s v="WALK_085"/>
    <x v="66"/>
    <x v="3"/>
    <x v="0"/>
    <s v="19:30–20:00"/>
    <s v="AlaCarte"/>
    <n v="4"/>
    <n v="144.16999999999999"/>
    <s v="Credit Card"/>
    <s v="In-store"/>
    <n v="6"/>
    <n v="0"/>
  </r>
  <r>
    <s v="TXN_001434"/>
    <s v="HOTEL_009"/>
    <x v="66"/>
    <x v="3"/>
    <x v="0"/>
    <s v="19:30–20:00"/>
    <s v="AlaCarte"/>
    <n v="2"/>
    <n v="44.05"/>
    <s v="Digital Wallet"/>
    <s v="In-store"/>
    <n v="6"/>
    <n v="0"/>
  </r>
  <r>
    <s v="TXN_001435"/>
    <s v="WALK_009"/>
    <x v="66"/>
    <x v="3"/>
    <x v="0"/>
    <s v="19:30–20:00"/>
    <s v="AlaCarte"/>
    <n v="2"/>
    <n v="62.45"/>
    <s v="Credit Card"/>
    <s v="In-store"/>
    <n v="6"/>
    <n v="0"/>
  </r>
  <r>
    <s v="TXN_001436"/>
    <s v="WALK_014"/>
    <x v="66"/>
    <x v="3"/>
    <x v="0"/>
    <s v="19:30–20:00"/>
    <s v="AlaCarte"/>
    <n v="3"/>
    <n v="52.91"/>
    <s v="Credit Card"/>
    <s v="Takeaway"/>
    <n v="6"/>
    <n v="0"/>
  </r>
  <r>
    <s v="TXN_001437"/>
    <s v="WALK_048"/>
    <x v="66"/>
    <x v="3"/>
    <x v="0"/>
    <s v="20:00–20:30"/>
    <s v="AlaCarte"/>
    <n v="1"/>
    <n v="21.14"/>
    <s v="Cash"/>
    <s v="Takeaway"/>
    <n v="6"/>
    <n v="0"/>
  </r>
  <r>
    <s v="TXN_001438"/>
    <s v="WALK_102"/>
    <x v="66"/>
    <x v="3"/>
    <x v="0"/>
    <s v="20:00–20:30"/>
    <s v="AlaCarte"/>
    <n v="3"/>
    <n v="108.49"/>
    <s v="Credit Card"/>
    <s v="Takeaway"/>
    <n v="6"/>
    <n v="0"/>
  </r>
  <r>
    <s v="TXN_001439"/>
    <s v="WALK_054"/>
    <x v="66"/>
    <x v="3"/>
    <x v="0"/>
    <s v="20:00–20:30"/>
    <s v="AlaCarte"/>
    <n v="4"/>
    <n v="113.36"/>
    <s v="Digital Wallet"/>
    <s v="Takeaway"/>
    <n v="6"/>
    <n v="0"/>
  </r>
  <r>
    <s v="TXN_001440"/>
    <s v="CORP_008"/>
    <x v="66"/>
    <x v="3"/>
    <x v="1"/>
    <s v="12:45–13:15"/>
    <s v="AlaCarte"/>
    <n v="4"/>
    <n v="47.63"/>
    <s v="Cash"/>
    <s v="Takeaway"/>
    <n v="6"/>
    <n v="0"/>
  </r>
  <r>
    <s v="TXN_001441"/>
    <s v="WALK_096"/>
    <x v="66"/>
    <x v="3"/>
    <x v="1"/>
    <s v="12:45–13:15"/>
    <s v="AlaCarte"/>
    <n v="5"/>
    <n v="130.11000000000001"/>
    <s v="Credit Card"/>
    <s v="In-store"/>
    <n v="6"/>
    <n v="0"/>
  </r>
  <r>
    <s v="TXN_001442"/>
    <s v="CORP_046"/>
    <x v="67"/>
    <x v="4"/>
    <x v="0"/>
    <s v="18:00–18:30"/>
    <s v="AlaCarte"/>
    <n v="2"/>
    <n v="54.55"/>
    <s v="Digital Wallet"/>
    <s v="In-store"/>
    <n v="7"/>
    <n v="0"/>
  </r>
  <r>
    <s v="TXN_001443"/>
    <s v="WALK_022"/>
    <x v="67"/>
    <x v="4"/>
    <x v="0"/>
    <s v="18:00–18:30"/>
    <s v="AlaCarte"/>
    <n v="3"/>
    <n v="122.59"/>
    <s v="Credit Card"/>
    <s v="Takeaway"/>
    <n v="7"/>
    <n v="0"/>
  </r>
  <r>
    <s v="TXN_001444"/>
    <s v="WALK_029"/>
    <x v="67"/>
    <x v="4"/>
    <x v="0"/>
    <s v="18:00–18:30"/>
    <s v="AlaCarte"/>
    <n v="6"/>
    <n v="202.56"/>
    <s v="Cash"/>
    <s v="Takeaway"/>
    <n v="7"/>
    <n v="0"/>
  </r>
  <r>
    <s v="TXN_001445"/>
    <s v="WALK_018"/>
    <x v="67"/>
    <x v="4"/>
    <x v="0"/>
    <s v="18:30–19:00"/>
    <s v="AlaCarte"/>
    <n v="4"/>
    <n v="155.78"/>
    <s v="Credit Card"/>
    <s v="Takeaway"/>
    <n v="7"/>
    <n v="0"/>
  </r>
  <r>
    <s v="TXN_001446"/>
    <s v="CORP_011"/>
    <x v="67"/>
    <x v="4"/>
    <x v="0"/>
    <s v="18:30–19:00"/>
    <s v="AlaCarte"/>
    <n v="4"/>
    <n v="96.97"/>
    <s v="Credit Card"/>
    <s v="In-store"/>
    <n v="7"/>
    <n v="0"/>
  </r>
  <r>
    <s v="TXN_001447"/>
    <s v="HOTEL_040"/>
    <x v="67"/>
    <x v="4"/>
    <x v="0"/>
    <s v="18:30–19:00"/>
    <s v="AlaCarte"/>
    <n v="5"/>
    <n v="104.95"/>
    <s v="Cash"/>
    <s v="Takeaway"/>
    <n v="7"/>
    <n v="0"/>
  </r>
  <r>
    <s v="TXN_001448"/>
    <s v="WALK_049"/>
    <x v="67"/>
    <x v="4"/>
    <x v="0"/>
    <s v="19:00–19:30"/>
    <s v="AlaCarte"/>
    <n v="4"/>
    <n v="91.65"/>
    <s v="Cash"/>
    <s v="In-store"/>
    <n v="7"/>
    <n v="0"/>
  </r>
  <r>
    <s v="TXN_001449"/>
    <s v="CORP_062"/>
    <x v="67"/>
    <x v="4"/>
    <x v="0"/>
    <s v="19:00–19:30"/>
    <s v="AlaCarte"/>
    <n v="3"/>
    <n v="81.64"/>
    <s v="Credit Card"/>
    <s v="Takeaway"/>
    <n v="7"/>
    <n v="0"/>
  </r>
  <r>
    <s v="TXN_001450"/>
    <s v="HOTEL_002"/>
    <x v="67"/>
    <x v="4"/>
    <x v="0"/>
    <s v="19:00–19:30"/>
    <s v="AlaCarte"/>
    <n v="3"/>
    <n v="110.88"/>
    <s v="Credit Card"/>
    <s v="In-store"/>
    <n v="7"/>
    <n v="0"/>
  </r>
  <r>
    <s v="TXN_001451"/>
    <s v="HOTEL_008"/>
    <x v="67"/>
    <x v="4"/>
    <x v="0"/>
    <s v="19:00–19:30"/>
    <s v="AlaCarte"/>
    <n v="2"/>
    <n v="85.38"/>
    <s v="Credit Card"/>
    <s v="In-store"/>
    <n v="7"/>
    <n v="0"/>
  </r>
  <r>
    <s v="TXN_001452"/>
    <s v="HOTEL_032"/>
    <x v="67"/>
    <x v="4"/>
    <x v="0"/>
    <s v="19:00–19:30"/>
    <s v="AlaCarte"/>
    <n v="3"/>
    <n v="69.03"/>
    <s v="Cash"/>
    <s v="In-store"/>
    <n v="7"/>
    <n v="0"/>
  </r>
  <r>
    <s v="TXN_001453"/>
    <s v="WALK_021"/>
    <x v="67"/>
    <x v="4"/>
    <x v="0"/>
    <s v="19:30–20:00"/>
    <s v="AlaCarte"/>
    <n v="2"/>
    <n v="41.69"/>
    <s v="Cash"/>
    <s v="In-store"/>
    <n v="7"/>
    <n v="0"/>
  </r>
  <r>
    <s v="TXN_001454"/>
    <s v="WALK_075"/>
    <x v="67"/>
    <x v="4"/>
    <x v="0"/>
    <s v="19:30–20:00"/>
    <s v="AlaCarte"/>
    <n v="3"/>
    <n v="84.16"/>
    <s v="Credit Card"/>
    <s v="In-store"/>
    <n v="7"/>
    <n v="0"/>
  </r>
  <r>
    <s v="TXN_001455"/>
    <s v="WALK_052"/>
    <x v="67"/>
    <x v="4"/>
    <x v="0"/>
    <s v="19:30–20:00"/>
    <s v="AlaCarte"/>
    <n v="2"/>
    <n v="34.520000000000003"/>
    <s v="Cash"/>
    <s v="In-store"/>
    <n v="7"/>
    <n v="0"/>
  </r>
  <r>
    <s v="TXN_001456"/>
    <s v="WALK_005"/>
    <x v="67"/>
    <x v="4"/>
    <x v="0"/>
    <s v="19:30–20:00"/>
    <s v="AlaCarte"/>
    <n v="2"/>
    <n v="24.14"/>
    <s v="Credit Card"/>
    <s v="In-store"/>
    <n v="7"/>
    <n v="0"/>
  </r>
  <r>
    <s v="TXN_001457"/>
    <s v="WALK_097"/>
    <x v="67"/>
    <x v="4"/>
    <x v="0"/>
    <s v="19:30–20:00"/>
    <s v="AlaCarte"/>
    <n v="2"/>
    <n v="51.56"/>
    <s v="Credit Card"/>
    <s v="In-store"/>
    <n v="7"/>
    <n v="0"/>
  </r>
  <r>
    <s v="TXN_001458"/>
    <s v="WALK_016"/>
    <x v="67"/>
    <x v="4"/>
    <x v="0"/>
    <s v="20:00–20:30"/>
    <s v="AlaCarte"/>
    <n v="4"/>
    <n v="60.96"/>
    <s v="Credit Card"/>
    <s v="In-store"/>
    <n v="7"/>
    <n v="0"/>
  </r>
  <r>
    <s v="TXN_001459"/>
    <s v="CORP_021"/>
    <x v="67"/>
    <x v="4"/>
    <x v="1"/>
    <s v="12:15–12:45"/>
    <s v="AlaCarte"/>
    <n v="3"/>
    <n v="45.38"/>
    <s v="Digital Wallet"/>
    <s v="In-store"/>
    <n v="7"/>
    <n v="0"/>
  </r>
  <r>
    <s v="TXN_001460"/>
    <s v="WALK_086"/>
    <x v="67"/>
    <x v="4"/>
    <x v="1"/>
    <s v="13:45–14:15"/>
    <s v="AlaCarte"/>
    <n v="2"/>
    <n v="28.3"/>
    <s v="Cash"/>
    <s v="In-store"/>
    <n v="7"/>
    <n v="0"/>
  </r>
  <r>
    <s v="TXN_001461"/>
    <s v="WALK_071"/>
    <x v="68"/>
    <x v="5"/>
    <x v="0"/>
    <s v="18:00–18:30"/>
    <s v="AlaCarte"/>
    <n v="3"/>
    <n v="135.03"/>
    <s v="Cash"/>
    <s v="In-store"/>
    <n v="1"/>
    <n v="0"/>
  </r>
  <r>
    <s v="TXN_001462"/>
    <s v="CORP_001"/>
    <x v="68"/>
    <x v="5"/>
    <x v="0"/>
    <s v="18:00–18:30"/>
    <s v="AlaCarte"/>
    <n v="1"/>
    <n v="30.08"/>
    <s v="Credit Card"/>
    <s v="Takeaway"/>
    <n v="1"/>
    <n v="0"/>
  </r>
  <r>
    <s v="TXN_001463"/>
    <s v="WALK_036"/>
    <x v="68"/>
    <x v="5"/>
    <x v="0"/>
    <s v="18:00–18:30"/>
    <s v="AlaCarte"/>
    <n v="4"/>
    <n v="117.6"/>
    <s v="Credit Card"/>
    <s v="In-store"/>
    <n v="1"/>
    <n v="0"/>
  </r>
  <r>
    <s v="TXN_001464"/>
    <s v="CORP_043"/>
    <x v="68"/>
    <x v="5"/>
    <x v="0"/>
    <s v="18:30–19:00"/>
    <s v="AlaCarte"/>
    <n v="4"/>
    <n v="89.09"/>
    <s v="Credit Card"/>
    <s v="In-store"/>
    <n v="1"/>
    <n v="0"/>
  </r>
  <r>
    <s v="TXN_001465"/>
    <s v="HOTEL_019"/>
    <x v="68"/>
    <x v="5"/>
    <x v="0"/>
    <s v="18:30–19:00"/>
    <s v="AlaCarte"/>
    <n v="3"/>
    <n v="202.32"/>
    <s v="Digital Wallet"/>
    <s v="In-store"/>
    <n v="1"/>
    <n v="0"/>
  </r>
  <r>
    <s v="TXN_001466"/>
    <s v="WALK_081"/>
    <x v="68"/>
    <x v="5"/>
    <x v="0"/>
    <s v="19:00–19:30"/>
    <s v="AlaCarte"/>
    <n v="4"/>
    <n v="79.709999999999994"/>
    <s v="Credit Card"/>
    <s v="Takeaway"/>
    <n v="1"/>
    <n v="0"/>
  </r>
  <r>
    <s v="TXN_001467"/>
    <s v="WALK_049"/>
    <x v="68"/>
    <x v="5"/>
    <x v="0"/>
    <s v="19:00–19:30"/>
    <s v="AlaCarte"/>
    <n v="1"/>
    <n v="58.18"/>
    <s v="Credit Card"/>
    <s v="Takeaway"/>
    <n v="1"/>
    <n v="0"/>
  </r>
  <r>
    <s v="TXN_001468"/>
    <s v="WALK_095"/>
    <x v="68"/>
    <x v="5"/>
    <x v="0"/>
    <s v="19:00–19:30"/>
    <s v="AlaCarte"/>
    <n v="4"/>
    <n v="128.51"/>
    <s v="Cash"/>
    <s v="In-store"/>
    <n v="1"/>
    <n v="0"/>
  </r>
  <r>
    <s v="TXN_001469"/>
    <s v="WALK_005"/>
    <x v="68"/>
    <x v="5"/>
    <x v="0"/>
    <s v="19:30–20:00"/>
    <s v="AlaCarte"/>
    <n v="1"/>
    <n v="21.69"/>
    <s v="Credit Card"/>
    <s v="In-store"/>
    <n v="1"/>
    <n v="0"/>
  </r>
  <r>
    <s v="TXN_001470"/>
    <s v="WALK_084"/>
    <x v="68"/>
    <x v="5"/>
    <x v="0"/>
    <s v="20:00–20:30"/>
    <s v="AlaCarte"/>
    <n v="3"/>
    <n v="70.13"/>
    <s v="Credit Card"/>
    <s v="In-store"/>
    <n v="1"/>
    <n v="0"/>
  </r>
  <r>
    <s v="TXN_001471"/>
    <s v="WALK_007"/>
    <x v="68"/>
    <x v="5"/>
    <x v="0"/>
    <s v="20:00–20:30"/>
    <s v="AlaCarte"/>
    <n v="5"/>
    <n v="99.86"/>
    <s v="Credit Card"/>
    <s v="In-store"/>
    <n v="1"/>
    <n v="0"/>
  </r>
  <r>
    <s v="TXN_001472"/>
    <s v="WALK_098"/>
    <x v="68"/>
    <x v="5"/>
    <x v="0"/>
    <s v="20:00–20:30"/>
    <s v="AlaCarte"/>
    <n v="4"/>
    <n v="64.2"/>
    <s v="Cash"/>
    <s v="Takeaway"/>
    <n v="1"/>
    <n v="0"/>
  </r>
  <r>
    <s v="TXN_001473"/>
    <s v="WALK_032"/>
    <x v="68"/>
    <x v="5"/>
    <x v="1"/>
    <s v="12:15–12:45"/>
    <s v="AlaCarte"/>
    <n v="3"/>
    <n v="55.75"/>
    <s v="Digital Wallet"/>
    <s v="Takeaway"/>
    <n v="1"/>
    <n v="0"/>
  </r>
  <r>
    <s v="TXN_001474"/>
    <s v="CORP_036"/>
    <x v="68"/>
    <x v="5"/>
    <x v="1"/>
    <s v="12:15–12:45"/>
    <s v="AlaCarte"/>
    <n v="4"/>
    <n v="58.91"/>
    <s v="Digital Wallet"/>
    <s v="In-store"/>
    <n v="1"/>
    <n v="0"/>
  </r>
  <r>
    <s v="TXN_001475"/>
    <s v="CORP_046"/>
    <x v="68"/>
    <x v="5"/>
    <x v="1"/>
    <s v="12:45–13:15"/>
    <s v="AlaCarte"/>
    <n v="2"/>
    <n v="34.08"/>
    <s v="Cash"/>
    <s v="In-store"/>
    <n v="1"/>
    <n v="0"/>
  </r>
  <r>
    <s v="TXN_001476"/>
    <s v="WALK_005"/>
    <x v="68"/>
    <x v="5"/>
    <x v="1"/>
    <s v="12:45–13:15"/>
    <s v="AlaCarte"/>
    <n v="1"/>
    <n v="14.75"/>
    <s v="Credit Card"/>
    <s v="In-store"/>
    <n v="1"/>
    <n v="0"/>
  </r>
  <r>
    <s v="TXN_001477"/>
    <s v="WALK_094"/>
    <x v="68"/>
    <x v="5"/>
    <x v="1"/>
    <s v="13:15–13:45"/>
    <s v="AlaCarte"/>
    <n v="2"/>
    <n v="29.97"/>
    <s v="Cash"/>
    <s v="In-store"/>
    <n v="1"/>
    <n v="0"/>
  </r>
  <r>
    <s v="TXN_001478"/>
    <s v="CORP_066"/>
    <x v="68"/>
    <x v="5"/>
    <x v="1"/>
    <s v="13:15–13:45"/>
    <s v="AlaCarte"/>
    <n v="2"/>
    <n v="36.18"/>
    <s v="Credit Card"/>
    <s v="In-store"/>
    <n v="1"/>
    <n v="0"/>
  </r>
  <r>
    <s v="TXN_001479"/>
    <s v="WALK_069"/>
    <x v="68"/>
    <x v="5"/>
    <x v="1"/>
    <s v="13:15–13:45"/>
    <s v="AlaCarte"/>
    <n v="1"/>
    <n v="20.09"/>
    <s v="Credit Card"/>
    <s v="In-store"/>
    <n v="1"/>
    <n v="0"/>
  </r>
  <r>
    <s v="TXN_001480"/>
    <s v="CORP_072"/>
    <x v="68"/>
    <x v="5"/>
    <x v="1"/>
    <s v="13:45–14:15"/>
    <s v="AlaCarte"/>
    <n v="2"/>
    <n v="34.29"/>
    <s v="Digital Wallet"/>
    <s v="Takeaway"/>
    <n v="1"/>
    <n v="0"/>
  </r>
  <r>
    <s v="TXN_001481"/>
    <s v="WALK_080"/>
    <x v="69"/>
    <x v="6"/>
    <x v="0"/>
    <s v="18:00–18:30"/>
    <s v="AlaCarte"/>
    <n v="3"/>
    <n v="117.98"/>
    <s v="Credit Card"/>
    <s v="In-store"/>
    <n v="2"/>
    <n v="0"/>
  </r>
  <r>
    <s v="TXN_001482"/>
    <s v="CORP_041"/>
    <x v="69"/>
    <x v="6"/>
    <x v="0"/>
    <s v="18:00–18:30"/>
    <s v="AlaCarte"/>
    <n v="2"/>
    <n v="79.61"/>
    <s v="Cash"/>
    <s v="In-store"/>
    <n v="2"/>
    <n v="0"/>
  </r>
  <r>
    <s v="TXN_001483"/>
    <s v="WALK_096"/>
    <x v="69"/>
    <x v="6"/>
    <x v="0"/>
    <s v="18:00–18:30"/>
    <s v="AlaCarte"/>
    <n v="4"/>
    <n v="115.36"/>
    <s v="Credit Card"/>
    <s v="Takeaway"/>
    <n v="2"/>
    <n v="0"/>
  </r>
  <r>
    <s v="TXN_001484"/>
    <s v="WALK_042"/>
    <x v="69"/>
    <x v="6"/>
    <x v="0"/>
    <s v="18:30–19:00"/>
    <s v="AlaCarte"/>
    <n v="3"/>
    <n v="79.14"/>
    <s v="Credit Card"/>
    <s v="In-store"/>
    <n v="2"/>
    <n v="0"/>
  </r>
  <r>
    <s v="TXN_001485"/>
    <s v="HOTEL_031"/>
    <x v="69"/>
    <x v="6"/>
    <x v="0"/>
    <s v="18:30–19:00"/>
    <s v="AlaCarte"/>
    <n v="4"/>
    <n v="118.11"/>
    <s v="Digital Wallet"/>
    <s v="Takeaway"/>
    <n v="2"/>
    <n v="0"/>
  </r>
  <r>
    <s v="TXN_001486"/>
    <s v="WALK_106"/>
    <x v="69"/>
    <x v="6"/>
    <x v="0"/>
    <s v="18:30–19:00"/>
    <s v="AlaCarte"/>
    <n v="1"/>
    <n v="26.56"/>
    <s v="Cash"/>
    <s v="In-store"/>
    <n v="2"/>
    <n v="0"/>
  </r>
  <r>
    <s v="TXN_001487"/>
    <s v="WALK_028"/>
    <x v="69"/>
    <x v="6"/>
    <x v="0"/>
    <s v="19:00–19:30"/>
    <s v="AlaCarte"/>
    <n v="5"/>
    <n v="259.08999999999997"/>
    <s v="Credit Card"/>
    <s v="In-store"/>
    <n v="2"/>
    <n v="0"/>
  </r>
  <r>
    <s v="TXN_001488"/>
    <s v="CORP_079"/>
    <x v="69"/>
    <x v="6"/>
    <x v="0"/>
    <s v="19:00–19:30"/>
    <s v="AlaCarte"/>
    <n v="2"/>
    <n v="77.010000000000005"/>
    <s v="Cash"/>
    <s v="Takeaway"/>
    <n v="2"/>
    <n v="0"/>
  </r>
  <r>
    <s v="TXN_001489"/>
    <s v="WALK_054"/>
    <x v="69"/>
    <x v="6"/>
    <x v="0"/>
    <s v="19:30–20:00"/>
    <s v="AlaCarte"/>
    <n v="4"/>
    <n v="79.55"/>
    <s v="Credit Card"/>
    <s v="Takeaway"/>
    <n v="2"/>
    <n v="0"/>
  </r>
  <r>
    <s v="TXN_001490"/>
    <s v="WALK_041"/>
    <x v="69"/>
    <x v="6"/>
    <x v="0"/>
    <s v="20:00–20:30"/>
    <s v="AlaCarte"/>
    <n v="1"/>
    <n v="17.38"/>
    <s v="Credit Card"/>
    <s v="Takeaway"/>
    <n v="2"/>
    <n v="0"/>
  </r>
  <r>
    <s v="TXN_001491"/>
    <s v="WALK_098"/>
    <x v="69"/>
    <x v="6"/>
    <x v="0"/>
    <s v="20:00–20:30"/>
    <s v="AlaCarte"/>
    <n v="2"/>
    <n v="61.85"/>
    <s v="Cash"/>
    <s v="In-store"/>
    <n v="2"/>
    <n v="0"/>
  </r>
  <r>
    <s v="TXN_001492"/>
    <s v="WALK_062"/>
    <x v="69"/>
    <x v="6"/>
    <x v="0"/>
    <s v="20:00–20:30"/>
    <s v="AlaCarte"/>
    <n v="1"/>
    <n v="37.659999999999997"/>
    <s v="Credit Card"/>
    <s v="In-store"/>
    <n v="2"/>
    <n v="0"/>
  </r>
  <r>
    <s v="TXN_001493"/>
    <s v="WALK_119"/>
    <x v="69"/>
    <x v="6"/>
    <x v="0"/>
    <s v="20:00–20:30"/>
    <s v="AlaCarte"/>
    <n v="4"/>
    <n v="123.49"/>
    <s v="Cash"/>
    <s v="In-store"/>
    <n v="2"/>
    <n v="0"/>
  </r>
  <r>
    <s v="TXN_001494"/>
    <s v="CORP_044"/>
    <x v="69"/>
    <x v="6"/>
    <x v="0"/>
    <s v="20:00–20:30"/>
    <s v="AlaCarte"/>
    <n v="4"/>
    <n v="98.64"/>
    <s v="Digital Wallet"/>
    <s v="Takeaway"/>
    <n v="2"/>
    <n v="0"/>
  </r>
  <r>
    <s v="TXN_001495"/>
    <s v="CORP_028"/>
    <x v="69"/>
    <x v="6"/>
    <x v="1"/>
    <s v="12:45–13:15"/>
    <s v="AlaCarte"/>
    <n v="1"/>
    <n v="16.579999999999998"/>
    <s v="Cash"/>
    <s v="In-store"/>
    <n v="2"/>
    <n v="0"/>
  </r>
  <r>
    <s v="TXN_001496"/>
    <s v="CORP_023"/>
    <x v="69"/>
    <x v="6"/>
    <x v="1"/>
    <s v="12:45–13:15"/>
    <s v="AlaCarte"/>
    <n v="4"/>
    <n v="28.62"/>
    <s v="Credit Card"/>
    <s v="Takeaway"/>
    <n v="2"/>
    <n v="0"/>
  </r>
  <r>
    <s v="TXN_001497"/>
    <s v="CORP_005"/>
    <x v="69"/>
    <x v="6"/>
    <x v="1"/>
    <s v="12:45–13:15"/>
    <s v="AlaCarte"/>
    <n v="3"/>
    <n v="51.24"/>
    <s v="Credit Card"/>
    <s v="Takeaway"/>
    <n v="2"/>
    <n v="0"/>
  </r>
  <r>
    <s v="TXN_001498"/>
    <s v="WALK_120"/>
    <x v="69"/>
    <x v="6"/>
    <x v="1"/>
    <s v="13:15–13:45"/>
    <s v="AlaCarte"/>
    <n v="2"/>
    <n v="28.89"/>
    <s v="Credit Card"/>
    <s v="In-store"/>
    <n v="2"/>
    <n v="0"/>
  </r>
  <r>
    <s v="TXN_001499"/>
    <s v="CORP_023"/>
    <x v="69"/>
    <x v="6"/>
    <x v="1"/>
    <s v="13:15–13:45"/>
    <s v="AlaCarte"/>
    <n v="4"/>
    <n v="34.24"/>
    <s v="Credit Card"/>
    <s v="In-store"/>
    <n v="2"/>
    <n v="0"/>
  </r>
  <r>
    <s v="TXN_001500"/>
    <s v="CORP_061"/>
    <x v="69"/>
    <x v="6"/>
    <x v="1"/>
    <s v="13:45–14:15"/>
    <s v="AlaCarte"/>
    <n v="1"/>
    <n v="15.5"/>
    <s v="Cash"/>
    <s v="In-store"/>
    <n v="2"/>
    <n v="0"/>
  </r>
  <r>
    <s v="TXN_001501"/>
    <s v="CORP_065"/>
    <x v="69"/>
    <x v="6"/>
    <x v="1"/>
    <s v="13:45–14:15"/>
    <s v="AlaCarte"/>
    <n v="1"/>
    <n v="16.45"/>
    <s v="Digital Wallet"/>
    <s v="In-store"/>
    <n v="2"/>
    <n v="0"/>
  </r>
  <r>
    <s v="TXN_001502"/>
    <s v="CORP_072"/>
    <x v="69"/>
    <x v="6"/>
    <x v="1"/>
    <s v="13:45–14:15"/>
    <s v="AlaCarte"/>
    <n v="4"/>
    <n v="53.19"/>
    <s v="Digital Wallet"/>
    <s v="In-store"/>
    <n v="2"/>
    <n v="0"/>
  </r>
  <r>
    <s v="TXN_001503"/>
    <s v="CORP_063"/>
    <x v="70"/>
    <x v="0"/>
    <x v="0"/>
    <s v="18:00–18:30"/>
    <s v="AlaCarte"/>
    <n v="2"/>
    <n v="37.700000000000003"/>
    <s v="Digital Wallet"/>
    <s v="In-store"/>
    <n v="3"/>
    <n v="0"/>
  </r>
  <r>
    <s v="TXN_001504"/>
    <s v="CORP_058"/>
    <x v="70"/>
    <x v="0"/>
    <x v="0"/>
    <s v="18:30–19:00"/>
    <s v="AlaCarte"/>
    <n v="4"/>
    <n v="92.5"/>
    <s v="Digital Wallet"/>
    <s v="In-store"/>
    <n v="3"/>
    <n v="0"/>
  </r>
  <r>
    <s v="TXN_001505"/>
    <s v="WALK_020"/>
    <x v="70"/>
    <x v="0"/>
    <x v="0"/>
    <s v="19:00–19:30"/>
    <s v="AlaCarte"/>
    <n v="2"/>
    <n v="47.11"/>
    <s v="Cash"/>
    <s v="In-store"/>
    <n v="3"/>
    <n v="0"/>
  </r>
  <r>
    <s v="TXN_001506"/>
    <s v="CORP_038"/>
    <x v="70"/>
    <x v="0"/>
    <x v="1"/>
    <s v="12:15–12:45"/>
    <s v="Buffet"/>
    <n v="3"/>
    <n v="64.5"/>
    <s v="Credit Card"/>
    <s v="Takeaway"/>
    <n v="3"/>
    <n v="1"/>
  </r>
  <r>
    <s v="TXN_001507"/>
    <s v="CORP_018"/>
    <x v="70"/>
    <x v="0"/>
    <x v="1"/>
    <s v="12:15–12:45"/>
    <s v="Buffet"/>
    <n v="2"/>
    <n v="44.5"/>
    <s v="Digital Wallet"/>
    <s v="In-store"/>
    <n v="3"/>
    <n v="1"/>
  </r>
  <r>
    <s v="TXN_001508"/>
    <s v="CORP_013"/>
    <x v="70"/>
    <x v="0"/>
    <x v="1"/>
    <s v="12:15–12:45"/>
    <s v="Buffet"/>
    <n v="3"/>
    <n v="73.5"/>
    <s v="Cash"/>
    <s v="In-store"/>
    <n v="3"/>
    <n v="1"/>
  </r>
  <r>
    <s v="TXN_001509"/>
    <s v="CORP_013"/>
    <x v="70"/>
    <x v="0"/>
    <x v="1"/>
    <s v="12:15–12:45"/>
    <s v="Buffet"/>
    <n v="2"/>
    <n v="44.5"/>
    <s v="Cash"/>
    <s v="In-store"/>
    <n v="3"/>
    <n v="1"/>
  </r>
  <r>
    <s v="TXN_001510"/>
    <s v="CORP_051"/>
    <x v="70"/>
    <x v="0"/>
    <x v="1"/>
    <s v="12:15–12:45"/>
    <s v="Buffet"/>
    <n v="1"/>
    <n v="20"/>
    <s v="Cash"/>
    <s v="In-store"/>
    <n v="3"/>
    <n v="1"/>
  </r>
  <r>
    <s v="TXN_001511"/>
    <s v="CORP_020"/>
    <x v="70"/>
    <x v="0"/>
    <x v="1"/>
    <s v="12:45–13:15"/>
    <s v="AlaCarte"/>
    <n v="2"/>
    <n v="50.29"/>
    <s v="Credit Card"/>
    <s v="In-store"/>
    <n v="3"/>
    <n v="0"/>
  </r>
  <r>
    <s v="TXN_001512"/>
    <s v="WALK_070"/>
    <x v="70"/>
    <x v="0"/>
    <x v="1"/>
    <s v="12:45–13:15"/>
    <s v="Buffet"/>
    <n v="4"/>
    <n v="89"/>
    <s v="Credit Card"/>
    <s v="In-store"/>
    <n v="3"/>
    <n v="1"/>
  </r>
  <r>
    <s v="TXN_001513"/>
    <s v="CORP_013"/>
    <x v="70"/>
    <x v="0"/>
    <x v="1"/>
    <s v="12:45–13:15"/>
    <s v="Buffet"/>
    <n v="4"/>
    <n v="89"/>
    <s v="Credit Card"/>
    <s v="In-store"/>
    <n v="3"/>
    <n v="1"/>
  </r>
  <r>
    <s v="TXN_001514"/>
    <s v="CORP_041"/>
    <x v="70"/>
    <x v="0"/>
    <x v="1"/>
    <s v="12:45–13:15"/>
    <s v="AlaCarte"/>
    <n v="5"/>
    <n v="80.2"/>
    <s v="Credit Card"/>
    <s v="In-store"/>
    <n v="3"/>
    <n v="0"/>
  </r>
  <r>
    <s v="TXN_001515"/>
    <s v="CORP_042"/>
    <x v="70"/>
    <x v="0"/>
    <x v="1"/>
    <s v="13:15–13:45"/>
    <s v="Buffet"/>
    <n v="6"/>
    <n v="133.5"/>
    <s v="Credit Card"/>
    <s v="In-store"/>
    <n v="3"/>
    <n v="1"/>
  </r>
  <r>
    <s v="TXN_001516"/>
    <s v="CORP_023"/>
    <x v="70"/>
    <x v="0"/>
    <x v="1"/>
    <s v="13:45–14:15"/>
    <s v="AlaCarte"/>
    <n v="1"/>
    <n v="18.53"/>
    <s v="Credit Card"/>
    <s v="In-store"/>
    <n v="3"/>
    <n v="0"/>
  </r>
  <r>
    <s v="TXN_001517"/>
    <s v="CORP_012"/>
    <x v="70"/>
    <x v="0"/>
    <x v="1"/>
    <s v="13:45–14:15"/>
    <s v="Buffet"/>
    <n v="6"/>
    <n v="142.5"/>
    <s v="Credit Card"/>
    <s v="In-store"/>
    <n v="3"/>
    <n v="1"/>
  </r>
  <r>
    <s v="TXN_001518"/>
    <s v="CORP_024"/>
    <x v="70"/>
    <x v="0"/>
    <x v="1"/>
    <s v="13:45–14:15"/>
    <s v="Buffet"/>
    <n v="3"/>
    <n v="60"/>
    <s v="Credit Card"/>
    <s v="In-store"/>
    <n v="3"/>
    <n v="1"/>
  </r>
  <r>
    <s v="TXN_001519"/>
    <s v="WALK_043"/>
    <x v="71"/>
    <x v="1"/>
    <x v="0"/>
    <s v="18:30–19:00"/>
    <s v="AlaCarte"/>
    <n v="2"/>
    <n v="28.95"/>
    <s v="Credit Card"/>
    <s v="In-store"/>
    <n v="4"/>
    <n v="0"/>
  </r>
  <r>
    <s v="TXN_001520"/>
    <s v="WALK_008"/>
    <x v="71"/>
    <x v="1"/>
    <x v="0"/>
    <s v="18:30–19:00"/>
    <s v="AlaCarte"/>
    <n v="4"/>
    <n v="109.54"/>
    <s v="Credit Card"/>
    <s v="In-store"/>
    <n v="4"/>
    <n v="0"/>
  </r>
  <r>
    <s v="TXN_001521"/>
    <s v="HOTEL_015"/>
    <x v="71"/>
    <x v="1"/>
    <x v="0"/>
    <s v="19:00–19:30"/>
    <s v="AlaCarte"/>
    <n v="2"/>
    <n v="62.44"/>
    <s v="Credit Card"/>
    <s v="In-store"/>
    <n v="4"/>
    <n v="0"/>
  </r>
  <r>
    <s v="TXN_001522"/>
    <s v="WALK_059"/>
    <x v="71"/>
    <x v="1"/>
    <x v="0"/>
    <s v="19:00–19:30"/>
    <s v="AlaCarte"/>
    <n v="3"/>
    <n v="48.4"/>
    <s v="Credit Card"/>
    <s v="In-store"/>
    <n v="4"/>
    <n v="0"/>
  </r>
  <r>
    <s v="TXN_001523"/>
    <s v="HOTEL_006"/>
    <x v="71"/>
    <x v="1"/>
    <x v="0"/>
    <s v="19:00–19:30"/>
    <s v="AlaCarte"/>
    <n v="3"/>
    <n v="116.67"/>
    <s v="Credit Card"/>
    <s v="In-store"/>
    <n v="4"/>
    <n v="0"/>
  </r>
  <r>
    <s v="TXN_001524"/>
    <s v="WALK_112"/>
    <x v="71"/>
    <x v="1"/>
    <x v="0"/>
    <s v="19:30–20:00"/>
    <s v="AlaCarte"/>
    <n v="6"/>
    <n v="146.03"/>
    <s v="Credit Card"/>
    <s v="Takeaway"/>
    <n v="4"/>
    <n v="0"/>
  </r>
  <r>
    <s v="TXN_001525"/>
    <s v="WALK_010"/>
    <x v="71"/>
    <x v="1"/>
    <x v="0"/>
    <s v="19:30–20:00"/>
    <s v="AlaCarte"/>
    <n v="3"/>
    <n v="92.11"/>
    <s v="Credit Card"/>
    <s v="In-store"/>
    <n v="4"/>
    <n v="0"/>
  </r>
  <r>
    <s v="TXN_001526"/>
    <s v="WALK_022"/>
    <x v="71"/>
    <x v="1"/>
    <x v="0"/>
    <s v="20:00–20:30"/>
    <s v="AlaCarte"/>
    <n v="7"/>
    <n v="255.63"/>
    <s v="Credit Card"/>
    <s v="In-store"/>
    <n v="4"/>
    <n v="0"/>
  </r>
  <r>
    <s v="TXN_001527"/>
    <s v="HOTEL_015"/>
    <x v="71"/>
    <x v="1"/>
    <x v="0"/>
    <s v="20:00–20:30"/>
    <s v="AlaCarte"/>
    <n v="2"/>
    <n v="73.22"/>
    <s v="Credit Card"/>
    <s v="Takeaway"/>
    <n v="4"/>
    <n v="0"/>
  </r>
  <r>
    <s v="TXN_001528"/>
    <s v="HOTEL_004"/>
    <x v="71"/>
    <x v="1"/>
    <x v="0"/>
    <s v="20:00–20:30"/>
    <s v="AlaCarte"/>
    <n v="3"/>
    <n v="59.95"/>
    <s v="Digital Wallet"/>
    <s v="In-store"/>
    <n v="4"/>
    <n v="0"/>
  </r>
  <r>
    <s v="TXN_001529"/>
    <s v="WALK_065"/>
    <x v="71"/>
    <x v="1"/>
    <x v="0"/>
    <s v="20:00–20:30"/>
    <s v="AlaCarte"/>
    <n v="2"/>
    <n v="34.94"/>
    <s v="Digital Wallet"/>
    <s v="In-store"/>
    <n v="4"/>
    <n v="0"/>
  </r>
  <r>
    <s v="TXN_001530"/>
    <s v="WALK_048"/>
    <x v="71"/>
    <x v="1"/>
    <x v="0"/>
    <s v="20:00–20:30"/>
    <s v="AlaCarte"/>
    <n v="1"/>
    <n v="35.67"/>
    <s v="Cash"/>
    <s v="In-store"/>
    <n v="4"/>
    <n v="0"/>
  </r>
  <r>
    <s v="TXN_001531"/>
    <s v="CORP_039"/>
    <x v="71"/>
    <x v="1"/>
    <x v="1"/>
    <s v="12:15–12:45"/>
    <s v="AlaCarte"/>
    <n v="7"/>
    <n v="88.99"/>
    <s v="Credit Card"/>
    <s v="In-store"/>
    <n v="4"/>
    <n v="0"/>
  </r>
  <r>
    <s v="TXN_001532"/>
    <s v="CORP_076"/>
    <x v="71"/>
    <x v="1"/>
    <x v="1"/>
    <s v="12:45–13:15"/>
    <s v="Buffet"/>
    <n v="4"/>
    <n v="93.5"/>
    <s v="Credit Card"/>
    <s v="Takeaway"/>
    <n v="4"/>
    <n v="1"/>
  </r>
  <r>
    <s v="TXN_001533"/>
    <s v="CORP_047"/>
    <x v="71"/>
    <x v="1"/>
    <x v="1"/>
    <s v="12:45–13:15"/>
    <s v="AlaCarte"/>
    <n v="2"/>
    <n v="68.84"/>
    <s v="Cash"/>
    <s v="Takeaway"/>
    <n v="4"/>
    <n v="0"/>
  </r>
  <r>
    <s v="TXN_001534"/>
    <s v="CORP_071"/>
    <x v="71"/>
    <x v="1"/>
    <x v="1"/>
    <s v="12:45–13:15"/>
    <s v="Buffet"/>
    <n v="4"/>
    <n v="80"/>
    <s v="Digital Wallet"/>
    <s v="In-store"/>
    <n v="4"/>
    <n v="1"/>
  </r>
  <r>
    <s v="TXN_001535"/>
    <s v="WALK_103"/>
    <x v="71"/>
    <x v="1"/>
    <x v="1"/>
    <s v="12:45–13:15"/>
    <s v="AlaCarte"/>
    <n v="2"/>
    <n v="52.36"/>
    <s v="Credit Card"/>
    <s v="In-store"/>
    <n v="4"/>
    <n v="0"/>
  </r>
  <r>
    <s v="TXN_001536"/>
    <s v="CORP_060"/>
    <x v="71"/>
    <x v="1"/>
    <x v="1"/>
    <s v="12:45–13:15"/>
    <s v="Buffet"/>
    <n v="1"/>
    <n v="24.5"/>
    <s v="Digital Wallet"/>
    <s v="In-store"/>
    <n v="4"/>
    <n v="1"/>
  </r>
  <r>
    <s v="TXN_001537"/>
    <s v="CORP_007"/>
    <x v="71"/>
    <x v="1"/>
    <x v="1"/>
    <s v="13:15–13:45"/>
    <s v="Buffet"/>
    <n v="2"/>
    <n v="44.5"/>
    <s v="Digital Wallet"/>
    <s v="In-store"/>
    <n v="4"/>
    <n v="1"/>
  </r>
  <r>
    <s v="TXN_001538"/>
    <s v="CORP_002"/>
    <x v="71"/>
    <x v="1"/>
    <x v="1"/>
    <s v="13:45–14:15"/>
    <s v="Buffet"/>
    <n v="7"/>
    <n v="153.5"/>
    <s v="Credit Card"/>
    <s v="In-store"/>
    <n v="4"/>
    <n v="1"/>
  </r>
  <r>
    <s v="TXN_001539"/>
    <s v="WALK_010"/>
    <x v="71"/>
    <x v="1"/>
    <x v="1"/>
    <s v="13:45–14:15"/>
    <s v="Buffet"/>
    <n v="3"/>
    <n v="64.5"/>
    <s v="Credit Card"/>
    <s v="In-store"/>
    <n v="4"/>
    <n v="1"/>
  </r>
  <r>
    <s v="TXN_001540"/>
    <s v="WALK_034"/>
    <x v="72"/>
    <x v="2"/>
    <x v="0"/>
    <s v="18:00–18:30"/>
    <s v="AlaCarte"/>
    <n v="3"/>
    <n v="137.25"/>
    <s v="Cash"/>
    <s v="In-store"/>
    <n v="5"/>
    <n v="0"/>
  </r>
  <r>
    <s v="TXN_001541"/>
    <s v="WALK_093"/>
    <x v="72"/>
    <x v="2"/>
    <x v="0"/>
    <s v="18:00–18:30"/>
    <s v="AlaCarte"/>
    <n v="3"/>
    <n v="67.37"/>
    <s v="Credit Card"/>
    <s v="In-store"/>
    <n v="5"/>
    <n v="0"/>
  </r>
  <r>
    <s v="TXN_001542"/>
    <s v="WALK_082"/>
    <x v="72"/>
    <x v="2"/>
    <x v="0"/>
    <s v="18:30–19:00"/>
    <s v="AlaCarte"/>
    <n v="2"/>
    <n v="105.18"/>
    <s v="Digital Wallet"/>
    <s v="Takeaway"/>
    <n v="5"/>
    <n v="0"/>
  </r>
  <r>
    <s v="TXN_001543"/>
    <s v="CORP_043"/>
    <x v="72"/>
    <x v="2"/>
    <x v="0"/>
    <s v="18:30–19:00"/>
    <s v="AlaCarte"/>
    <n v="6"/>
    <n v="175.24"/>
    <s v="Credit Card"/>
    <s v="In-store"/>
    <n v="5"/>
    <n v="0"/>
  </r>
  <r>
    <s v="TXN_001544"/>
    <s v="WALK_093"/>
    <x v="72"/>
    <x v="2"/>
    <x v="0"/>
    <s v="18:30–19:00"/>
    <s v="AlaCarte"/>
    <n v="6"/>
    <n v="173.13"/>
    <s v="Cash"/>
    <s v="In-store"/>
    <n v="5"/>
    <n v="0"/>
  </r>
  <r>
    <s v="TXN_001545"/>
    <s v="WALK_099"/>
    <x v="72"/>
    <x v="2"/>
    <x v="0"/>
    <s v="18:30–19:00"/>
    <s v="AlaCarte"/>
    <n v="2"/>
    <n v="38.630000000000003"/>
    <s v="Credit Card"/>
    <s v="In-store"/>
    <n v="5"/>
    <n v="0"/>
  </r>
  <r>
    <s v="TXN_001546"/>
    <s v="WALK_088"/>
    <x v="72"/>
    <x v="2"/>
    <x v="0"/>
    <s v="19:00–19:30"/>
    <s v="AlaCarte"/>
    <n v="3"/>
    <n v="112.99"/>
    <s v="Credit Card"/>
    <s v="Takeaway"/>
    <n v="5"/>
    <n v="0"/>
  </r>
  <r>
    <s v="TXN_001547"/>
    <s v="WALK_076"/>
    <x v="72"/>
    <x v="2"/>
    <x v="0"/>
    <s v="19:00–19:30"/>
    <s v="AlaCarte"/>
    <n v="2"/>
    <n v="46.59"/>
    <s v="Cash"/>
    <s v="In-store"/>
    <n v="5"/>
    <n v="0"/>
  </r>
  <r>
    <s v="TXN_001548"/>
    <s v="WALK_038"/>
    <x v="72"/>
    <x v="2"/>
    <x v="0"/>
    <s v="19:00–19:30"/>
    <s v="AlaCarte"/>
    <n v="3"/>
    <n v="67.34"/>
    <s v="Cash"/>
    <s v="Takeaway"/>
    <n v="5"/>
    <n v="0"/>
  </r>
  <r>
    <s v="TXN_001549"/>
    <s v="HOTEL_024"/>
    <x v="72"/>
    <x v="2"/>
    <x v="0"/>
    <s v="19:00–19:30"/>
    <s v="AlaCarte"/>
    <n v="1"/>
    <n v="18.190000000000001"/>
    <s v="Credit Card"/>
    <s v="In-store"/>
    <n v="5"/>
    <n v="0"/>
  </r>
  <r>
    <s v="TXN_001550"/>
    <s v="CORP_078"/>
    <x v="72"/>
    <x v="2"/>
    <x v="0"/>
    <s v="19:30–20:00"/>
    <s v="AlaCarte"/>
    <n v="1"/>
    <n v="25.66"/>
    <s v="Credit Card"/>
    <s v="Takeaway"/>
    <n v="5"/>
    <n v="0"/>
  </r>
  <r>
    <s v="TXN_001551"/>
    <s v="CORP_007"/>
    <x v="72"/>
    <x v="2"/>
    <x v="0"/>
    <s v="19:30–20:00"/>
    <s v="AlaCarte"/>
    <n v="2"/>
    <n v="39.93"/>
    <s v="Cash"/>
    <s v="In-store"/>
    <n v="5"/>
    <n v="0"/>
  </r>
  <r>
    <s v="TXN_001552"/>
    <s v="WALK_059"/>
    <x v="72"/>
    <x v="2"/>
    <x v="0"/>
    <s v="20:00–20:30"/>
    <s v="AlaCarte"/>
    <n v="1"/>
    <n v="29.99"/>
    <s v="Digital Wallet"/>
    <s v="In-store"/>
    <n v="5"/>
    <n v="0"/>
  </r>
  <r>
    <s v="TXN_001553"/>
    <s v="HOTEL_019"/>
    <x v="72"/>
    <x v="2"/>
    <x v="0"/>
    <s v="20:00–20:30"/>
    <s v="AlaCarte"/>
    <n v="4"/>
    <n v="157.33000000000001"/>
    <s v="Digital Wallet"/>
    <s v="In-store"/>
    <n v="5"/>
    <n v="0"/>
  </r>
  <r>
    <s v="TXN_001554"/>
    <s v="WALK_019"/>
    <x v="72"/>
    <x v="2"/>
    <x v="0"/>
    <s v="20:00–20:30"/>
    <s v="AlaCarte"/>
    <n v="3"/>
    <n v="75.64"/>
    <s v="Cash"/>
    <s v="In-store"/>
    <n v="5"/>
    <n v="0"/>
  </r>
  <r>
    <s v="TXN_001555"/>
    <s v="CORP_049"/>
    <x v="72"/>
    <x v="2"/>
    <x v="1"/>
    <s v="12:15–12:45"/>
    <s v="AlaCarte"/>
    <n v="2"/>
    <n v="45.35"/>
    <s v="Cash"/>
    <s v="In-store"/>
    <n v="5"/>
    <n v="0"/>
  </r>
  <r>
    <s v="TXN_001556"/>
    <s v="CORP_038"/>
    <x v="72"/>
    <x v="2"/>
    <x v="1"/>
    <s v="12:45–13:15"/>
    <s v="Buffet"/>
    <n v="1"/>
    <n v="20"/>
    <s v="Credit Card"/>
    <s v="In-store"/>
    <n v="5"/>
    <n v="1"/>
  </r>
  <r>
    <s v="TXN_001557"/>
    <s v="WALK_037"/>
    <x v="72"/>
    <x v="2"/>
    <x v="1"/>
    <s v="12:45–13:15"/>
    <s v="Buffet"/>
    <n v="3"/>
    <n v="69"/>
    <s v="Credit Card"/>
    <s v="In-store"/>
    <n v="5"/>
    <n v="1"/>
  </r>
  <r>
    <s v="TXN_001558"/>
    <s v="CORP_062"/>
    <x v="72"/>
    <x v="2"/>
    <x v="1"/>
    <s v="12:45–13:15"/>
    <s v="AlaCarte"/>
    <n v="3"/>
    <n v="36.090000000000003"/>
    <s v="Credit Card"/>
    <s v="In-store"/>
    <n v="5"/>
    <n v="0"/>
  </r>
  <r>
    <s v="TXN_001559"/>
    <s v="WALK_087"/>
    <x v="72"/>
    <x v="2"/>
    <x v="1"/>
    <s v="13:15–13:45"/>
    <s v="Buffet"/>
    <n v="2"/>
    <n v="40"/>
    <s v="Credit Card"/>
    <s v="In-store"/>
    <n v="5"/>
    <n v="1"/>
  </r>
  <r>
    <s v="TXN_001560"/>
    <s v="CORP_019"/>
    <x v="72"/>
    <x v="2"/>
    <x v="1"/>
    <s v="13:15–13:45"/>
    <s v="Buffet"/>
    <n v="3"/>
    <n v="69"/>
    <s v="Credit Card"/>
    <s v="Takeaway"/>
    <n v="5"/>
    <n v="1"/>
  </r>
  <r>
    <s v="TXN_001561"/>
    <s v="CORP_039"/>
    <x v="72"/>
    <x v="2"/>
    <x v="1"/>
    <s v="13:15–13:45"/>
    <s v="AlaCarte"/>
    <n v="2"/>
    <n v="28.34"/>
    <s v="Digital Wallet"/>
    <s v="In-store"/>
    <n v="5"/>
    <n v="0"/>
  </r>
  <r>
    <s v="TXN_001562"/>
    <s v="WALK_032"/>
    <x v="72"/>
    <x v="2"/>
    <x v="1"/>
    <s v="13:45–14:15"/>
    <s v="Buffet"/>
    <n v="3"/>
    <n v="64.5"/>
    <s v="Cash"/>
    <s v="In-store"/>
    <n v="5"/>
    <n v="1"/>
  </r>
  <r>
    <s v="TXN_001563"/>
    <s v="CORP_008"/>
    <x v="72"/>
    <x v="2"/>
    <x v="1"/>
    <s v="13:45–14:15"/>
    <s v="AlaCarte"/>
    <n v="2"/>
    <n v="33.450000000000003"/>
    <s v="Credit Card"/>
    <s v="In-store"/>
    <n v="5"/>
    <n v="0"/>
  </r>
  <r>
    <s v="TXN_001564"/>
    <s v="HOTEL_018"/>
    <x v="73"/>
    <x v="3"/>
    <x v="0"/>
    <s v="18:00–18:30"/>
    <s v="AlaCarte"/>
    <n v="6"/>
    <n v="255.73"/>
    <s v="Credit Card"/>
    <s v="Takeaway"/>
    <n v="6"/>
    <n v="0"/>
  </r>
  <r>
    <s v="TXN_001565"/>
    <s v="HOTEL_040"/>
    <x v="73"/>
    <x v="3"/>
    <x v="0"/>
    <s v="18:30–19:00"/>
    <s v="AlaCarte"/>
    <n v="3"/>
    <n v="67.540000000000006"/>
    <s v="Credit Card"/>
    <s v="In-store"/>
    <n v="6"/>
    <n v="0"/>
  </r>
  <r>
    <s v="TXN_001566"/>
    <s v="CORP_044"/>
    <x v="73"/>
    <x v="3"/>
    <x v="0"/>
    <s v="18:30–19:00"/>
    <s v="AlaCarte"/>
    <n v="2"/>
    <n v="37.53"/>
    <s v="Credit Card"/>
    <s v="In-store"/>
    <n v="6"/>
    <n v="0"/>
  </r>
  <r>
    <s v="TXN_001567"/>
    <s v="WALK_051"/>
    <x v="73"/>
    <x v="3"/>
    <x v="0"/>
    <s v="18:30–19:00"/>
    <s v="AlaCarte"/>
    <n v="4"/>
    <n v="201.46"/>
    <s v="Cash"/>
    <s v="In-store"/>
    <n v="6"/>
    <n v="0"/>
  </r>
  <r>
    <s v="TXN_001568"/>
    <s v="CORP_066"/>
    <x v="73"/>
    <x v="3"/>
    <x v="0"/>
    <s v="19:00–19:30"/>
    <s v="AlaCarte"/>
    <n v="5"/>
    <n v="162.5"/>
    <s v="Credit Card"/>
    <s v="In-store"/>
    <n v="6"/>
    <n v="0"/>
  </r>
  <r>
    <s v="TXN_001569"/>
    <s v="HOTEL_003"/>
    <x v="73"/>
    <x v="3"/>
    <x v="0"/>
    <s v="19:00–19:30"/>
    <s v="AlaCarte"/>
    <n v="2"/>
    <n v="64.98"/>
    <s v="Credit Card"/>
    <s v="In-store"/>
    <n v="6"/>
    <n v="0"/>
  </r>
  <r>
    <s v="TXN_001570"/>
    <s v="CORP_046"/>
    <x v="73"/>
    <x v="3"/>
    <x v="0"/>
    <s v="19:00–19:30"/>
    <s v="AlaCarte"/>
    <n v="5"/>
    <n v="86.81"/>
    <s v="Credit Card"/>
    <s v="In-store"/>
    <n v="6"/>
    <n v="0"/>
  </r>
  <r>
    <s v="TXN_001571"/>
    <s v="WALK_059"/>
    <x v="73"/>
    <x v="3"/>
    <x v="0"/>
    <s v="19:00–19:30"/>
    <s v="AlaCarte"/>
    <n v="4"/>
    <n v="179.71"/>
    <s v="Credit Card"/>
    <s v="In-store"/>
    <n v="6"/>
    <n v="0"/>
  </r>
  <r>
    <s v="TXN_001572"/>
    <s v="HOTEL_008"/>
    <x v="73"/>
    <x v="3"/>
    <x v="0"/>
    <s v="19:00–19:30"/>
    <s v="AlaCarte"/>
    <n v="2"/>
    <n v="45.12"/>
    <s v="Digital Wallet"/>
    <s v="In-store"/>
    <n v="6"/>
    <n v="0"/>
  </r>
  <r>
    <s v="TXN_001573"/>
    <s v="WALK_076"/>
    <x v="73"/>
    <x v="3"/>
    <x v="0"/>
    <s v="19:00–19:30"/>
    <s v="AlaCarte"/>
    <n v="2"/>
    <n v="61.46"/>
    <s v="Credit Card"/>
    <s v="Takeaway"/>
    <n v="6"/>
    <n v="0"/>
  </r>
  <r>
    <s v="TXN_001574"/>
    <s v="WALK_032"/>
    <x v="73"/>
    <x v="3"/>
    <x v="0"/>
    <s v="19:30–20:00"/>
    <s v="AlaCarte"/>
    <n v="2"/>
    <n v="55.23"/>
    <s v="Cash"/>
    <s v="In-store"/>
    <n v="6"/>
    <n v="0"/>
  </r>
  <r>
    <s v="TXN_001575"/>
    <s v="HOTEL_021"/>
    <x v="73"/>
    <x v="3"/>
    <x v="0"/>
    <s v="19:30–20:00"/>
    <s v="AlaCarte"/>
    <n v="5"/>
    <n v="78.069999999999993"/>
    <s v="Cash"/>
    <s v="Takeaway"/>
    <n v="6"/>
    <n v="0"/>
  </r>
  <r>
    <s v="TXN_001576"/>
    <s v="WALK_026"/>
    <x v="73"/>
    <x v="3"/>
    <x v="0"/>
    <s v="19:30–20:00"/>
    <s v="AlaCarte"/>
    <n v="5"/>
    <n v="157.41999999999999"/>
    <s v="Cash"/>
    <s v="In-store"/>
    <n v="6"/>
    <n v="0"/>
  </r>
  <r>
    <s v="TXN_001577"/>
    <s v="HOTEL_029"/>
    <x v="73"/>
    <x v="3"/>
    <x v="0"/>
    <s v="19:30–20:00"/>
    <s v="AlaCarte"/>
    <n v="5"/>
    <n v="217.2"/>
    <s v="Credit Card"/>
    <s v="In-store"/>
    <n v="6"/>
    <n v="0"/>
  </r>
  <r>
    <s v="TXN_001578"/>
    <s v="HOTEL_030"/>
    <x v="73"/>
    <x v="3"/>
    <x v="0"/>
    <s v="19:30–20:00"/>
    <s v="AlaCarte"/>
    <n v="1"/>
    <n v="21.48"/>
    <s v="Credit Card"/>
    <s v="In-store"/>
    <n v="6"/>
    <n v="0"/>
  </r>
  <r>
    <s v="TXN_001579"/>
    <s v="WALK_101"/>
    <x v="73"/>
    <x v="3"/>
    <x v="0"/>
    <s v="19:30–20:00"/>
    <s v="AlaCarte"/>
    <n v="2"/>
    <n v="51.77"/>
    <s v="Credit Card"/>
    <s v="Takeaway"/>
    <n v="6"/>
    <n v="0"/>
  </r>
  <r>
    <s v="TXN_001580"/>
    <s v="WALK_076"/>
    <x v="73"/>
    <x v="3"/>
    <x v="0"/>
    <s v="19:30–20:00"/>
    <s v="AlaCarte"/>
    <n v="4"/>
    <n v="95.42"/>
    <s v="Cash"/>
    <s v="In-store"/>
    <n v="6"/>
    <n v="0"/>
  </r>
  <r>
    <s v="TXN_001581"/>
    <s v="HOTEL_004"/>
    <x v="73"/>
    <x v="3"/>
    <x v="0"/>
    <s v="19:30–20:00"/>
    <s v="AlaCarte"/>
    <n v="2"/>
    <n v="45.35"/>
    <s v="Cash"/>
    <s v="Takeaway"/>
    <n v="6"/>
    <n v="0"/>
  </r>
  <r>
    <s v="TXN_001582"/>
    <s v="WALK_084"/>
    <x v="73"/>
    <x v="3"/>
    <x v="0"/>
    <s v="19:30–20:00"/>
    <s v="AlaCarte"/>
    <n v="7"/>
    <n v="104.27"/>
    <s v="Digital Wallet"/>
    <s v="In-store"/>
    <n v="6"/>
    <n v="0"/>
  </r>
  <r>
    <s v="TXN_001583"/>
    <s v="CORP_005"/>
    <x v="73"/>
    <x v="3"/>
    <x v="0"/>
    <s v="20:00–20:30"/>
    <s v="AlaCarte"/>
    <n v="1"/>
    <n v="19.899999999999999"/>
    <s v="Cash"/>
    <s v="In-store"/>
    <n v="6"/>
    <n v="0"/>
  </r>
  <r>
    <s v="TXN_001584"/>
    <s v="HOTEL_016"/>
    <x v="73"/>
    <x v="3"/>
    <x v="0"/>
    <s v="20:00–20:30"/>
    <s v="AlaCarte"/>
    <n v="4"/>
    <n v="138.38999999999999"/>
    <s v="Credit Card"/>
    <s v="Takeaway"/>
    <n v="6"/>
    <n v="0"/>
  </r>
  <r>
    <s v="TXN_001585"/>
    <s v="WALK_089"/>
    <x v="73"/>
    <x v="3"/>
    <x v="0"/>
    <s v="20:00–20:30"/>
    <s v="AlaCarte"/>
    <n v="3"/>
    <n v="61.49"/>
    <s v="Credit Card"/>
    <s v="In-store"/>
    <n v="6"/>
    <n v="0"/>
  </r>
  <r>
    <s v="TXN_001586"/>
    <s v="WALK_094"/>
    <x v="73"/>
    <x v="3"/>
    <x v="0"/>
    <s v="20:00–20:30"/>
    <s v="AlaCarte"/>
    <n v="2"/>
    <n v="49.45"/>
    <s v="Cash"/>
    <s v="Takeaway"/>
    <n v="6"/>
    <n v="0"/>
  </r>
  <r>
    <s v="TXN_001587"/>
    <s v="WALK_034"/>
    <x v="73"/>
    <x v="3"/>
    <x v="0"/>
    <s v="20:00–20:30"/>
    <s v="AlaCarte"/>
    <n v="1"/>
    <n v="35.85"/>
    <s v="Credit Card"/>
    <s v="In-store"/>
    <n v="6"/>
    <n v="0"/>
  </r>
  <r>
    <s v="TXN_001588"/>
    <s v="WALK_067"/>
    <x v="73"/>
    <x v="3"/>
    <x v="1"/>
    <s v="12:15–12:45"/>
    <s v="AlaCarte"/>
    <n v="5"/>
    <n v="85.46"/>
    <s v="Digital Wallet"/>
    <s v="In-store"/>
    <n v="6"/>
    <n v="0"/>
  </r>
  <r>
    <s v="TXN_001589"/>
    <s v="WALK_118"/>
    <x v="73"/>
    <x v="3"/>
    <x v="1"/>
    <s v="12:15–12:45"/>
    <s v="AlaCarte"/>
    <n v="7"/>
    <n v="65.03"/>
    <s v="Credit Card"/>
    <s v="In-store"/>
    <n v="6"/>
    <n v="0"/>
  </r>
  <r>
    <s v="TXN_001590"/>
    <s v="CORP_070"/>
    <x v="73"/>
    <x v="3"/>
    <x v="1"/>
    <s v="12:45–13:15"/>
    <s v="AlaCarte"/>
    <n v="2"/>
    <n v="36.24"/>
    <s v="Cash"/>
    <s v="In-store"/>
    <n v="6"/>
    <n v="0"/>
  </r>
  <r>
    <s v="TXN_001591"/>
    <s v="WALK_049"/>
    <x v="73"/>
    <x v="3"/>
    <x v="1"/>
    <s v="12:45–13:15"/>
    <s v="AlaCarte"/>
    <n v="1"/>
    <n v="15.82"/>
    <s v="Credit Card"/>
    <s v="In-store"/>
    <n v="6"/>
    <n v="0"/>
  </r>
  <r>
    <s v="TXN_001592"/>
    <s v="CORP_080"/>
    <x v="74"/>
    <x v="4"/>
    <x v="0"/>
    <s v="18:00–18:30"/>
    <s v="AlaCarte"/>
    <n v="2"/>
    <n v="49.02"/>
    <s v="Cash"/>
    <s v="In-store"/>
    <n v="7"/>
    <n v="0"/>
  </r>
  <r>
    <s v="TXN_001593"/>
    <s v="CORP_039"/>
    <x v="74"/>
    <x v="4"/>
    <x v="0"/>
    <s v="18:00–18:30"/>
    <s v="AlaCarte"/>
    <n v="3"/>
    <n v="91.16"/>
    <s v="Credit Card"/>
    <s v="In-store"/>
    <n v="7"/>
    <n v="0"/>
  </r>
  <r>
    <s v="TXN_001594"/>
    <s v="WALK_053"/>
    <x v="74"/>
    <x v="4"/>
    <x v="0"/>
    <s v="18:00–18:30"/>
    <s v="AlaCarte"/>
    <n v="4"/>
    <n v="67.27"/>
    <s v="Credit Card"/>
    <s v="In-store"/>
    <n v="7"/>
    <n v="0"/>
  </r>
  <r>
    <s v="TXN_001595"/>
    <s v="HOTEL_024"/>
    <x v="74"/>
    <x v="4"/>
    <x v="0"/>
    <s v="18:30–19:00"/>
    <s v="AlaCarte"/>
    <n v="4"/>
    <n v="224.1"/>
    <s v="Credit Card"/>
    <s v="Takeaway"/>
    <n v="7"/>
    <n v="0"/>
  </r>
  <r>
    <s v="TXN_001596"/>
    <s v="HOTEL_017"/>
    <x v="74"/>
    <x v="4"/>
    <x v="0"/>
    <s v="18:30–19:00"/>
    <s v="AlaCarte"/>
    <n v="5"/>
    <n v="102.15"/>
    <s v="Cash"/>
    <s v="In-store"/>
    <n v="7"/>
    <n v="0"/>
  </r>
  <r>
    <s v="TXN_001597"/>
    <s v="HOTEL_008"/>
    <x v="74"/>
    <x v="4"/>
    <x v="0"/>
    <s v="18:30–19:00"/>
    <s v="AlaCarte"/>
    <n v="3"/>
    <n v="100.15"/>
    <s v="Digital Wallet"/>
    <s v="In-store"/>
    <n v="7"/>
    <n v="0"/>
  </r>
  <r>
    <s v="TXN_001598"/>
    <s v="HOTEL_025"/>
    <x v="74"/>
    <x v="4"/>
    <x v="0"/>
    <s v="19:00–19:30"/>
    <s v="AlaCarte"/>
    <n v="3"/>
    <n v="91.66"/>
    <s v="Cash"/>
    <s v="In-store"/>
    <n v="7"/>
    <n v="0"/>
  </r>
  <r>
    <s v="TXN_001599"/>
    <s v="HOTEL_015"/>
    <x v="74"/>
    <x v="4"/>
    <x v="0"/>
    <s v="19:30–20:00"/>
    <s v="AlaCarte"/>
    <n v="4"/>
    <n v="97.76"/>
    <s v="Credit Card"/>
    <s v="Takeaway"/>
    <n v="7"/>
    <n v="0"/>
  </r>
  <r>
    <s v="TXN_001600"/>
    <s v="WALK_004"/>
    <x v="74"/>
    <x v="4"/>
    <x v="0"/>
    <s v="19:30–20:00"/>
    <s v="AlaCarte"/>
    <n v="2"/>
    <n v="37.67"/>
    <s v="Credit Card"/>
    <s v="In-store"/>
    <n v="7"/>
    <n v="0"/>
  </r>
  <r>
    <s v="TXN_001601"/>
    <s v="WALK_084"/>
    <x v="74"/>
    <x v="4"/>
    <x v="0"/>
    <s v="20:00–20:30"/>
    <s v="AlaCarte"/>
    <n v="3"/>
    <n v="64.099999999999994"/>
    <s v="Credit Card"/>
    <s v="In-store"/>
    <n v="7"/>
    <n v="0"/>
  </r>
  <r>
    <s v="TXN_001602"/>
    <s v="CORP_073"/>
    <x v="74"/>
    <x v="4"/>
    <x v="0"/>
    <s v="20:00–20:30"/>
    <s v="AlaCarte"/>
    <n v="6"/>
    <n v="138.75"/>
    <s v="Credit Card"/>
    <s v="Takeaway"/>
    <n v="7"/>
    <n v="0"/>
  </r>
  <r>
    <s v="TXN_001603"/>
    <s v="HOTEL_028"/>
    <x v="74"/>
    <x v="4"/>
    <x v="0"/>
    <s v="20:00–20:30"/>
    <s v="AlaCarte"/>
    <n v="3"/>
    <n v="124.4"/>
    <s v="Cash"/>
    <s v="In-store"/>
    <n v="7"/>
    <n v="0"/>
  </r>
  <r>
    <s v="TXN_001604"/>
    <s v="HOTEL_035"/>
    <x v="74"/>
    <x v="4"/>
    <x v="0"/>
    <s v="20:00–20:30"/>
    <s v="AlaCarte"/>
    <n v="4"/>
    <n v="113.34"/>
    <s v="Digital Wallet"/>
    <s v="In-store"/>
    <n v="7"/>
    <n v="0"/>
  </r>
  <r>
    <s v="TXN_001605"/>
    <s v="HOTEL_026"/>
    <x v="74"/>
    <x v="4"/>
    <x v="0"/>
    <s v="20:00–20:30"/>
    <s v="AlaCarte"/>
    <n v="6"/>
    <n v="316.16000000000003"/>
    <s v="Credit Card"/>
    <s v="In-store"/>
    <n v="7"/>
    <n v="0"/>
  </r>
  <r>
    <s v="TXN_001606"/>
    <s v="HOTEL_020"/>
    <x v="74"/>
    <x v="4"/>
    <x v="0"/>
    <s v="20:00–20:30"/>
    <s v="AlaCarte"/>
    <n v="3"/>
    <n v="80.150000000000006"/>
    <s v="Credit Card"/>
    <s v="In-store"/>
    <n v="7"/>
    <n v="0"/>
  </r>
  <r>
    <s v="TXN_001607"/>
    <s v="WALK_004"/>
    <x v="74"/>
    <x v="4"/>
    <x v="0"/>
    <s v="20:00–20:30"/>
    <s v="AlaCarte"/>
    <n v="4"/>
    <n v="95.8"/>
    <s v="Cash"/>
    <s v="In-store"/>
    <n v="7"/>
    <n v="0"/>
  </r>
  <r>
    <s v="TXN_001608"/>
    <s v="WALK_010"/>
    <x v="74"/>
    <x v="4"/>
    <x v="1"/>
    <s v="12:15–12:45"/>
    <s v="AlaCarte"/>
    <n v="4"/>
    <n v="69.66"/>
    <s v="Credit Card"/>
    <s v="In-store"/>
    <n v="7"/>
    <n v="0"/>
  </r>
  <r>
    <s v="TXN_001609"/>
    <s v="WALK_049"/>
    <x v="74"/>
    <x v="4"/>
    <x v="1"/>
    <s v="12:45–13:15"/>
    <s v="AlaCarte"/>
    <n v="3"/>
    <n v="51.21"/>
    <s v="Credit Card"/>
    <s v="In-store"/>
    <n v="7"/>
    <n v="0"/>
  </r>
  <r>
    <s v="TXN_001610"/>
    <s v="CORP_033"/>
    <x v="74"/>
    <x v="4"/>
    <x v="1"/>
    <s v="13:15–13:45"/>
    <s v="AlaCarte"/>
    <n v="4"/>
    <n v="148.85"/>
    <s v="Digital Wallet"/>
    <s v="In-store"/>
    <n v="7"/>
    <n v="0"/>
  </r>
  <r>
    <s v="TXN_001611"/>
    <s v="CORP_006"/>
    <x v="74"/>
    <x v="4"/>
    <x v="1"/>
    <s v="13:45–14:15"/>
    <s v="AlaCarte"/>
    <n v="2"/>
    <n v="32.07"/>
    <s v="Digital Wallet"/>
    <s v="In-store"/>
    <n v="7"/>
    <n v="0"/>
  </r>
  <r>
    <s v="TXN_001612"/>
    <s v="WALK_052"/>
    <x v="75"/>
    <x v="5"/>
    <x v="0"/>
    <s v="18:00–18:30"/>
    <s v="AlaCarte"/>
    <n v="1"/>
    <n v="43.64"/>
    <s v="Cash"/>
    <s v="Takeaway"/>
    <n v="1"/>
    <n v="0"/>
  </r>
  <r>
    <s v="TXN_001613"/>
    <s v="WALK_066"/>
    <x v="75"/>
    <x v="5"/>
    <x v="0"/>
    <s v="18:30–19:00"/>
    <s v="AlaCarte"/>
    <n v="1"/>
    <n v="19.510000000000002"/>
    <s v="Cash"/>
    <s v="In-store"/>
    <n v="1"/>
    <n v="0"/>
  </r>
  <r>
    <s v="TXN_001614"/>
    <s v="WALK_082"/>
    <x v="75"/>
    <x v="5"/>
    <x v="0"/>
    <s v="18:30–19:00"/>
    <s v="AlaCarte"/>
    <n v="1"/>
    <n v="14.95"/>
    <s v="Credit Card"/>
    <s v="In-store"/>
    <n v="1"/>
    <n v="0"/>
  </r>
  <r>
    <s v="TXN_001615"/>
    <s v="WALK_027"/>
    <x v="75"/>
    <x v="5"/>
    <x v="0"/>
    <s v="18:30–19:00"/>
    <s v="AlaCarte"/>
    <n v="4"/>
    <n v="120.1"/>
    <s v="Credit Card"/>
    <s v="In-store"/>
    <n v="1"/>
    <n v="0"/>
  </r>
  <r>
    <s v="TXN_001616"/>
    <s v="WALK_110"/>
    <x v="75"/>
    <x v="5"/>
    <x v="0"/>
    <s v="18:30–19:00"/>
    <s v="AlaCarte"/>
    <n v="3"/>
    <n v="54.57"/>
    <s v="Credit Card"/>
    <s v="In-store"/>
    <n v="1"/>
    <n v="0"/>
  </r>
  <r>
    <s v="TXN_001617"/>
    <s v="WALK_086"/>
    <x v="75"/>
    <x v="5"/>
    <x v="0"/>
    <s v="18:30–19:00"/>
    <s v="AlaCarte"/>
    <n v="1"/>
    <n v="33.380000000000003"/>
    <s v="Credit Card"/>
    <s v="Takeaway"/>
    <n v="1"/>
    <n v="0"/>
  </r>
  <r>
    <s v="TXN_001618"/>
    <s v="WALK_081"/>
    <x v="75"/>
    <x v="5"/>
    <x v="0"/>
    <s v="18:30–19:00"/>
    <s v="AlaCarte"/>
    <n v="6"/>
    <n v="153.96"/>
    <s v="Cash"/>
    <s v="Takeaway"/>
    <n v="1"/>
    <n v="0"/>
  </r>
  <r>
    <s v="TXN_001619"/>
    <s v="WALK_040"/>
    <x v="75"/>
    <x v="5"/>
    <x v="0"/>
    <s v="19:00–19:30"/>
    <s v="AlaCarte"/>
    <n v="3"/>
    <n v="72.94"/>
    <s v="Credit Card"/>
    <s v="In-store"/>
    <n v="1"/>
    <n v="0"/>
  </r>
  <r>
    <s v="TXN_001620"/>
    <s v="WALK_041"/>
    <x v="75"/>
    <x v="5"/>
    <x v="0"/>
    <s v="19:00–19:30"/>
    <s v="AlaCarte"/>
    <n v="5"/>
    <n v="132.13999999999999"/>
    <s v="Credit Card"/>
    <s v="In-store"/>
    <n v="1"/>
    <n v="0"/>
  </r>
  <r>
    <s v="TXN_001621"/>
    <s v="WALK_104"/>
    <x v="75"/>
    <x v="5"/>
    <x v="0"/>
    <s v="19:30–20:00"/>
    <s v="AlaCarte"/>
    <n v="1"/>
    <n v="13.4"/>
    <s v="Credit Card"/>
    <s v="Takeaway"/>
    <n v="1"/>
    <n v="0"/>
  </r>
  <r>
    <s v="TXN_001622"/>
    <s v="WALK_090"/>
    <x v="75"/>
    <x v="5"/>
    <x v="0"/>
    <s v="19:30–20:00"/>
    <s v="AlaCarte"/>
    <n v="3"/>
    <n v="82.84"/>
    <s v="Credit Card"/>
    <s v="In-store"/>
    <n v="1"/>
    <n v="0"/>
  </r>
  <r>
    <s v="TXN_001623"/>
    <s v="HOTEL_006"/>
    <x v="75"/>
    <x v="5"/>
    <x v="0"/>
    <s v="20:00–20:30"/>
    <s v="AlaCarte"/>
    <n v="5"/>
    <n v="110.77"/>
    <s v="Credit Card"/>
    <s v="In-store"/>
    <n v="1"/>
    <n v="0"/>
  </r>
  <r>
    <s v="TXN_001624"/>
    <s v="HOTEL_037"/>
    <x v="75"/>
    <x v="5"/>
    <x v="0"/>
    <s v="20:00–20:30"/>
    <s v="AlaCarte"/>
    <n v="1"/>
    <n v="36.85"/>
    <s v="Cash"/>
    <s v="In-store"/>
    <n v="1"/>
    <n v="0"/>
  </r>
  <r>
    <s v="TXN_001625"/>
    <s v="HOTEL_030"/>
    <x v="75"/>
    <x v="5"/>
    <x v="0"/>
    <s v="20:00–20:30"/>
    <s v="AlaCarte"/>
    <n v="2"/>
    <n v="71.31"/>
    <s v="Credit Card"/>
    <s v="In-store"/>
    <n v="1"/>
    <n v="0"/>
  </r>
  <r>
    <s v="TXN_001626"/>
    <s v="WALK_080"/>
    <x v="75"/>
    <x v="5"/>
    <x v="1"/>
    <s v="12:15–12:45"/>
    <s v="AlaCarte"/>
    <n v="3"/>
    <n v="39.840000000000003"/>
    <s v="Credit Card"/>
    <s v="In-store"/>
    <n v="1"/>
    <n v="0"/>
  </r>
  <r>
    <s v="TXN_001627"/>
    <s v="WALK_061"/>
    <x v="75"/>
    <x v="5"/>
    <x v="1"/>
    <s v="12:15–12:45"/>
    <s v="AlaCarte"/>
    <n v="1"/>
    <n v="15.59"/>
    <s v="Credit Card"/>
    <s v="Takeaway"/>
    <n v="1"/>
    <n v="0"/>
  </r>
  <r>
    <s v="TXN_001628"/>
    <s v="CORP_045"/>
    <x v="75"/>
    <x v="5"/>
    <x v="1"/>
    <s v="12:15–12:45"/>
    <s v="AlaCarte"/>
    <n v="4"/>
    <n v="60.66"/>
    <s v="Credit Card"/>
    <s v="In-store"/>
    <n v="1"/>
    <n v="0"/>
  </r>
  <r>
    <s v="TXN_001629"/>
    <s v="CORP_023"/>
    <x v="75"/>
    <x v="5"/>
    <x v="1"/>
    <s v="12:45–13:15"/>
    <s v="AlaCarte"/>
    <n v="1"/>
    <n v="32.94"/>
    <s v="Digital Wallet"/>
    <s v="In-store"/>
    <n v="1"/>
    <n v="0"/>
  </r>
  <r>
    <s v="TXN_001630"/>
    <s v="WALK_068"/>
    <x v="75"/>
    <x v="5"/>
    <x v="1"/>
    <s v="13:45–14:15"/>
    <s v="AlaCarte"/>
    <n v="3"/>
    <n v="50.64"/>
    <s v="Credit Card"/>
    <s v="In-store"/>
    <n v="1"/>
    <n v="0"/>
  </r>
  <r>
    <s v="TXN_001631"/>
    <s v="WALK_030"/>
    <x v="76"/>
    <x v="6"/>
    <x v="0"/>
    <s v="18:00–18:30"/>
    <s v="AlaCarte"/>
    <n v="4"/>
    <n v="138.84"/>
    <s v="Credit Card"/>
    <s v="In-store"/>
    <n v="2"/>
    <n v="0"/>
  </r>
  <r>
    <s v="TXN_001632"/>
    <s v="WALK_083"/>
    <x v="76"/>
    <x v="6"/>
    <x v="0"/>
    <s v="18:00–18:30"/>
    <s v="AlaCarte"/>
    <n v="1"/>
    <n v="23.3"/>
    <s v="Credit Card"/>
    <s v="Takeaway"/>
    <n v="2"/>
    <n v="0"/>
  </r>
  <r>
    <s v="TXN_001633"/>
    <s v="WALK_043"/>
    <x v="76"/>
    <x v="6"/>
    <x v="0"/>
    <s v="18:00–18:30"/>
    <s v="AlaCarte"/>
    <n v="1"/>
    <n v="17.239999999999998"/>
    <s v="Digital Wallet"/>
    <s v="In-store"/>
    <n v="2"/>
    <n v="0"/>
  </r>
  <r>
    <s v="TXN_001634"/>
    <s v="HOTEL_001"/>
    <x v="76"/>
    <x v="6"/>
    <x v="0"/>
    <s v="18:00–18:30"/>
    <s v="AlaCarte"/>
    <n v="3"/>
    <n v="71.66"/>
    <s v="Cash"/>
    <s v="In-store"/>
    <n v="2"/>
    <n v="0"/>
  </r>
  <r>
    <s v="TXN_001635"/>
    <s v="WALK_097"/>
    <x v="76"/>
    <x v="6"/>
    <x v="0"/>
    <s v="18:00–18:30"/>
    <s v="AlaCarte"/>
    <n v="1"/>
    <n v="40.04"/>
    <s v="Credit Card"/>
    <s v="In-store"/>
    <n v="2"/>
    <n v="0"/>
  </r>
  <r>
    <s v="TXN_001636"/>
    <s v="WALK_019"/>
    <x v="76"/>
    <x v="6"/>
    <x v="0"/>
    <s v="18:00–18:30"/>
    <s v="AlaCarte"/>
    <n v="2"/>
    <n v="55.68"/>
    <s v="Credit Card"/>
    <s v="In-store"/>
    <n v="2"/>
    <n v="0"/>
  </r>
  <r>
    <s v="TXN_001637"/>
    <s v="WALK_080"/>
    <x v="76"/>
    <x v="6"/>
    <x v="0"/>
    <s v="18:30–19:00"/>
    <s v="AlaCarte"/>
    <n v="2"/>
    <n v="36.58"/>
    <s v="Digital Wallet"/>
    <s v="In-store"/>
    <n v="2"/>
    <n v="0"/>
  </r>
  <r>
    <s v="TXN_001638"/>
    <s v="WALK_082"/>
    <x v="76"/>
    <x v="6"/>
    <x v="0"/>
    <s v="18:30–19:00"/>
    <s v="AlaCarte"/>
    <n v="5"/>
    <n v="147.82"/>
    <s v="Cash"/>
    <s v="Takeaway"/>
    <n v="2"/>
    <n v="0"/>
  </r>
  <r>
    <s v="TXN_001639"/>
    <s v="WALK_114"/>
    <x v="76"/>
    <x v="6"/>
    <x v="0"/>
    <s v="18:30–19:00"/>
    <s v="AlaCarte"/>
    <n v="1"/>
    <n v="16.02"/>
    <s v="Cash"/>
    <s v="Takeaway"/>
    <n v="2"/>
    <n v="0"/>
  </r>
  <r>
    <s v="TXN_001640"/>
    <s v="HOTEL_002"/>
    <x v="76"/>
    <x v="6"/>
    <x v="0"/>
    <s v="19:00–19:30"/>
    <s v="AlaCarte"/>
    <n v="2"/>
    <n v="42.38"/>
    <s v="Digital Wallet"/>
    <s v="In-store"/>
    <n v="2"/>
    <n v="0"/>
  </r>
  <r>
    <s v="TXN_001641"/>
    <s v="HOTEL_012"/>
    <x v="76"/>
    <x v="6"/>
    <x v="0"/>
    <s v="19:00–19:30"/>
    <s v="AlaCarte"/>
    <n v="6"/>
    <n v="226.53"/>
    <s v="Credit Card"/>
    <s v="In-store"/>
    <n v="2"/>
    <n v="0"/>
  </r>
  <r>
    <s v="TXN_001642"/>
    <s v="WALK_112"/>
    <x v="76"/>
    <x v="6"/>
    <x v="0"/>
    <s v="19:00–19:30"/>
    <s v="AlaCarte"/>
    <n v="3"/>
    <n v="74.11"/>
    <s v="Credit Card"/>
    <s v="In-store"/>
    <n v="2"/>
    <n v="0"/>
  </r>
  <r>
    <s v="TXN_001643"/>
    <s v="HOTEL_025"/>
    <x v="76"/>
    <x v="6"/>
    <x v="0"/>
    <s v="19:00–19:30"/>
    <s v="AlaCarte"/>
    <n v="4"/>
    <n v="123.58"/>
    <s v="Digital Wallet"/>
    <s v="In-store"/>
    <n v="2"/>
    <n v="0"/>
  </r>
  <r>
    <s v="TXN_001644"/>
    <s v="CORP_079"/>
    <x v="76"/>
    <x v="6"/>
    <x v="0"/>
    <s v="19:00–19:30"/>
    <s v="AlaCarte"/>
    <n v="2"/>
    <n v="66.08"/>
    <s v="Credit Card"/>
    <s v="Takeaway"/>
    <n v="2"/>
    <n v="0"/>
  </r>
  <r>
    <s v="TXN_001645"/>
    <s v="WALK_119"/>
    <x v="76"/>
    <x v="6"/>
    <x v="0"/>
    <s v="19:00–19:30"/>
    <s v="AlaCarte"/>
    <n v="3"/>
    <n v="83.11"/>
    <s v="Digital Wallet"/>
    <s v="In-store"/>
    <n v="2"/>
    <n v="0"/>
  </r>
  <r>
    <s v="TXN_001646"/>
    <s v="WALK_006"/>
    <x v="76"/>
    <x v="6"/>
    <x v="0"/>
    <s v="19:30–20:00"/>
    <s v="AlaCarte"/>
    <n v="1"/>
    <n v="23.62"/>
    <s v="Credit Card"/>
    <s v="In-store"/>
    <n v="2"/>
    <n v="0"/>
  </r>
  <r>
    <s v="TXN_001647"/>
    <s v="WALK_110"/>
    <x v="76"/>
    <x v="6"/>
    <x v="0"/>
    <s v="19:30–20:00"/>
    <s v="AlaCarte"/>
    <n v="3"/>
    <n v="78.569999999999993"/>
    <s v="Credit Card"/>
    <s v="In-store"/>
    <n v="2"/>
    <n v="0"/>
  </r>
  <r>
    <s v="TXN_001648"/>
    <s v="WALK_111"/>
    <x v="76"/>
    <x v="6"/>
    <x v="0"/>
    <s v="19:30–20:00"/>
    <s v="AlaCarte"/>
    <n v="2"/>
    <n v="57.05"/>
    <s v="Cash"/>
    <s v="Takeaway"/>
    <n v="2"/>
    <n v="0"/>
  </r>
  <r>
    <s v="TXN_001649"/>
    <s v="WALK_052"/>
    <x v="76"/>
    <x v="6"/>
    <x v="0"/>
    <s v="20:00–20:30"/>
    <s v="AlaCarte"/>
    <n v="3"/>
    <n v="53.07"/>
    <s v="Credit Card"/>
    <s v="In-store"/>
    <n v="2"/>
    <n v="0"/>
  </r>
  <r>
    <s v="TXN_001650"/>
    <s v="HOTEL_037"/>
    <x v="76"/>
    <x v="6"/>
    <x v="0"/>
    <s v="20:00–20:30"/>
    <s v="AlaCarte"/>
    <n v="3"/>
    <n v="114.04"/>
    <s v="Cash"/>
    <s v="Takeaway"/>
    <n v="2"/>
    <n v="0"/>
  </r>
  <r>
    <s v="TXN_001651"/>
    <s v="WALK_073"/>
    <x v="76"/>
    <x v="6"/>
    <x v="0"/>
    <s v="20:00–20:30"/>
    <s v="AlaCarte"/>
    <n v="2"/>
    <n v="71.39"/>
    <s v="Credit Card"/>
    <s v="In-store"/>
    <n v="2"/>
    <n v="0"/>
  </r>
  <r>
    <s v="TXN_001652"/>
    <s v="CORP_004"/>
    <x v="76"/>
    <x v="6"/>
    <x v="1"/>
    <s v="12:15–12:45"/>
    <s v="AlaCarte"/>
    <n v="3"/>
    <n v="48.82"/>
    <s v="Cash"/>
    <s v="Takeaway"/>
    <n v="2"/>
    <n v="0"/>
  </r>
  <r>
    <s v="TXN_001653"/>
    <s v="CORP_064"/>
    <x v="76"/>
    <x v="6"/>
    <x v="1"/>
    <s v="13:15–13:45"/>
    <s v="AlaCarte"/>
    <n v="7"/>
    <n v="81.06"/>
    <s v="Credit Card"/>
    <s v="In-store"/>
    <n v="2"/>
    <n v="0"/>
  </r>
  <r>
    <s v="TXN_001654"/>
    <s v="CORP_041"/>
    <x v="76"/>
    <x v="6"/>
    <x v="1"/>
    <s v="13:15–13:45"/>
    <s v="AlaCarte"/>
    <n v="4"/>
    <n v="122.54"/>
    <s v="Credit Card"/>
    <s v="In-store"/>
    <n v="2"/>
    <n v="0"/>
  </r>
  <r>
    <s v="TXN_001655"/>
    <s v="WALK_049"/>
    <x v="76"/>
    <x v="6"/>
    <x v="1"/>
    <s v="13:45–14:15"/>
    <s v="AlaCarte"/>
    <n v="1"/>
    <n v="10.09"/>
    <s v="Credit Card"/>
    <s v="In-store"/>
    <n v="2"/>
    <n v="0"/>
  </r>
  <r>
    <s v="TXN_001656"/>
    <s v="WALK_116"/>
    <x v="77"/>
    <x v="0"/>
    <x v="0"/>
    <s v="18:00–18:30"/>
    <s v="AlaCarte"/>
    <n v="1"/>
    <n v="26.64"/>
    <s v="Digital Wallet"/>
    <s v="In-store"/>
    <n v="3"/>
    <n v="0"/>
  </r>
  <r>
    <s v="TXN_001657"/>
    <s v="WALK_014"/>
    <x v="77"/>
    <x v="0"/>
    <x v="0"/>
    <s v="18:30–19:00"/>
    <s v="AlaCarte"/>
    <n v="6"/>
    <n v="208.76"/>
    <s v="Cash"/>
    <s v="In-store"/>
    <n v="3"/>
    <n v="0"/>
  </r>
  <r>
    <s v="TXN_001658"/>
    <s v="WALK_078"/>
    <x v="77"/>
    <x v="0"/>
    <x v="0"/>
    <s v="18:30–19:00"/>
    <s v="AlaCarte"/>
    <n v="5"/>
    <n v="160.96"/>
    <s v="Credit Card"/>
    <s v="In-store"/>
    <n v="3"/>
    <n v="0"/>
  </r>
  <r>
    <s v="TXN_001659"/>
    <s v="WALK_095"/>
    <x v="77"/>
    <x v="0"/>
    <x v="0"/>
    <s v="19:00–19:30"/>
    <s v="AlaCarte"/>
    <n v="2"/>
    <n v="64.260000000000005"/>
    <s v="Cash"/>
    <s v="In-store"/>
    <n v="3"/>
    <n v="0"/>
  </r>
  <r>
    <s v="TXN_001660"/>
    <s v="WALK_105"/>
    <x v="77"/>
    <x v="0"/>
    <x v="0"/>
    <s v="19:30–20:00"/>
    <s v="AlaCarte"/>
    <n v="4"/>
    <n v="114.41"/>
    <s v="Cash"/>
    <s v="In-store"/>
    <n v="3"/>
    <n v="0"/>
  </r>
  <r>
    <s v="TXN_001661"/>
    <s v="WALK_114"/>
    <x v="77"/>
    <x v="0"/>
    <x v="0"/>
    <s v="19:30–20:00"/>
    <s v="AlaCarte"/>
    <n v="3"/>
    <n v="135.59"/>
    <s v="Credit Card"/>
    <s v="In-store"/>
    <n v="3"/>
    <n v="0"/>
  </r>
  <r>
    <s v="TXN_001662"/>
    <s v="CORP_057"/>
    <x v="77"/>
    <x v="0"/>
    <x v="0"/>
    <s v="19:30–20:00"/>
    <s v="AlaCarte"/>
    <n v="2"/>
    <n v="63.23"/>
    <s v="Credit Card"/>
    <s v="Takeaway"/>
    <n v="3"/>
    <n v="0"/>
  </r>
  <r>
    <s v="TXN_001663"/>
    <s v="CORP_046"/>
    <x v="77"/>
    <x v="0"/>
    <x v="0"/>
    <s v="19:30–20:00"/>
    <s v="AlaCarte"/>
    <n v="4"/>
    <n v="130.88"/>
    <s v="Credit Card"/>
    <s v="In-store"/>
    <n v="3"/>
    <n v="0"/>
  </r>
  <r>
    <s v="TXN_001664"/>
    <s v="WALK_098"/>
    <x v="77"/>
    <x v="0"/>
    <x v="0"/>
    <s v="20:00–20:30"/>
    <s v="AlaCarte"/>
    <n v="3"/>
    <n v="73.78"/>
    <s v="Credit Card"/>
    <s v="In-store"/>
    <n v="3"/>
    <n v="0"/>
  </r>
  <r>
    <s v="TXN_001665"/>
    <s v="WALK_107"/>
    <x v="77"/>
    <x v="0"/>
    <x v="0"/>
    <s v="20:00–20:30"/>
    <s v="AlaCarte"/>
    <n v="2"/>
    <n v="98.12"/>
    <s v="Credit Card"/>
    <s v="In-store"/>
    <n v="3"/>
    <n v="0"/>
  </r>
  <r>
    <s v="TXN_001666"/>
    <s v="CORP_071"/>
    <x v="77"/>
    <x v="0"/>
    <x v="1"/>
    <s v="12:15–12:45"/>
    <s v="AlaCarte"/>
    <n v="4"/>
    <n v="100.32"/>
    <s v="Credit Card"/>
    <s v="In-store"/>
    <n v="3"/>
    <n v="0"/>
  </r>
  <r>
    <s v="TXN_001667"/>
    <s v="WALK_011"/>
    <x v="77"/>
    <x v="0"/>
    <x v="1"/>
    <s v="12:15–12:45"/>
    <s v="AlaCarte"/>
    <n v="4"/>
    <n v="66.8"/>
    <s v="Cash"/>
    <s v="In-store"/>
    <n v="3"/>
    <n v="0"/>
  </r>
  <r>
    <s v="TXN_001668"/>
    <s v="WALK_045"/>
    <x v="77"/>
    <x v="0"/>
    <x v="1"/>
    <s v="12:15–12:45"/>
    <s v="AlaCarte"/>
    <n v="3"/>
    <n v="77.94"/>
    <s v="Digital Wallet"/>
    <s v="In-store"/>
    <n v="3"/>
    <n v="0"/>
  </r>
  <r>
    <s v="TXN_001669"/>
    <s v="CORP_010"/>
    <x v="77"/>
    <x v="0"/>
    <x v="1"/>
    <s v="12:15–12:45"/>
    <s v="Buffet"/>
    <n v="3"/>
    <n v="73.5"/>
    <s v="Cash"/>
    <s v="In-store"/>
    <n v="3"/>
    <n v="1"/>
  </r>
  <r>
    <s v="TXN_001670"/>
    <s v="WALK_111"/>
    <x v="77"/>
    <x v="0"/>
    <x v="1"/>
    <s v="12:15–12:45"/>
    <s v="Buffet"/>
    <n v="2"/>
    <n v="40"/>
    <s v="Credit Card"/>
    <s v="In-store"/>
    <n v="3"/>
    <n v="1"/>
  </r>
  <r>
    <s v="TXN_001671"/>
    <s v="CORP_044"/>
    <x v="77"/>
    <x v="0"/>
    <x v="1"/>
    <s v="12:15–12:45"/>
    <s v="AlaCarte"/>
    <n v="2"/>
    <n v="47.53"/>
    <s v="Credit Card"/>
    <s v="In-store"/>
    <n v="3"/>
    <n v="0"/>
  </r>
  <r>
    <s v="TXN_001672"/>
    <s v="CORP_026"/>
    <x v="77"/>
    <x v="0"/>
    <x v="1"/>
    <s v="12:45–13:15"/>
    <s v="Buffet"/>
    <n v="6"/>
    <n v="129"/>
    <s v="Credit Card"/>
    <s v="In-store"/>
    <n v="3"/>
    <n v="1"/>
  </r>
  <r>
    <s v="TXN_001673"/>
    <s v="CORP_004"/>
    <x v="77"/>
    <x v="0"/>
    <x v="1"/>
    <s v="12:45–13:15"/>
    <s v="AlaCarte"/>
    <n v="3"/>
    <n v="53.55"/>
    <s v="Credit Card"/>
    <s v="In-store"/>
    <n v="3"/>
    <n v="0"/>
  </r>
  <r>
    <s v="TXN_001674"/>
    <s v="CORP_060"/>
    <x v="77"/>
    <x v="0"/>
    <x v="1"/>
    <s v="12:45–13:15"/>
    <s v="Buffet"/>
    <n v="3"/>
    <n v="60"/>
    <s v="Credit Card"/>
    <s v="In-store"/>
    <n v="3"/>
    <n v="1"/>
  </r>
  <r>
    <s v="TXN_001675"/>
    <s v="WALK_109"/>
    <x v="77"/>
    <x v="0"/>
    <x v="1"/>
    <s v="13:15–13:45"/>
    <s v="Buffet"/>
    <n v="3"/>
    <n v="69"/>
    <s v="Cash"/>
    <s v="In-store"/>
    <n v="3"/>
    <n v="1"/>
  </r>
  <r>
    <s v="TXN_001676"/>
    <s v="CORP_057"/>
    <x v="77"/>
    <x v="0"/>
    <x v="1"/>
    <s v="13:15–13:45"/>
    <s v="Buffet"/>
    <n v="2"/>
    <n v="44.5"/>
    <s v="Digital Wallet"/>
    <s v="In-store"/>
    <n v="3"/>
    <n v="1"/>
  </r>
  <r>
    <s v="TXN_001677"/>
    <s v="WALK_106"/>
    <x v="77"/>
    <x v="0"/>
    <x v="1"/>
    <s v="13:15–13:45"/>
    <s v="Buffet"/>
    <n v="5"/>
    <n v="104.5"/>
    <s v="Digital Wallet"/>
    <s v="In-store"/>
    <n v="3"/>
    <n v="1"/>
  </r>
  <r>
    <s v="TXN_001678"/>
    <s v="CORP_001"/>
    <x v="77"/>
    <x v="0"/>
    <x v="1"/>
    <s v="13:15–13:45"/>
    <s v="Buffet"/>
    <n v="2"/>
    <n v="44.5"/>
    <s v="Digital Wallet"/>
    <s v="In-store"/>
    <n v="3"/>
    <n v="1"/>
  </r>
  <r>
    <s v="TXN_001679"/>
    <s v="CORP_056"/>
    <x v="77"/>
    <x v="0"/>
    <x v="1"/>
    <s v="13:45–14:15"/>
    <s v="Buffet"/>
    <n v="3"/>
    <n v="60"/>
    <s v="Credit Card"/>
    <s v="In-store"/>
    <n v="3"/>
    <n v="1"/>
  </r>
  <r>
    <s v="TXN_001680"/>
    <s v="CORP_039"/>
    <x v="77"/>
    <x v="0"/>
    <x v="1"/>
    <s v="13:45–14:15"/>
    <s v="Buffet"/>
    <n v="5"/>
    <n v="113.5"/>
    <s v="Cash"/>
    <s v="In-store"/>
    <n v="3"/>
    <n v="1"/>
  </r>
  <r>
    <s v="TXN_001681"/>
    <s v="WALK_027"/>
    <x v="78"/>
    <x v="1"/>
    <x v="0"/>
    <s v="18:00–18:30"/>
    <s v="AlaCarte"/>
    <n v="6"/>
    <n v="162.28"/>
    <s v="Digital Wallet"/>
    <s v="Takeaway"/>
    <n v="4"/>
    <n v="0"/>
  </r>
  <r>
    <s v="TXN_001682"/>
    <s v="WALK_116"/>
    <x v="78"/>
    <x v="1"/>
    <x v="0"/>
    <s v="18:30–19:00"/>
    <s v="AlaCarte"/>
    <n v="3"/>
    <n v="81.13"/>
    <s v="Credit Card"/>
    <s v="In-store"/>
    <n v="4"/>
    <n v="0"/>
  </r>
  <r>
    <s v="TXN_001683"/>
    <s v="HOTEL_036"/>
    <x v="78"/>
    <x v="1"/>
    <x v="0"/>
    <s v="18:30–19:00"/>
    <s v="AlaCarte"/>
    <n v="3"/>
    <n v="73.81"/>
    <s v="Credit Card"/>
    <s v="Takeaway"/>
    <n v="4"/>
    <n v="0"/>
  </r>
  <r>
    <s v="TXN_001684"/>
    <s v="HOTEL_010"/>
    <x v="78"/>
    <x v="1"/>
    <x v="0"/>
    <s v="19:00–19:30"/>
    <s v="AlaCarte"/>
    <n v="3"/>
    <n v="114.24"/>
    <s v="Digital Wallet"/>
    <s v="In-store"/>
    <n v="4"/>
    <n v="0"/>
  </r>
  <r>
    <s v="TXN_001685"/>
    <s v="WALK_077"/>
    <x v="78"/>
    <x v="1"/>
    <x v="0"/>
    <s v="19:00–19:30"/>
    <s v="AlaCarte"/>
    <n v="6"/>
    <n v="225.97"/>
    <s v="Cash"/>
    <s v="In-store"/>
    <n v="4"/>
    <n v="0"/>
  </r>
  <r>
    <s v="TXN_001686"/>
    <s v="HOTEL_040"/>
    <x v="78"/>
    <x v="1"/>
    <x v="0"/>
    <s v="19:00–19:30"/>
    <s v="AlaCarte"/>
    <n v="3"/>
    <n v="71.349999999999994"/>
    <s v="Digital Wallet"/>
    <s v="In-store"/>
    <n v="4"/>
    <n v="0"/>
  </r>
  <r>
    <s v="TXN_001687"/>
    <s v="WALK_101"/>
    <x v="78"/>
    <x v="1"/>
    <x v="0"/>
    <s v="19:00–19:30"/>
    <s v="AlaCarte"/>
    <n v="4"/>
    <n v="156.31"/>
    <s v="Cash"/>
    <s v="In-store"/>
    <n v="4"/>
    <n v="0"/>
  </r>
  <r>
    <s v="TXN_001688"/>
    <s v="WALK_082"/>
    <x v="78"/>
    <x v="1"/>
    <x v="0"/>
    <s v="19:30–20:00"/>
    <s v="AlaCarte"/>
    <n v="3"/>
    <n v="52.34"/>
    <s v="Cash"/>
    <s v="In-store"/>
    <n v="4"/>
    <n v="0"/>
  </r>
  <r>
    <s v="TXN_001689"/>
    <s v="WALK_027"/>
    <x v="78"/>
    <x v="1"/>
    <x v="0"/>
    <s v="20:00–20:30"/>
    <s v="AlaCarte"/>
    <n v="5"/>
    <n v="141.87"/>
    <s v="Cash"/>
    <s v="In-store"/>
    <n v="4"/>
    <n v="0"/>
  </r>
  <r>
    <s v="TXN_001690"/>
    <s v="CORP_008"/>
    <x v="78"/>
    <x v="1"/>
    <x v="0"/>
    <s v="20:00–20:30"/>
    <s v="AlaCarte"/>
    <n v="5"/>
    <n v="144.94"/>
    <s v="Credit Card"/>
    <s v="In-store"/>
    <n v="4"/>
    <n v="0"/>
  </r>
  <r>
    <s v="TXN_001691"/>
    <s v="WALK_056"/>
    <x v="78"/>
    <x v="1"/>
    <x v="0"/>
    <s v="20:00–20:30"/>
    <s v="AlaCarte"/>
    <n v="1"/>
    <n v="22.78"/>
    <s v="Digital Wallet"/>
    <s v="In-store"/>
    <n v="4"/>
    <n v="0"/>
  </r>
  <r>
    <s v="TXN_001692"/>
    <s v="CORP_030"/>
    <x v="78"/>
    <x v="1"/>
    <x v="0"/>
    <s v="20:00–20:30"/>
    <s v="AlaCarte"/>
    <n v="4"/>
    <n v="170.52"/>
    <s v="Credit Card"/>
    <s v="In-store"/>
    <n v="4"/>
    <n v="0"/>
  </r>
  <r>
    <s v="TXN_001693"/>
    <s v="WALK_064"/>
    <x v="78"/>
    <x v="1"/>
    <x v="0"/>
    <s v="20:00–20:30"/>
    <s v="AlaCarte"/>
    <n v="2"/>
    <n v="61.57"/>
    <s v="Cash"/>
    <s v="In-store"/>
    <n v="4"/>
    <n v="0"/>
  </r>
  <r>
    <s v="TXN_001694"/>
    <s v="WALK_017"/>
    <x v="78"/>
    <x v="1"/>
    <x v="0"/>
    <s v="20:00–20:30"/>
    <s v="AlaCarte"/>
    <n v="4"/>
    <n v="65.739999999999995"/>
    <s v="Credit Card"/>
    <s v="In-store"/>
    <n v="4"/>
    <n v="0"/>
  </r>
  <r>
    <s v="TXN_001695"/>
    <s v="CORP_071"/>
    <x v="78"/>
    <x v="1"/>
    <x v="0"/>
    <s v="20:00–20:30"/>
    <s v="AlaCarte"/>
    <n v="3"/>
    <n v="107.94"/>
    <s v="Digital Wallet"/>
    <s v="Takeaway"/>
    <n v="4"/>
    <n v="0"/>
  </r>
  <r>
    <s v="TXN_001696"/>
    <s v="CORP_057"/>
    <x v="78"/>
    <x v="1"/>
    <x v="1"/>
    <s v="12:15–12:45"/>
    <s v="AlaCarte"/>
    <n v="3"/>
    <n v="59.55"/>
    <s v="Credit Card"/>
    <s v="In-store"/>
    <n v="4"/>
    <n v="0"/>
  </r>
  <r>
    <s v="TXN_001697"/>
    <s v="WALK_020"/>
    <x v="78"/>
    <x v="1"/>
    <x v="1"/>
    <s v="12:15–12:45"/>
    <s v="Buffet"/>
    <n v="4"/>
    <n v="98"/>
    <s v="Cash"/>
    <s v="In-store"/>
    <n v="4"/>
    <n v="1"/>
  </r>
  <r>
    <s v="TXN_001698"/>
    <s v="WALK_110"/>
    <x v="78"/>
    <x v="1"/>
    <x v="1"/>
    <s v="12:15–12:45"/>
    <s v="Buffet"/>
    <n v="3"/>
    <n v="64.5"/>
    <s v="Credit Card"/>
    <s v="In-store"/>
    <n v="4"/>
    <n v="1"/>
  </r>
  <r>
    <s v="TXN_001699"/>
    <s v="CORP_060"/>
    <x v="78"/>
    <x v="1"/>
    <x v="1"/>
    <s v="12:15–12:45"/>
    <s v="Buffet"/>
    <n v="1"/>
    <n v="24.5"/>
    <s v="Credit Card"/>
    <s v="In-store"/>
    <n v="4"/>
    <n v="1"/>
  </r>
  <r>
    <s v="TXN_001700"/>
    <s v="CORP_063"/>
    <x v="78"/>
    <x v="1"/>
    <x v="1"/>
    <s v="12:15–12:45"/>
    <s v="Buffet"/>
    <n v="5"/>
    <n v="109"/>
    <s v="Credit Card"/>
    <s v="Takeaway"/>
    <n v="4"/>
    <n v="1"/>
  </r>
  <r>
    <s v="TXN_001701"/>
    <s v="CORP_010"/>
    <x v="78"/>
    <x v="1"/>
    <x v="1"/>
    <s v="12:45–13:15"/>
    <s v="AlaCarte"/>
    <n v="3"/>
    <n v="77.489999999999995"/>
    <s v="Credit Card"/>
    <s v="Takeaway"/>
    <n v="4"/>
    <n v="0"/>
  </r>
  <r>
    <s v="TXN_001702"/>
    <s v="CORP_039"/>
    <x v="78"/>
    <x v="1"/>
    <x v="1"/>
    <s v="13:15–13:45"/>
    <s v="AlaCarte"/>
    <n v="2"/>
    <n v="61.5"/>
    <s v="Cash"/>
    <s v="In-store"/>
    <n v="4"/>
    <n v="0"/>
  </r>
  <r>
    <s v="TXN_001703"/>
    <s v="CORP_066"/>
    <x v="78"/>
    <x v="1"/>
    <x v="1"/>
    <s v="13:15–13:45"/>
    <s v="Buffet"/>
    <n v="4"/>
    <n v="84.5"/>
    <s v="Credit Card"/>
    <s v="In-store"/>
    <n v="4"/>
    <n v="1"/>
  </r>
  <r>
    <s v="TXN_001704"/>
    <s v="CORP_010"/>
    <x v="78"/>
    <x v="1"/>
    <x v="1"/>
    <s v="13:45–14:15"/>
    <s v="Buffet"/>
    <n v="3"/>
    <n v="60"/>
    <s v="Cash"/>
    <s v="Takeaway"/>
    <n v="4"/>
    <n v="1"/>
  </r>
  <r>
    <s v="TXN_001705"/>
    <s v="CORP_041"/>
    <x v="78"/>
    <x v="1"/>
    <x v="1"/>
    <s v="13:45–14:15"/>
    <s v="AlaCarte"/>
    <n v="3"/>
    <n v="84.55"/>
    <s v="Cash"/>
    <s v="Takeaway"/>
    <n v="4"/>
    <n v="0"/>
  </r>
  <r>
    <s v="TXN_001706"/>
    <s v="CORP_007"/>
    <x v="78"/>
    <x v="1"/>
    <x v="1"/>
    <s v="13:45–14:15"/>
    <s v="Buffet"/>
    <n v="3"/>
    <n v="64.5"/>
    <s v="Cash"/>
    <s v="Takeaway"/>
    <n v="4"/>
    <n v="1"/>
  </r>
  <r>
    <s v="TXN_001707"/>
    <s v="WALK_071"/>
    <x v="79"/>
    <x v="2"/>
    <x v="0"/>
    <s v="18:00–18:30"/>
    <s v="AlaCarte"/>
    <n v="1"/>
    <n v="36.49"/>
    <s v="Credit Card"/>
    <s v="In-store"/>
    <n v="5"/>
    <n v="0"/>
  </r>
  <r>
    <s v="TXN_001708"/>
    <s v="WALK_109"/>
    <x v="79"/>
    <x v="2"/>
    <x v="0"/>
    <s v="18:00–18:30"/>
    <s v="AlaCarte"/>
    <n v="2"/>
    <n v="107.87"/>
    <s v="Credit Card"/>
    <s v="In-store"/>
    <n v="5"/>
    <n v="0"/>
  </r>
  <r>
    <s v="TXN_001709"/>
    <s v="WALK_085"/>
    <x v="79"/>
    <x v="2"/>
    <x v="0"/>
    <s v="18:30–19:00"/>
    <s v="AlaCarte"/>
    <n v="2"/>
    <n v="56.68"/>
    <s v="Credit Card"/>
    <s v="In-store"/>
    <n v="5"/>
    <n v="0"/>
  </r>
  <r>
    <s v="TXN_001710"/>
    <s v="WALK_077"/>
    <x v="79"/>
    <x v="2"/>
    <x v="0"/>
    <s v="19:00–19:30"/>
    <s v="AlaCarte"/>
    <n v="4"/>
    <n v="101.89"/>
    <s v="Credit Card"/>
    <s v="In-store"/>
    <n v="5"/>
    <n v="0"/>
  </r>
  <r>
    <s v="TXN_001711"/>
    <s v="CORP_024"/>
    <x v="79"/>
    <x v="2"/>
    <x v="0"/>
    <s v="19:00–19:30"/>
    <s v="AlaCarte"/>
    <n v="2"/>
    <n v="63.44"/>
    <s v="Credit Card"/>
    <s v="In-store"/>
    <n v="5"/>
    <n v="0"/>
  </r>
  <r>
    <s v="TXN_001712"/>
    <s v="WALK_083"/>
    <x v="79"/>
    <x v="2"/>
    <x v="0"/>
    <s v="20:00–20:30"/>
    <s v="AlaCarte"/>
    <n v="4"/>
    <n v="105.88"/>
    <s v="Credit Card"/>
    <s v="In-store"/>
    <n v="5"/>
    <n v="0"/>
  </r>
  <r>
    <s v="TXN_001713"/>
    <s v="CORP_049"/>
    <x v="79"/>
    <x v="2"/>
    <x v="1"/>
    <s v="12:15–12:45"/>
    <s v="Buffet"/>
    <n v="2"/>
    <n v="44.5"/>
    <s v="Credit Card"/>
    <s v="In-store"/>
    <n v="5"/>
    <n v="1"/>
  </r>
  <r>
    <s v="TXN_001714"/>
    <s v="CORP_050"/>
    <x v="79"/>
    <x v="2"/>
    <x v="1"/>
    <s v="12:15–12:45"/>
    <s v="AlaCarte"/>
    <n v="1"/>
    <n v="18.7"/>
    <s v="Cash"/>
    <s v="Takeaway"/>
    <n v="5"/>
    <n v="0"/>
  </r>
  <r>
    <s v="TXN_001715"/>
    <s v="CORP_023"/>
    <x v="79"/>
    <x v="2"/>
    <x v="1"/>
    <s v="12:15–12:45"/>
    <s v="AlaCarte"/>
    <n v="3"/>
    <n v="132.75"/>
    <s v="Cash"/>
    <s v="In-store"/>
    <n v="5"/>
    <n v="0"/>
  </r>
  <r>
    <s v="TXN_001716"/>
    <s v="WALK_062"/>
    <x v="79"/>
    <x v="2"/>
    <x v="1"/>
    <s v="12:15–12:45"/>
    <s v="AlaCarte"/>
    <n v="2"/>
    <n v="37.08"/>
    <s v="Credit Card"/>
    <s v="In-store"/>
    <n v="5"/>
    <n v="0"/>
  </r>
  <r>
    <s v="TXN_001717"/>
    <s v="CORP_034"/>
    <x v="79"/>
    <x v="2"/>
    <x v="1"/>
    <s v="12:45–13:15"/>
    <s v="AlaCarte"/>
    <n v="3"/>
    <n v="46.41"/>
    <s v="Cash"/>
    <s v="In-store"/>
    <n v="5"/>
    <n v="0"/>
  </r>
  <r>
    <s v="TXN_001718"/>
    <s v="CORP_027"/>
    <x v="79"/>
    <x v="2"/>
    <x v="1"/>
    <s v="12:45–13:15"/>
    <s v="AlaCarte"/>
    <n v="4"/>
    <n v="79.930000000000007"/>
    <s v="Credit Card"/>
    <s v="In-store"/>
    <n v="5"/>
    <n v="0"/>
  </r>
  <r>
    <s v="TXN_001719"/>
    <s v="WALK_081"/>
    <x v="79"/>
    <x v="2"/>
    <x v="1"/>
    <s v="12:45–13:15"/>
    <s v="AlaCarte"/>
    <n v="3"/>
    <n v="34.29"/>
    <s v="Credit Card"/>
    <s v="Takeaway"/>
    <n v="5"/>
    <n v="0"/>
  </r>
  <r>
    <s v="TXN_001720"/>
    <s v="CORP_008"/>
    <x v="79"/>
    <x v="2"/>
    <x v="1"/>
    <s v="12:45–13:15"/>
    <s v="Buffet"/>
    <n v="7"/>
    <n v="149"/>
    <s v="Digital Wallet"/>
    <s v="In-store"/>
    <n v="5"/>
    <n v="1"/>
  </r>
  <r>
    <s v="TXN_001721"/>
    <s v="WALK_094"/>
    <x v="79"/>
    <x v="2"/>
    <x v="1"/>
    <s v="12:45–13:15"/>
    <s v="Buffet"/>
    <n v="2"/>
    <n v="40"/>
    <s v="Credit Card"/>
    <s v="In-store"/>
    <n v="5"/>
    <n v="1"/>
  </r>
  <r>
    <s v="TXN_001722"/>
    <s v="CORP_026"/>
    <x v="79"/>
    <x v="2"/>
    <x v="1"/>
    <s v="12:45–13:15"/>
    <s v="Buffet"/>
    <n v="3"/>
    <n v="69"/>
    <s v="Credit Card"/>
    <s v="In-store"/>
    <n v="5"/>
    <n v="1"/>
  </r>
  <r>
    <s v="TXN_001723"/>
    <s v="CORP_029"/>
    <x v="79"/>
    <x v="2"/>
    <x v="1"/>
    <s v="13:15–13:45"/>
    <s v="AlaCarte"/>
    <n v="6"/>
    <n v="131.88999999999999"/>
    <s v="Digital Wallet"/>
    <s v="In-store"/>
    <n v="5"/>
    <n v="0"/>
  </r>
  <r>
    <s v="TXN_001724"/>
    <s v="WALK_100"/>
    <x v="79"/>
    <x v="2"/>
    <x v="1"/>
    <s v="13:45–14:15"/>
    <s v="Buffet"/>
    <n v="3"/>
    <n v="64.5"/>
    <s v="Cash"/>
    <s v="Takeaway"/>
    <n v="5"/>
    <n v="1"/>
  </r>
  <r>
    <s v="TXN_001725"/>
    <s v="WALK_002"/>
    <x v="79"/>
    <x v="2"/>
    <x v="1"/>
    <s v="13:45–14:15"/>
    <s v="AlaCarte"/>
    <n v="5"/>
    <n v="104.06"/>
    <s v="Cash"/>
    <s v="In-store"/>
    <n v="5"/>
    <n v="0"/>
  </r>
  <r>
    <s v="TXN_001726"/>
    <s v="WALK_067"/>
    <x v="79"/>
    <x v="2"/>
    <x v="1"/>
    <s v="13:45–14:15"/>
    <s v="Buffet"/>
    <n v="1"/>
    <n v="24.5"/>
    <s v="Cash"/>
    <s v="In-store"/>
    <n v="5"/>
    <n v="1"/>
  </r>
  <r>
    <s v="TXN_001727"/>
    <s v="CORP_037"/>
    <x v="79"/>
    <x v="2"/>
    <x v="1"/>
    <s v="13:45–14:15"/>
    <s v="Buffet"/>
    <n v="3"/>
    <n v="60"/>
    <s v="Credit Card"/>
    <s v="In-store"/>
    <n v="5"/>
    <n v="1"/>
  </r>
  <r>
    <s v="TXN_001728"/>
    <s v="WALK_046"/>
    <x v="80"/>
    <x v="3"/>
    <x v="0"/>
    <s v="18:00–18:30"/>
    <s v="AlaCarte"/>
    <n v="3"/>
    <n v="89.61"/>
    <s v="Credit Card"/>
    <s v="In-store"/>
    <n v="6"/>
    <n v="0"/>
  </r>
  <r>
    <s v="TXN_001729"/>
    <s v="WALK_101"/>
    <x v="80"/>
    <x v="3"/>
    <x v="0"/>
    <s v="18:00–18:30"/>
    <s v="AlaCarte"/>
    <n v="4"/>
    <n v="85.66"/>
    <s v="Credit Card"/>
    <s v="In-store"/>
    <n v="6"/>
    <n v="0"/>
  </r>
  <r>
    <s v="TXN_001730"/>
    <s v="HOTEL_020"/>
    <x v="80"/>
    <x v="3"/>
    <x v="0"/>
    <s v="18:30–19:00"/>
    <s v="AlaCarte"/>
    <n v="7"/>
    <n v="210.49"/>
    <s v="Cash"/>
    <s v="In-store"/>
    <n v="6"/>
    <n v="0"/>
  </r>
  <r>
    <s v="TXN_001731"/>
    <s v="WALK_114"/>
    <x v="80"/>
    <x v="3"/>
    <x v="0"/>
    <s v="18:30–19:00"/>
    <s v="AlaCarte"/>
    <n v="1"/>
    <n v="34.54"/>
    <s v="Credit Card"/>
    <s v="Takeaway"/>
    <n v="6"/>
    <n v="0"/>
  </r>
  <r>
    <s v="TXN_001732"/>
    <s v="HOTEL_027"/>
    <x v="80"/>
    <x v="3"/>
    <x v="0"/>
    <s v="18:30–19:00"/>
    <s v="AlaCarte"/>
    <n v="1"/>
    <n v="30.34"/>
    <s v="Credit Card"/>
    <s v="In-store"/>
    <n v="6"/>
    <n v="0"/>
  </r>
  <r>
    <s v="TXN_001733"/>
    <s v="WALK_120"/>
    <x v="80"/>
    <x v="3"/>
    <x v="0"/>
    <s v="18:30–19:00"/>
    <s v="AlaCarte"/>
    <n v="5"/>
    <n v="96.66"/>
    <s v="Digital Wallet"/>
    <s v="In-store"/>
    <n v="6"/>
    <n v="0"/>
  </r>
  <r>
    <s v="TXN_001734"/>
    <s v="WALK_106"/>
    <x v="80"/>
    <x v="3"/>
    <x v="0"/>
    <s v="18:30–19:00"/>
    <s v="AlaCarte"/>
    <n v="2"/>
    <n v="41.1"/>
    <s v="Cash"/>
    <s v="In-store"/>
    <n v="6"/>
    <n v="0"/>
  </r>
  <r>
    <s v="TXN_001735"/>
    <s v="WALK_070"/>
    <x v="80"/>
    <x v="3"/>
    <x v="0"/>
    <s v="19:00–19:30"/>
    <s v="AlaCarte"/>
    <n v="3"/>
    <n v="83.31"/>
    <s v="Credit Card"/>
    <s v="In-store"/>
    <n v="6"/>
    <n v="0"/>
  </r>
  <r>
    <s v="TXN_001736"/>
    <s v="HOTEL_028"/>
    <x v="80"/>
    <x v="3"/>
    <x v="0"/>
    <s v="19:00–19:30"/>
    <s v="AlaCarte"/>
    <n v="4"/>
    <n v="87.84"/>
    <s v="Digital Wallet"/>
    <s v="Takeaway"/>
    <n v="6"/>
    <n v="0"/>
  </r>
  <r>
    <s v="TXN_001737"/>
    <s v="WALK_091"/>
    <x v="80"/>
    <x v="3"/>
    <x v="0"/>
    <s v="19:00–19:30"/>
    <s v="AlaCarte"/>
    <n v="3"/>
    <n v="94.89"/>
    <s v="Digital Wallet"/>
    <s v="In-store"/>
    <n v="6"/>
    <n v="0"/>
  </r>
  <r>
    <s v="TXN_001738"/>
    <s v="HOTEL_033"/>
    <x v="80"/>
    <x v="3"/>
    <x v="0"/>
    <s v="19:00–19:30"/>
    <s v="AlaCarte"/>
    <n v="3"/>
    <n v="97.72"/>
    <s v="Credit Card"/>
    <s v="In-store"/>
    <n v="6"/>
    <n v="0"/>
  </r>
  <r>
    <s v="TXN_001739"/>
    <s v="WALK_019"/>
    <x v="80"/>
    <x v="3"/>
    <x v="0"/>
    <s v="19:00–19:30"/>
    <s v="AlaCarte"/>
    <n v="3"/>
    <n v="106.05"/>
    <s v="Digital Wallet"/>
    <s v="Takeaway"/>
    <n v="6"/>
    <n v="0"/>
  </r>
  <r>
    <s v="TXN_001740"/>
    <s v="WALK_032"/>
    <x v="80"/>
    <x v="3"/>
    <x v="0"/>
    <s v="19:30–20:00"/>
    <s v="AlaCarte"/>
    <n v="3"/>
    <n v="69.16"/>
    <s v="Digital Wallet"/>
    <s v="In-store"/>
    <n v="6"/>
    <n v="0"/>
  </r>
  <r>
    <s v="TXN_001741"/>
    <s v="WALK_045"/>
    <x v="80"/>
    <x v="3"/>
    <x v="0"/>
    <s v="19:30–20:00"/>
    <s v="AlaCarte"/>
    <n v="4"/>
    <n v="63.24"/>
    <s v="Digital Wallet"/>
    <s v="In-store"/>
    <n v="6"/>
    <n v="0"/>
  </r>
  <r>
    <s v="TXN_001742"/>
    <s v="HOTEL_020"/>
    <x v="80"/>
    <x v="3"/>
    <x v="0"/>
    <s v="19:30–20:00"/>
    <s v="AlaCarte"/>
    <n v="2"/>
    <n v="51.36"/>
    <s v="Credit Card"/>
    <s v="Takeaway"/>
    <n v="6"/>
    <n v="0"/>
  </r>
  <r>
    <s v="TXN_001743"/>
    <s v="WALK_063"/>
    <x v="80"/>
    <x v="3"/>
    <x v="0"/>
    <s v="19:30–20:00"/>
    <s v="AlaCarte"/>
    <n v="7"/>
    <n v="266.33"/>
    <s v="Cash"/>
    <s v="In-store"/>
    <n v="6"/>
    <n v="0"/>
  </r>
  <r>
    <s v="TXN_001744"/>
    <s v="CORP_036"/>
    <x v="80"/>
    <x v="3"/>
    <x v="0"/>
    <s v="20:00–20:30"/>
    <s v="AlaCarte"/>
    <n v="2"/>
    <n v="55.68"/>
    <s v="Digital Wallet"/>
    <s v="In-store"/>
    <n v="6"/>
    <n v="0"/>
  </r>
  <r>
    <s v="TXN_001745"/>
    <s v="WALK_113"/>
    <x v="80"/>
    <x v="3"/>
    <x v="0"/>
    <s v="20:00–20:30"/>
    <s v="AlaCarte"/>
    <n v="3"/>
    <n v="46.73"/>
    <s v="Credit Card"/>
    <s v="In-store"/>
    <n v="6"/>
    <n v="0"/>
  </r>
  <r>
    <s v="TXN_001746"/>
    <s v="CORP_063"/>
    <x v="80"/>
    <x v="3"/>
    <x v="0"/>
    <s v="20:00–20:30"/>
    <s v="AlaCarte"/>
    <n v="1"/>
    <n v="30.13"/>
    <s v="Cash"/>
    <s v="Takeaway"/>
    <n v="6"/>
    <n v="0"/>
  </r>
  <r>
    <s v="TXN_001747"/>
    <s v="WALK_034"/>
    <x v="80"/>
    <x v="3"/>
    <x v="0"/>
    <s v="20:00–20:30"/>
    <s v="AlaCarte"/>
    <n v="4"/>
    <n v="141.05000000000001"/>
    <s v="Credit Card"/>
    <s v="Takeaway"/>
    <n v="6"/>
    <n v="0"/>
  </r>
  <r>
    <s v="TXN_001748"/>
    <s v="HOTEL_040"/>
    <x v="80"/>
    <x v="3"/>
    <x v="0"/>
    <s v="20:00–20:30"/>
    <s v="AlaCarte"/>
    <n v="2"/>
    <n v="95.15"/>
    <s v="Cash"/>
    <s v="Takeaway"/>
    <n v="6"/>
    <n v="0"/>
  </r>
  <r>
    <s v="TXN_001749"/>
    <s v="CORP_019"/>
    <x v="80"/>
    <x v="3"/>
    <x v="1"/>
    <s v="12:15–12:45"/>
    <s v="AlaCarte"/>
    <n v="4"/>
    <n v="80.05"/>
    <s v="Credit Card"/>
    <s v="Takeaway"/>
    <n v="6"/>
    <n v="0"/>
  </r>
  <r>
    <s v="TXN_001750"/>
    <s v="CORP_067"/>
    <x v="80"/>
    <x v="3"/>
    <x v="1"/>
    <s v="12:45–13:15"/>
    <s v="AlaCarte"/>
    <n v="1"/>
    <n v="16.149999999999999"/>
    <s v="Credit Card"/>
    <s v="In-store"/>
    <n v="6"/>
    <n v="0"/>
  </r>
  <r>
    <s v="TXN_001751"/>
    <s v="CORP_023"/>
    <x v="80"/>
    <x v="3"/>
    <x v="1"/>
    <s v="12:45–13:15"/>
    <s v="AlaCarte"/>
    <n v="1"/>
    <n v="16.690000000000001"/>
    <s v="Cash"/>
    <s v="Takeaway"/>
    <n v="6"/>
    <n v="0"/>
  </r>
  <r>
    <s v="TXN_001752"/>
    <s v="WALK_004"/>
    <x v="81"/>
    <x v="4"/>
    <x v="0"/>
    <s v="18:00–18:30"/>
    <s v="AlaCarte"/>
    <n v="2"/>
    <n v="47.22"/>
    <s v="Credit Card"/>
    <s v="Takeaway"/>
    <n v="7"/>
    <n v="0"/>
  </r>
  <r>
    <s v="TXN_001753"/>
    <s v="HOTEL_007"/>
    <x v="81"/>
    <x v="4"/>
    <x v="0"/>
    <s v="18:30–19:00"/>
    <s v="AlaCarte"/>
    <n v="4"/>
    <n v="129.63"/>
    <s v="Cash"/>
    <s v="In-store"/>
    <n v="7"/>
    <n v="0"/>
  </r>
  <r>
    <s v="TXN_001754"/>
    <s v="WALK_085"/>
    <x v="81"/>
    <x v="4"/>
    <x v="0"/>
    <s v="18:30–19:00"/>
    <s v="AlaCarte"/>
    <n v="5"/>
    <n v="204.59"/>
    <s v="Credit Card"/>
    <s v="In-store"/>
    <n v="7"/>
    <n v="0"/>
  </r>
  <r>
    <s v="TXN_001755"/>
    <s v="WALK_042"/>
    <x v="81"/>
    <x v="4"/>
    <x v="0"/>
    <s v="18:30–19:00"/>
    <s v="AlaCarte"/>
    <n v="5"/>
    <n v="141.44999999999999"/>
    <s v="Cash"/>
    <s v="In-store"/>
    <n v="7"/>
    <n v="0"/>
  </r>
  <r>
    <s v="TXN_001756"/>
    <s v="HOTEL_037"/>
    <x v="81"/>
    <x v="4"/>
    <x v="0"/>
    <s v="19:00–19:30"/>
    <s v="AlaCarte"/>
    <n v="1"/>
    <n v="24.06"/>
    <s v="Credit Card"/>
    <s v="In-store"/>
    <n v="7"/>
    <n v="0"/>
  </r>
  <r>
    <s v="TXN_001757"/>
    <s v="HOTEL_008"/>
    <x v="81"/>
    <x v="4"/>
    <x v="0"/>
    <s v="19:00–19:30"/>
    <s v="AlaCarte"/>
    <n v="2"/>
    <n v="55.62"/>
    <s v="Credit Card"/>
    <s v="In-store"/>
    <n v="7"/>
    <n v="0"/>
  </r>
  <r>
    <s v="TXN_001758"/>
    <s v="CORP_063"/>
    <x v="81"/>
    <x v="4"/>
    <x v="0"/>
    <s v="19:00–19:30"/>
    <s v="AlaCarte"/>
    <n v="3"/>
    <n v="62.75"/>
    <s v="Credit Card"/>
    <s v="In-store"/>
    <n v="7"/>
    <n v="0"/>
  </r>
  <r>
    <s v="TXN_001759"/>
    <s v="WALK_115"/>
    <x v="81"/>
    <x v="4"/>
    <x v="0"/>
    <s v="19:00–19:30"/>
    <s v="AlaCarte"/>
    <n v="5"/>
    <n v="185.11"/>
    <s v="Cash"/>
    <s v="In-store"/>
    <n v="7"/>
    <n v="0"/>
  </r>
  <r>
    <s v="TXN_001760"/>
    <s v="WALK_065"/>
    <x v="81"/>
    <x v="4"/>
    <x v="0"/>
    <s v="19:30–20:00"/>
    <s v="AlaCarte"/>
    <n v="1"/>
    <n v="21.4"/>
    <s v="Digital Wallet"/>
    <s v="In-store"/>
    <n v="7"/>
    <n v="0"/>
  </r>
  <r>
    <s v="TXN_001761"/>
    <s v="HOTEL_020"/>
    <x v="81"/>
    <x v="4"/>
    <x v="0"/>
    <s v="19:30–20:00"/>
    <s v="AlaCarte"/>
    <n v="1"/>
    <n v="18.45"/>
    <s v="Credit Card"/>
    <s v="In-store"/>
    <n v="7"/>
    <n v="0"/>
  </r>
  <r>
    <s v="TXN_001762"/>
    <s v="HOTEL_040"/>
    <x v="81"/>
    <x v="4"/>
    <x v="0"/>
    <s v="19:30–20:00"/>
    <s v="AlaCarte"/>
    <n v="1"/>
    <n v="15.04"/>
    <s v="Digital Wallet"/>
    <s v="Takeaway"/>
    <n v="7"/>
    <n v="0"/>
  </r>
  <r>
    <s v="TXN_001763"/>
    <s v="HOTEL_037"/>
    <x v="81"/>
    <x v="4"/>
    <x v="0"/>
    <s v="19:30–20:00"/>
    <s v="AlaCarte"/>
    <n v="2"/>
    <n v="33.72"/>
    <s v="Credit Card"/>
    <s v="In-store"/>
    <n v="7"/>
    <n v="0"/>
  </r>
  <r>
    <s v="TXN_001764"/>
    <s v="WALK_029"/>
    <x v="81"/>
    <x v="4"/>
    <x v="0"/>
    <s v="19:30–20:00"/>
    <s v="AlaCarte"/>
    <n v="3"/>
    <n v="72.290000000000006"/>
    <s v="Digital Wallet"/>
    <s v="In-store"/>
    <n v="7"/>
    <n v="0"/>
  </r>
  <r>
    <s v="TXN_001765"/>
    <s v="HOTEL_007"/>
    <x v="81"/>
    <x v="4"/>
    <x v="0"/>
    <s v="19:30–20:00"/>
    <s v="AlaCarte"/>
    <n v="2"/>
    <n v="45.24"/>
    <s v="Credit Card"/>
    <s v="In-store"/>
    <n v="7"/>
    <n v="0"/>
  </r>
  <r>
    <s v="TXN_001766"/>
    <s v="WALK_120"/>
    <x v="81"/>
    <x v="4"/>
    <x v="0"/>
    <s v="19:30–20:00"/>
    <s v="AlaCarte"/>
    <n v="5"/>
    <n v="261.39"/>
    <s v="Digital Wallet"/>
    <s v="In-store"/>
    <n v="7"/>
    <n v="0"/>
  </r>
  <r>
    <s v="TXN_001767"/>
    <s v="CORP_023"/>
    <x v="81"/>
    <x v="4"/>
    <x v="0"/>
    <s v="20:00–20:30"/>
    <s v="AlaCarte"/>
    <n v="6"/>
    <n v="102.43"/>
    <s v="Credit Card"/>
    <s v="In-store"/>
    <n v="7"/>
    <n v="0"/>
  </r>
  <r>
    <s v="TXN_001768"/>
    <s v="HOTEL_032"/>
    <x v="81"/>
    <x v="4"/>
    <x v="0"/>
    <s v="20:00–20:30"/>
    <s v="AlaCarte"/>
    <n v="1"/>
    <n v="44.19"/>
    <s v="Cash"/>
    <s v="In-store"/>
    <n v="7"/>
    <n v="0"/>
  </r>
  <r>
    <s v="TXN_001769"/>
    <s v="WALK_069"/>
    <x v="81"/>
    <x v="4"/>
    <x v="0"/>
    <s v="20:00–20:30"/>
    <s v="AlaCarte"/>
    <n v="3"/>
    <n v="100.25"/>
    <s v="Digital Wallet"/>
    <s v="In-store"/>
    <n v="7"/>
    <n v="0"/>
  </r>
  <r>
    <s v="TXN_001770"/>
    <s v="WALK_045"/>
    <x v="81"/>
    <x v="4"/>
    <x v="1"/>
    <s v="12:45–13:15"/>
    <s v="AlaCarte"/>
    <n v="2"/>
    <n v="25.22"/>
    <s v="Credit Card"/>
    <s v="Takeaway"/>
    <n v="7"/>
    <n v="0"/>
  </r>
  <r>
    <s v="TXN_001771"/>
    <s v="CORP_018"/>
    <x v="81"/>
    <x v="4"/>
    <x v="1"/>
    <s v="13:15–13:45"/>
    <s v="AlaCarte"/>
    <n v="4"/>
    <n v="66.33"/>
    <s v="Credit Card"/>
    <s v="In-store"/>
    <n v="7"/>
    <n v="0"/>
  </r>
  <r>
    <s v="TXN_001772"/>
    <s v="WALK_052"/>
    <x v="82"/>
    <x v="5"/>
    <x v="0"/>
    <s v="18:00–18:30"/>
    <s v="AlaCarte"/>
    <n v="4"/>
    <n v="90.96"/>
    <s v="Credit Card"/>
    <s v="In-store"/>
    <n v="1"/>
    <n v="0"/>
  </r>
  <r>
    <s v="TXN_001773"/>
    <s v="WALK_078"/>
    <x v="82"/>
    <x v="5"/>
    <x v="0"/>
    <s v="18:00–18:30"/>
    <s v="AlaCarte"/>
    <n v="1"/>
    <n v="42.67"/>
    <s v="Credit Card"/>
    <s v="In-store"/>
    <n v="1"/>
    <n v="0"/>
  </r>
  <r>
    <s v="TXN_001774"/>
    <s v="WALK_098"/>
    <x v="82"/>
    <x v="5"/>
    <x v="0"/>
    <s v="18:00–18:30"/>
    <s v="AlaCarte"/>
    <n v="3"/>
    <n v="112.44"/>
    <s v="Cash"/>
    <s v="In-store"/>
    <n v="1"/>
    <n v="0"/>
  </r>
  <r>
    <s v="TXN_001775"/>
    <s v="WALK_026"/>
    <x v="82"/>
    <x v="5"/>
    <x v="0"/>
    <s v="18:30–19:00"/>
    <s v="AlaCarte"/>
    <n v="3"/>
    <n v="100.65"/>
    <s v="Cash"/>
    <s v="In-store"/>
    <n v="1"/>
    <n v="0"/>
  </r>
  <r>
    <s v="TXN_001776"/>
    <s v="HOTEL_028"/>
    <x v="82"/>
    <x v="5"/>
    <x v="0"/>
    <s v="18:30–19:00"/>
    <s v="AlaCarte"/>
    <n v="4"/>
    <n v="123.49"/>
    <s v="Cash"/>
    <s v="In-store"/>
    <n v="1"/>
    <n v="0"/>
  </r>
  <r>
    <s v="TXN_001777"/>
    <s v="WALK_117"/>
    <x v="82"/>
    <x v="5"/>
    <x v="0"/>
    <s v="18:30–19:00"/>
    <s v="AlaCarte"/>
    <n v="2"/>
    <n v="48.48"/>
    <s v="Digital Wallet"/>
    <s v="In-store"/>
    <n v="1"/>
    <n v="0"/>
  </r>
  <r>
    <s v="TXN_001778"/>
    <s v="WALK_042"/>
    <x v="82"/>
    <x v="5"/>
    <x v="0"/>
    <s v="18:30–19:00"/>
    <s v="AlaCarte"/>
    <n v="3"/>
    <n v="89.64"/>
    <s v="Cash"/>
    <s v="Takeaway"/>
    <n v="1"/>
    <n v="0"/>
  </r>
  <r>
    <s v="TXN_001779"/>
    <s v="WALK_038"/>
    <x v="82"/>
    <x v="5"/>
    <x v="0"/>
    <s v="19:00–19:30"/>
    <s v="AlaCarte"/>
    <n v="1"/>
    <n v="37.75"/>
    <s v="Cash"/>
    <s v="In-store"/>
    <n v="1"/>
    <n v="0"/>
  </r>
  <r>
    <s v="TXN_001780"/>
    <s v="WALK_029"/>
    <x v="82"/>
    <x v="5"/>
    <x v="0"/>
    <s v="19:00–19:30"/>
    <s v="AlaCarte"/>
    <n v="5"/>
    <n v="205.1"/>
    <s v="Cash"/>
    <s v="Takeaway"/>
    <n v="1"/>
    <n v="0"/>
  </r>
  <r>
    <s v="TXN_001781"/>
    <s v="WALK_025"/>
    <x v="82"/>
    <x v="5"/>
    <x v="0"/>
    <s v="19:30–20:00"/>
    <s v="AlaCarte"/>
    <n v="2"/>
    <n v="90.99"/>
    <s v="Cash"/>
    <s v="In-store"/>
    <n v="1"/>
    <n v="0"/>
  </r>
  <r>
    <s v="TXN_001782"/>
    <s v="WALK_100"/>
    <x v="82"/>
    <x v="5"/>
    <x v="0"/>
    <s v="19:30–20:00"/>
    <s v="AlaCarte"/>
    <n v="3"/>
    <n v="98.16"/>
    <s v="Credit Card"/>
    <s v="Takeaway"/>
    <n v="1"/>
    <n v="0"/>
  </r>
  <r>
    <s v="TXN_001783"/>
    <s v="WALK_117"/>
    <x v="82"/>
    <x v="5"/>
    <x v="0"/>
    <s v="19:30–20:00"/>
    <s v="AlaCarte"/>
    <n v="3"/>
    <n v="51.81"/>
    <s v="Digital Wallet"/>
    <s v="Takeaway"/>
    <n v="1"/>
    <n v="0"/>
  </r>
  <r>
    <s v="TXN_001784"/>
    <s v="WALK_004"/>
    <x v="82"/>
    <x v="5"/>
    <x v="0"/>
    <s v="19:30–20:00"/>
    <s v="AlaCarte"/>
    <n v="4"/>
    <n v="160.22"/>
    <s v="Credit Card"/>
    <s v="In-store"/>
    <n v="1"/>
    <n v="0"/>
  </r>
  <r>
    <s v="TXN_001785"/>
    <s v="WALK_090"/>
    <x v="82"/>
    <x v="5"/>
    <x v="0"/>
    <s v="19:30–20:00"/>
    <s v="AlaCarte"/>
    <n v="5"/>
    <n v="158.32"/>
    <s v="Digital Wallet"/>
    <s v="In-store"/>
    <n v="1"/>
    <n v="0"/>
  </r>
  <r>
    <s v="TXN_001786"/>
    <s v="WALK_034"/>
    <x v="82"/>
    <x v="5"/>
    <x v="0"/>
    <s v="20:00–20:30"/>
    <s v="AlaCarte"/>
    <n v="1"/>
    <n v="32.71"/>
    <s v="Credit Card"/>
    <s v="In-store"/>
    <n v="1"/>
    <n v="0"/>
  </r>
  <r>
    <s v="TXN_001787"/>
    <s v="WALK_065"/>
    <x v="82"/>
    <x v="5"/>
    <x v="0"/>
    <s v="20:00–20:30"/>
    <s v="AlaCarte"/>
    <n v="3"/>
    <n v="76.83"/>
    <s v="Credit Card"/>
    <s v="In-store"/>
    <n v="1"/>
    <n v="0"/>
  </r>
  <r>
    <s v="TXN_001788"/>
    <s v="CORP_024"/>
    <x v="82"/>
    <x v="5"/>
    <x v="0"/>
    <s v="20:00–20:30"/>
    <s v="AlaCarte"/>
    <n v="3"/>
    <n v="87.49"/>
    <s v="Credit Card"/>
    <s v="In-store"/>
    <n v="1"/>
    <n v="0"/>
  </r>
  <r>
    <s v="TXN_001789"/>
    <s v="WALK_024"/>
    <x v="82"/>
    <x v="5"/>
    <x v="0"/>
    <s v="20:00–20:30"/>
    <s v="AlaCarte"/>
    <n v="2"/>
    <n v="59.01"/>
    <s v="Credit Card"/>
    <s v="Takeaway"/>
    <n v="1"/>
    <n v="0"/>
  </r>
  <r>
    <s v="TXN_001790"/>
    <s v="WALK_036"/>
    <x v="82"/>
    <x v="5"/>
    <x v="0"/>
    <s v="20:00–20:30"/>
    <s v="AlaCarte"/>
    <n v="2"/>
    <n v="81.97"/>
    <s v="Credit Card"/>
    <s v="In-store"/>
    <n v="1"/>
    <n v="0"/>
  </r>
  <r>
    <s v="TXN_001791"/>
    <s v="CORP_069"/>
    <x v="82"/>
    <x v="5"/>
    <x v="1"/>
    <s v="12:15–12:45"/>
    <s v="AlaCarte"/>
    <n v="2"/>
    <n v="49.91"/>
    <s v="Digital Wallet"/>
    <s v="In-store"/>
    <n v="1"/>
    <n v="0"/>
  </r>
  <r>
    <s v="TXN_001792"/>
    <s v="CORP_016"/>
    <x v="82"/>
    <x v="5"/>
    <x v="1"/>
    <s v="12:15–12:45"/>
    <s v="AlaCarte"/>
    <n v="4"/>
    <n v="48.39"/>
    <s v="Cash"/>
    <s v="In-store"/>
    <n v="1"/>
    <n v="0"/>
  </r>
  <r>
    <s v="TXN_001793"/>
    <s v="CORP_017"/>
    <x v="82"/>
    <x v="5"/>
    <x v="1"/>
    <s v="12:45–13:15"/>
    <s v="AlaCarte"/>
    <n v="2"/>
    <n v="25.33"/>
    <s v="Digital Wallet"/>
    <s v="Takeaway"/>
    <n v="1"/>
    <n v="0"/>
  </r>
  <r>
    <s v="TXN_001794"/>
    <s v="CORP_080"/>
    <x v="82"/>
    <x v="5"/>
    <x v="1"/>
    <s v="12:45–13:15"/>
    <s v="AlaCarte"/>
    <n v="3"/>
    <n v="40.35"/>
    <s v="Credit Card"/>
    <s v="In-store"/>
    <n v="1"/>
    <n v="0"/>
  </r>
  <r>
    <s v="TXN_001795"/>
    <s v="CORP_063"/>
    <x v="82"/>
    <x v="5"/>
    <x v="1"/>
    <s v="12:45–13:15"/>
    <s v="AlaCarte"/>
    <n v="4"/>
    <n v="78.41"/>
    <s v="Cash"/>
    <s v="Takeaway"/>
    <n v="1"/>
    <n v="0"/>
  </r>
  <r>
    <s v="TXN_001796"/>
    <s v="WALK_092"/>
    <x v="82"/>
    <x v="5"/>
    <x v="1"/>
    <s v="12:45–13:15"/>
    <s v="AlaCarte"/>
    <n v="3"/>
    <n v="32.07"/>
    <s v="Credit Card"/>
    <s v="Takeaway"/>
    <n v="1"/>
    <n v="0"/>
  </r>
  <r>
    <s v="TXN_001797"/>
    <s v="CORP_047"/>
    <x v="82"/>
    <x v="5"/>
    <x v="1"/>
    <s v="13:15–13:45"/>
    <s v="AlaCarte"/>
    <n v="2"/>
    <n v="28.71"/>
    <s v="Credit Card"/>
    <s v="In-store"/>
    <n v="1"/>
    <n v="0"/>
  </r>
  <r>
    <s v="TXN_001798"/>
    <s v="WALK_019"/>
    <x v="82"/>
    <x v="5"/>
    <x v="1"/>
    <s v="13:15–13:45"/>
    <s v="AlaCarte"/>
    <n v="2"/>
    <n v="18.579999999999998"/>
    <s v="Credit Card"/>
    <s v="In-store"/>
    <n v="1"/>
    <n v="0"/>
  </r>
  <r>
    <s v="TXN_001799"/>
    <s v="CORP_002"/>
    <x v="82"/>
    <x v="5"/>
    <x v="1"/>
    <s v="13:15–13:45"/>
    <s v="AlaCarte"/>
    <n v="2"/>
    <n v="21.56"/>
    <s v="Credit Card"/>
    <s v="In-store"/>
    <n v="1"/>
    <n v="0"/>
  </r>
  <r>
    <s v="TXN_001800"/>
    <s v="WALK_072"/>
    <x v="82"/>
    <x v="5"/>
    <x v="1"/>
    <s v="13:15–13:45"/>
    <s v="AlaCarte"/>
    <n v="2"/>
    <n v="46.36"/>
    <s v="Cash"/>
    <s v="Takeaway"/>
    <n v="1"/>
    <n v="0"/>
  </r>
  <r>
    <s v="TXN_001801"/>
    <s v="WALK_059"/>
    <x v="82"/>
    <x v="5"/>
    <x v="1"/>
    <s v="13:45–14:15"/>
    <s v="AlaCarte"/>
    <n v="3"/>
    <n v="41.03"/>
    <s v="Digital Wallet"/>
    <s v="In-store"/>
    <n v="1"/>
    <n v="0"/>
  </r>
  <r>
    <s v="TXN_001802"/>
    <s v="HOTEL_017"/>
    <x v="83"/>
    <x v="6"/>
    <x v="0"/>
    <s v="18:00–18:30"/>
    <s v="AlaCarte"/>
    <n v="4"/>
    <n v="61.7"/>
    <s v="Credit Card"/>
    <s v="In-store"/>
    <n v="2"/>
    <n v="0"/>
  </r>
  <r>
    <s v="TXN_001803"/>
    <s v="CORP_039"/>
    <x v="83"/>
    <x v="6"/>
    <x v="0"/>
    <s v="18:00–18:30"/>
    <s v="AlaCarte"/>
    <n v="2"/>
    <n v="71.16"/>
    <s v="Digital Wallet"/>
    <s v="In-store"/>
    <n v="2"/>
    <n v="0"/>
  </r>
  <r>
    <s v="TXN_001804"/>
    <s v="HOTEL_021"/>
    <x v="83"/>
    <x v="6"/>
    <x v="0"/>
    <s v="18:00–18:30"/>
    <s v="AlaCarte"/>
    <n v="1"/>
    <n v="30.29"/>
    <s v="Digital Wallet"/>
    <s v="In-store"/>
    <n v="2"/>
    <n v="0"/>
  </r>
  <r>
    <s v="TXN_001805"/>
    <s v="WALK_013"/>
    <x v="83"/>
    <x v="6"/>
    <x v="0"/>
    <s v="18:30–19:00"/>
    <s v="AlaCarte"/>
    <n v="3"/>
    <n v="74.28"/>
    <s v="Credit Card"/>
    <s v="In-store"/>
    <n v="2"/>
    <n v="0"/>
  </r>
  <r>
    <s v="TXN_001806"/>
    <s v="WALK_005"/>
    <x v="83"/>
    <x v="6"/>
    <x v="0"/>
    <s v="18:30–19:00"/>
    <s v="AlaCarte"/>
    <n v="3"/>
    <n v="163.53"/>
    <s v="Credit Card"/>
    <s v="In-store"/>
    <n v="2"/>
    <n v="0"/>
  </r>
  <r>
    <s v="TXN_001807"/>
    <s v="WALK_065"/>
    <x v="83"/>
    <x v="6"/>
    <x v="0"/>
    <s v="19:00–19:30"/>
    <s v="AlaCarte"/>
    <n v="1"/>
    <n v="40.549999999999997"/>
    <s v="Digital Wallet"/>
    <s v="In-store"/>
    <n v="2"/>
    <n v="0"/>
  </r>
  <r>
    <s v="TXN_001808"/>
    <s v="WALK_120"/>
    <x v="83"/>
    <x v="6"/>
    <x v="0"/>
    <s v="19:30–20:00"/>
    <s v="AlaCarte"/>
    <n v="3"/>
    <n v="86.98"/>
    <s v="Credit Card"/>
    <s v="Takeaway"/>
    <n v="2"/>
    <n v="0"/>
  </r>
  <r>
    <s v="TXN_001809"/>
    <s v="WALK_062"/>
    <x v="83"/>
    <x v="6"/>
    <x v="0"/>
    <s v="19:30–20:00"/>
    <s v="AlaCarte"/>
    <n v="5"/>
    <n v="232.77"/>
    <s v="Credit Card"/>
    <s v="Takeaway"/>
    <n v="2"/>
    <n v="0"/>
  </r>
  <r>
    <s v="TXN_001810"/>
    <s v="WALK_107"/>
    <x v="83"/>
    <x v="6"/>
    <x v="0"/>
    <s v="19:30–20:00"/>
    <s v="AlaCarte"/>
    <n v="2"/>
    <n v="54.73"/>
    <s v="Credit Card"/>
    <s v="In-store"/>
    <n v="2"/>
    <n v="0"/>
  </r>
  <r>
    <s v="TXN_001811"/>
    <s v="HOTEL_028"/>
    <x v="83"/>
    <x v="6"/>
    <x v="0"/>
    <s v="19:30–20:00"/>
    <s v="AlaCarte"/>
    <n v="2"/>
    <n v="36.5"/>
    <s v="Digital Wallet"/>
    <s v="In-store"/>
    <n v="2"/>
    <n v="0"/>
  </r>
  <r>
    <s v="TXN_001812"/>
    <s v="WALK_015"/>
    <x v="83"/>
    <x v="6"/>
    <x v="0"/>
    <s v="19:30–20:00"/>
    <s v="AlaCarte"/>
    <n v="4"/>
    <n v="177.28"/>
    <s v="Cash"/>
    <s v="Takeaway"/>
    <n v="2"/>
    <n v="0"/>
  </r>
  <r>
    <s v="TXN_001813"/>
    <s v="WALK_007"/>
    <x v="83"/>
    <x v="6"/>
    <x v="0"/>
    <s v="20:00–20:30"/>
    <s v="AlaCarte"/>
    <n v="3"/>
    <n v="146.32"/>
    <s v="Digital Wallet"/>
    <s v="Takeaway"/>
    <n v="2"/>
    <n v="0"/>
  </r>
  <r>
    <s v="TXN_001814"/>
    <s v="WALK_035"/>
    <x v="83"/>
    <x v="6"/>
    <x v="0"/>
    <s v="20:00–20:30"/>
    <s v="AlaCarte"/>
    <n v="1"/>
    <n v="22.82"/>
    <s v="Cash"/>
    <s v="In-store"/>
    <n v="2"/>
    <n v="0"/>
  </r>
  <r>
    <s v="TXN_001815"/>
    <s v="WALK_108"/>
    <x v="83"/>
    <x v="6"/>
    <x v="0"/>
    <s v="20:00–20:30"/>
    <s v="AlaCarte"/>
    <n v="2"/>
    <n v="42.06"/>
    <s v="Cash"/>
    <s v="In-store"/>
    <n v="2"/>
    <n v="0"/>
  </r>
  <r>
    <s v="TXN_001816"/>
    <s v="CORP_003"/>
    <x v="83"/>
    <x v="6"/>
    <x v="1"/>
    <s v="12:15–12:45"/>
    <s v="AlaCarte"/>
    <n v="3"/>
    <n v="34.26"/>
    <s v="Credit Card"/>
    <s v="In-store"/>
    <n v="2"/>
    <n v="0"/>
  </r>
  <r>
    <s v="TXN_001817"/>
    <s v="WALK_069"/>
    <x v="83"/>
    <x v="6"/>
    <x v="1"/>
    <s v="12:45–13:15"/>
    <s v="AlaCarte"/>
    <n v="4"/>
    <n v="70.61"/>
    <s v="Credit Card"/>
    <s v="In-store"/>
    <n v="2"/>
    <n v="0"/>
  </r>
  <r>
    <s v="TXN_001818"/>
    <s v="WALK_103"/>
    <x v="83"/>
    <x v="6"/>
    <x v="1"/>
    <s v="12:45–13:15"/>
    <s v="AlaCarte"/>
    <n v="4"/>
    <n v="97.25"/>
    <s v="Credit Card"/>
    <s v="In-store"/>
    <n v="2"/>
    <n v="0"/>
  </r>
  <r>
    <s v="TXN_001819"/>
    <s v="WALK_020"/>
    <x v="83"/>
    <x v="6"/>
    <x v="1"/>
    <s v="13:15–13:45"/>
    <s v="AlaCarte"/>
    <n v="2"/>
    <n v="38.94"/>
    <s v="Digital Wallet"/>
    <s v="In-store"/>
    <n v="2"/>
    <n v="0"/>
  </r>
  <r>
    <s v="TXN_001820"/>
    <s v="CORP_019"/>
    <x v="83"/>
    <x v="6"/>
    <x v="1"/>
    <s v="13:15–13:45"/>
    <s v="AlaCarte"/>
    <n v="3"/>
    <n v="70.44"/>
    <s v="Credit Card"/>
    <s v="Takeaway"/>
    <n v="2"/>
    <n v="0"/>
  </r>
  <r>
    <s v="TXN_001821"/>
    <s v="WALK_075"/>
    <x v="83"/>
    <x v="6"/>
    <x v="1"/>
    <s v="13:15–13:45"/>
    <s v="AlaCarte"/>
    <n v="5"/>
    <n v="105.6"/>
    <s v="Credit Card"/>
    <s v="In-store"/>
    <n v="2"/>
    <n v="0"/>
  </r>
  <r>
    <s v="TXN_001822"/>
    <s v="WALK_060"/>
    <x v="83"/>
    <x v="6"/>
    <x v="1"/>
    <s v="13:45–14:15"/>
    <s v="AlaCarte"/>
    <n v="1"/>
    <n v="18"/>
    <s v="Credit Card"/>
    <s v="Takeaway"/>
    <n v="2"/>
    <n v="0"/>
  </r>
  <r>
    <s v="TXN_001823"/>
    <s v="CORP_014"/>
    <x v="83"/>
    <x v="6"/>
    <x v="1"/>
    <s v="13:45–14:15"/>
    <s v="AlaCarte"/>
    <n v="1"/>
    <n v="22.78"/>
    <s v="Cash"/>
    <s v="In-store"/>
    <n v="2"/>
    <n v="0"/>
  </r>
  <r>
    <s v="TXN_001824"/>
    <s v="HOTEL_001"/>
    <x v="84"/>
    <x v="0"/>
    <x v="0"/>
    <s v="18:00–18:30"/>
    <s v="AlaCarte"/>
    <n v="2"/>
    <n v="57.24"/>
    <s v="Cash"/>
    <s v="Takeaway"/>
    <n v="3"/>
    <n v="0"/>
  </r>
  <r>
    <s v="TXN_001825"/>
    <s v="WALK_107"/>
    <x v="84"/>
    <x v="0"/>
    <x v="0"/>
    <s v="18:00–18:30"/>
    <s v="AlaCarte"/>
    <n v="3"/>
    <n v="99.63"/>
    <s v="Credit Card"/>
    <s v="In-store"/>
    <n v="3"/>
    <n v="0"/>
  </r>
  <r>
    <s v="TXN_001826"/>
    <s v="HOTEL_025"/>
    <x v="84"/>
    <x v="0"/>
    <x v="0"/>
    <s v="18:00–18:30"/>
    <s v="AlaCarte"/>
    <n v="2"/>
    <n v="78.3"/>
    <s v="Credit Card"/>
    <s v="In-store"/>
    <n v="3"/>
    <n v="0"/>
  </r>
  <r>
    <s v="TXN_001827"/>
    <s v="WALK_104"/>
    <x v="84"/>
    <x v="0"/>
    <x v="0"/>
    <s v="18:00–18:30"/>
    <s v="AlaCarte"/>
    <n v="2"/>
    <n v="102.64"/>
    <s v="Digital Wallet"/>
    <s v="Takeaway"/>
    <n v="3"/>
    <n v="0"/>
  </r>
  <r>
    <s v="TXN_001828"/>
    <s v="HOTEL_023"/>
    <x v="84"/>
    <x v="0"/>
    <x v="0"/>
    <s v="18:00–18:30"/>
    <s v="AlaCarte"/>
    <n v="5"/>
    <n v="151.82"/>
    <s v="Digital Wallet"/>
    <s v="In-store"/>
    <n v="3"/>
    <n v="0"/>
  </r>
  <r>
    <s v="TXN_001829"/>
    <s v="WALK_021"/>
    <x v="84"/>
    <x v="0"/>
    <x v="0"/>
    <s v="18:00–18:30"/>
    <s v="AlaCarte"/>
    <n v="5"/>
    <n v="87.68"/>
    <s v="Digital Wallet"/>
    <s v="In-store"/>
    <n v="3"/>
    <n v="0"/>
  </r>
  <r>
    <s v="TXN_001830"/>
    <s v="WALK_041"/>
    <x v="84"/>
    <x v="0"/>
    <x v="0"/>
    <s v="18:30–19:00"/>
    <s v="AlaCarte"/>
    <n v="3"/>
    <n v="81.510000000000005"/>
    <s v="Digital Wallet"/>
    <s v="In-store"/>
    <n v="3"/>
    <n v="0"/>
  </r>
  <r>
    <s v="TXN_001831"/>
    <s v="WALK_024"/>
    <x v="84"/>
    <x v="0"/>
    <x v="0"/>
    <s v="18:30–19:00"/>
    <s v="AlaCarte"/>
    <n v="2"/>
    <n v="45.93"/>
    <s v="Cash"/>
    <s v="In-store"/>
    <n v="3"/>
    <n v="0"/>
  </r>
  <r>
    <s v="TXN_001832"/>
    <s v="WALK_101"/>
    <x v="84"/>
    <x v="0"/>
    <x v="0"/>
    <s v="19:00–19:30"/>
    <s v="AlaCarte"/>
    <n v="2"/>
    <n v="45.13"/>
    <s v="Credit Card"/>
    <s v="In-store"/>
    <n v="3"/>
    <n v="0"/>
  </r>
  <r>
    <s v="TXN_001833"/>
    <s v="WALK_001"/>
    <x v="84"/>
    <x v="0"/>
    <x v="0"/>
    <s v="19:00–19:30"/>
    <s v="AlaCarte"/>
    <n v="2"/>
    <n v="46.86"/>
    <s v="Digital Wallet"/>
    <s v="Takeaway"/>
    <n v="3"/>
    <n v="0"/>
  </r>
  <r>
    <s v="TXN_001834"/>
    <s v="CORP_003"/>
    <x v="84"/>
    <x v="0"/>
    <x v="0"/>
    <s v="19:30–20:00"/>
    <s v="AlaCarte"/>
    <n v="3"/>
    <n v="101.42"/>
    <s v="Credit Card"/>
    <s v="Takeaway"/>
    <n v="3"/>
    <n v="0"/>
  </r>
  <r>
    <s v="TXN_001835"/>
    <s v="WALK_067"/>
    <x v="84"/>
    <x v="0"/>
    <x v="0"/>
    <s v="19:30–20:00"/>
    <s v="AlaCarte"/>
    <n v="3"/>
    <n v="89.39"/>
    <s v="Cash"/>
    <s v="In-store"/>
    <n v="3"/>
    <n v="0"/>
  </r>
  <r>
    <s v="TXN_001836"/>
    <s v="CORP_076"/>
    <x v="84"/>
    <x v="0"/>
    <x v="1"/>
    <s v="12:15–12:45"/>
    <s v="Buffet"/>
    <n v="3"/>
    <n v="69"/>
    <s v="Digital Wallet"/>
    <s v="Takeaway"/>
    <n v="3"/>
    <n v="1"/>
  </r>
  <r>
    <s v="TXN_001837"/>
    <s v="WALK_045"/>
    <x v="84"/>
    <x v="0"/>
    <x v="1"/>
    <s v="12:15–12:45"/>
    <s v="Buffet"/>
    <n v="3"/>
    <n v="69"/>
    <s v="Credit Card"/>
    <s v="Takeaway"/>
    <n v="3"/>
    <n v="1"/>
  </r>
  <r>
    <s v="TXN_001838"/>
    <s v="CORP_029"/>
    <x v="84"/>
    <x v="0"/>
    <x v="1"/>
    <s v="12:45–13:15"/>
    <s v="Buffet"/>
    <n v="1"/>
    <n v="20"/>
    <s v="Credit Card"/>
    <s v="In-store"/>
    <n v="3"/>
    <n v="1"/>
  </r>
  <r>
    <s v="TXN_001839"/>
    <s v="CORP_026"/>
    <x v="84"/>
    <x v="0"/>
    <x v="1"/>
    <s v="12:45–13:15"/>
    <s v="Buffet"/>
    <n v="1"/>
    <n v="20"/>
    <s v="Cash"/>
    <s v="Takeaway"/>
    <n v="3"/>
    <n v="1"/>
  </r>
  <r>
    <s v="TXN_001840"/>
    <s v="CORP_046"/>
    <x v="84"/>
    <x v="0"/>
    <x v="1"/>
    <s v="12:45–13:15"/>
    <s v="Buffet"/>
    <n v="5"/>
    <n v="100"/>
    <s v="Digital Wallet"/>
    <s v="Takeaway"/>
    <n v="3"/>
    <n v="1"/>
  </r>
  <r>
    <s v="TXN_001841"/>
    <s v="CORP_028"/>
    <x v="84"/>
    <x v="0"/>
    <x v="1"/>
    <s v="12:45–13:15"/>
    <s v="Buffet"/>
    <n v="3"/>
    <n v="64.5"/>
    <s v="Credit Card"/>
    <s v="In-store"/>
    <n v="3"/>
    <n v="1"/>
  </r>
  <r>
    <s v="TXN_001842"/>
    <s v="CORP_067"/>
    <x v="84"/>
    <x v="0"/>
    <x v="1"/>
    <s v="12:45–13:15"/>
    <s v="Buffet"/>
    <n v="2"/>
    <n v="44.5"/>
    <s v="Credit Card"/>
    <s v="Takeaway"/>
    <n v="3"/>
    <n v="1"/>
  </r>
  <r>
    <s v="TXN_001843"/>
    <s v="CORP_054"/>
    <x v="84"/>
    <x v="0"/>
    <x v="1"/>
    <s v="13:15–13:45"/>
    <s v="AlaCarte"/>
    <n v="4"/>
    <n v="101.38"/>
    <s v="Digital Wallet"/>
    <s v="In-store"/>
    <n v="3"/>
    <n v="0"/>
  </r>
  <r>
    <s v="TXN_001844"/>
    <s v="CORP_062"/>
    <x v="84"/>
    <x v="0"/>
    <x v="1"/>
    <s v="13:15–13:45"/>
    <s v="Buffet"/>
    <n v="2"/>
    <n v="44.5"/>
    <s v="Credit Card"/>
    <s v="In-store"/>
    <n v="3"/>
    <n v="1"/>
  </r>
  <r>
    <s v="TXN_001845"/>
    <s v="CORP_023"/>
    <x v="84"/>
    <x v="0"/>
    <x v="1"/>
    <s v="13:15–13:45"/>
    <s v="Buffet"/>
    <n v="7"/>
    <n v="144.5"/>
    <s v="Digital Wallet"/>
    <s v="Takeaway"/>
    <n v="3"/>
    <n v="1"/>
  </r>
  <r>
    <s v="TXN_001846"/>
    <s v="CORP_064"/>
    <x v="84"/>
    <x v="0"/>
    <x v="1"/>
    <s v="13:15–13:45"/>
    <s v="AlaCarte"/>
    <n v="5"/>
    <n v="57.16"/>
    <s v="Credit Card"/>
    <s v="Takeaway"/>
    <n v="3"/>
    <n v="0"/>
  </r>
  <r>
    <s v="TXN_001847"/>
    <s v="CORP_046"/>
    <x v="84"/>
    <x v="0"/>
    <x v="1"/>
    <s v="13:45–14:15"/>
    <s v="Buffet"/>
    <n v="5"/>
    <n v="109"/>
    <s v="Credit Card"/>
    <s v="Takeaway"/>
    <n v="3"/>
    <n v="1"/>
  </r>
  <r>
    <s v="TXN_001848"/>
    <s v="CORP_038"/>
    <x v="84"/>
    <x v="0"/>
    <x v="1"/>
    <s v="13:45–14:15"/>
    <s v="Buffet"/>
    <n v="3"/>
    <n v="64.5"/>
    <s v="Credit Card"/>
    <s v="In-store"/>
    <n v="3"/>
    <n v="1"/>
  </r>
  <r>
    <s v="TXN_001849"/>
    <s v="WALK_016"/>
    <x v="85"/>
    <x v="1"/>
    <x v="0"/>
    <s v="19:00–19:30"/>
    <s v="AlaCarte"/>
    <n v="1"/>
    <n v="17.04"/>
    <s v="Cash"/>
    <s v="In-store"/>
    <n v="4"/>
    <n v="0"/>
  </r>
  <r>
    <s v="TXN_001850"/>
    <s v="HOTEL_014"/>
    <x v="85"/>
    <x v="1"/>
    <x v="0"/>
    <s v="19:30–20:00"/>
    <s v="AlaCarte"/>
    <n v="2"/>
    <n v="42.7"/>
    <s v="Digital Wallet"/>
    <s v="In-store"/>
    <n v="4"/>
    <n v="0"/>
  </r>
  <r>
    <s v="TXN_001851"/>
    <s v="CORP_049"/>
    <x v="85"/>
    <x v="1"/>
    <x v="0"/>
    <s v="19:30–20:00"/>
    <s v="AlaCarte"/>
    <n v="3"/>
    <n v="52.9"/>
    <s v="Credit Card"/>
    <s v="In-store"/>
    <n v="4"/>
    <n v="0"/>
  </r>
  <r>
    <s v="TXN_001852"/>
    <s v="CORP_068"/>
    <x v="85"/>
    <x v="1"/>
    <x v="0"/>
    <s v="20:00–20:30"/>
    <s v="AlaCarte"/>
    <n v="3"/>
    <n v="99.69"/>
    <s v="Cash"/>
    <s v="In-store"/>
    <n v="4"/>
    <n v="0"/>
  </r>
  <r>
    <s v="TXN_001853"/>
    <s v="HOTEL_021"/>
    <x v="85"/>
    <x v="1"/>
    <x v="0"/>
    <s v="20:00–20:30"/>
    <s v="AlaCarte"/>
    <n v="4"/>
    <n v="61.81"/>
    <s v="Credit Card"/>
    <s v="In-store"/>
    <n v="4"/>
    <n v="0"/>
  </r>
  <r>
    <s v="TXN_001854"/>
    <s v="CORP_053"/>
    <x v="85"/>
    <x v="1"/>
    <x v="1"/>
    <s v="12:15–12:45"/>
    <s v="Buffet"/>
    <n v="5"/>
    <n v="109"/>
    <s v="Credit Card"/>
    <s v="Takeaway"/>
    <n v="4"/>
    <n v="1"/>
  </r>
  <r>
    <s v="TXN_001855"/>
    <s v="CORP_064"/>
    <x v="85"/>
    <x v="1"/>
    <x v="1"/>
    <s v="12:15–12:45"/>
    <s v="AlaCarte"/>
    <n v="5"/>
    <n v="117.49"/>
    <s v="Cash"/>
    <s v="In-store"/>
    <n v="4"/>
    <n v="0"/>
  </r>
  <r>
    <s v="TXN_001856"/>
    <s v="WALK_101"/>
    <x v="85"/>
    <x v="1"/>
    <x v="1"/>
    <s v="12:15–12:45"/>
    <s v="Buffet"/>
    <n v="3"/>
    <n v="69"/>
    <s v="Cash"/>
    <s v="In-store"/>
    <n v="4"/>
    <n v="1"/>
  </r>
  <r>
    <s v="TXN_001857"/>
    <s v="CORP_064"/>
    <x v="85"/>
    <x v="1"/>
    <x v="1"/>
    <s v="12:45–13:15"/>
    <s v="Buffet"/>
    <n v="3"/>
    <n v="60"/>
    <s v="Credit Card"/>
    <s v="Takeaway"/>
    <n v="4"/>
    <n v="1"/>
  </r>
  <r>
    <s v="TXN_001858"/>
    <s v="CORP_014"/>
    <x v="85"/>
    <x v="1"/>
    <x v="1"/>
    <s v="12:45–13:15"/>
    <s v="AlaCarte"/>
    <n v="2"/>
    <n v="31.56"/>
    <s v="Digital Wallet"/>
    <s v="In-store"/>
    <n v="4"/>
    <n v="0"/>
  </r>
  <r>
    <s v="TXN_001859"/>
    <s v="CORP_015"/>
    <x v="85"/>
    <x v="1"/>
    <x v="1"/>
    <s v="12:45–13:15"/>
    <s v="AlaCarte"/>
    <n v="2"/>
    <n v="36.14"/>
    <s v="Cash"/>
    <s v="In-store"/>
    <n v="4"/>
    <n v="0"/>
  </r>
  <r>
    <s v="TXN_001860"/>
    <s v="CORP_035"/>
    <x v="85"/>
    <x v="1"/>
    <x v="1"/>
    <s v="13:15–13:45"/>
    <s v="Buffet"/>
    <n v="4"/>
    <n v="84.5"/>
    <s v="Cash"/>
    <s v="In-store"/>
    <n v="4"/>
    <n v="1"/>
  </r>
  <r>
    <s v="TXN_001861"/>
    <s v="CORP_004"/>
    <x v="85"/>
    <x v="1"/>
    <x v="1"/>
    <s v="13:45–14:15"/>
    <s v="AlaCarte"/>
    <n v="4"/>
    <n v="75.34"/>
    <s v="Digital Wallet"/>
    <s v="In-store"/>
    <n v="4"/>
    <n v="0"/>
  </r>
  <r>
    <s v="TXN_001862"/>
    <s v="CORP_078"/>
    <x v="85"/>
    <x v="1"/>
    <x v="1"/>
    <s v="13:45–14:15"/>
    <s v="AlaCarte"/>
    <n v="2"/>
    <n v="31.5"/>
    <s v="Digital Wallet"/>
    <s v="In-store"/>
    <n v="4"/>
    <n v="0"/>
  </r>
  <r>
    <s v="TXN_001863"/>
    <s v="WALK_052"/>
    <x v="86"/>
    <x v="2"/>
    <x v="0"/>
    <s v="18:00–18:30"/>
    <s v="AlaCarte"/>
    <n v="2"/>
    <n v="75.569999999999993"/>
    <s v="Credit Card"/>
    <s v="In-store"/>
    <n v="5"/>
    <n v="0"/>
  </r>
  <r>
    <s v="TXN_001864"/>
    <s v="WALK_087"/>
    <x v="86"/>
    <x v="2"/>
    <x v="0"/>
    <s v="18:00–18:30"/>
    <s v="AlaCarte"/>
    <n v="3"/>
    <n v="53.45"/>
    <s v="Cash"/>
    <s v="In-store"/>
    <n v="5"/>
    <n v="0"/>
  </r>
  <r>
    <s v="TXN_001865"/>
    <s v="CORP_056"/>
    <x v="86"/>
    <x v="2"/>
    <x v="0"/>
    <s v="18:00–18:30"/>
    <s v="AlaCarte"/>
    <n v="2"/>
    <n v="35.21"/>
    <s v="Digital Wallet"/>
    <s v="In-store"/>
    <n v="5"/>
    <n v="0"/>
  </r>
  <r>
    <s v="TXN_001866"/>
    <s v="WALK_076"/>
    <x v="86"/>
    <x v="2"/>
    <x v="0"/>
    <s v="18:00–18:30"/>
    <s v="AlaCarte"/>
    <n v="4"/>
    <n v="94.62"/>
    <s v="Cash"/>
    <s v="In-store"/>
    <n v="5"/>
    <n v="0"/>
  </r>
  <r>
    <s v="TXN_001867"/>
    <s v="WALK_120"/>
    <x v="86"/>
    <x v="2"/>
    <x v="0"/>
    <s v="18:30–19:00"/>
    <s v="AlaCarte"/>
    <n v="1"/>
    <n v="31.02"/>
    <s v="Cash"/>
    <s v="In-store"/>
    <n v="5"/>
    <n v="0"/>
  </r>
  <r>
    <s v="TXN_001868"/>
    <s v="WALK_004"/>
    <x v="86"/>
    <x v="2"/>
    <x v="0"/>
    <s v="19:00–19:30"/>
    <s v="AlaCarte"/>
    <n v="4"/>
    <n v="186.67"/>
    <s v="Credit Card"/>
    <s v="In-store"/>
    <n v="5"/>
    <n v="0"/>
  </r>
  <r>
    <s v="TXN_001869"/>
    <s v="WALK_018"/>
    <x v="86"/>
    <x v="2"/>
    <x v="0"/>
    <s v="19:30–20:00"/>
    <s v="AlaCarte"/>
    <n v="3"/>
    <n v="86.37"/>
    <s v="Credit Card"/>
    <s v="Takeaway"/>
    <n v="5"/>
    <n v="0"/>
  </r>
  <r>
    <s v="TXN_001870"/>
    <s v="WALK_105"/>
    <x v="86"/>
    <x v="2"/>
    <x v="0"/>
    <s v="19:30–20:00"/>
    <s v="AlaCarte"/>
    <n v="3"/>
    <n v="105.12"/>
    <s v="Cash"/>
    <s v="In-store"/>
    <n v="5"/>
    <n v="0"/>
  </r>
  <r>
    <s v="TXN_001871"/>
    <s v="HOTEL_024"/>
    <x v="86"/>
    <x v="2"/>
    <x v="0"/>
    <s v="20:00–20:30"/>
    <s v="AlaCarte"/>
    <n v="3"/>
    <n v="66.48"/>
    <s v="Cash"/>
    <s v="In-store"/>
    <n v="5"/>
    <n v="0"/>
  </r>
  <r>
    <s v="TXN_001872"/>
    <s v="CORP_048"/>
    <x v="86"/>
    <x v="2"/>
    <x v="0"/>
    <s v="20:00–20:30"/>
    <s v="AlaCarte"/>
    <n v="1"/>
    <n v="30.17"/>
    <s v="Digital Wallet"/>
    <s v="In-store"/>
    <n v="5"/>
    <n v="0"/>
  </r>
  <r>
    <s v="TXN_001873"/>
    <s v="WALK_061"/>
    <x v="86"/>
    <x v="2"/>
    <x v="0"/>
    <s v="20:00–20:30"/>
    <s v="AlaCarte"/>
    <n v="4"/>
    <n v="101.13"/>
    <s v="Cash"/>
    <s v="In-store"/>
    <n v="5"/>
    <n v="0"/>
  </r>
  <r>
    <s v="TXN_001874"/>
    <s v="CORP_069"/>
    <x v="86"/>
    <x v="2"/>
    <x v="1"/>
    <s v="12:15–12:45"/>
    <s v="Buffet"/>
    <n v="3"/>
    <n v="64.5"/>
    <s v="Cash"/>
    <s v="In-store"/>
    <n v="5"/>
    <n v="1"/>
  </r>
  <r>
    <s v="TXN_001875"/>
    <s v="WALK_112"/>
    <x v="86"/>
    <x v="2"/>
    <x v="1"/>
    <s v="12:45–13:15"/>
    <s v="Buffet"/>
    <n v="2"/>
    <n v="40"/>
    <s v="Credit Card"/>
    <s v="In-store"/>
    <n v="5"/>
    <n v="1"/>
  </r>
  <r>
    <s v="TXN_001876"/>
    <s v="CORP_042"/>
    <x v="86"/>
    <x v="2"/>
    <x v="1"/>
    <s v="13:15–13:45"/>
    <s v="Buffet"/>
    <n v="3"/>
    <n v="60"/>
    <s v="Digital Wallet"/>
    <s v="Takeaway"/>
    <n v="5"/>
    <n v="1"/>
  </r>
  <r>
    <s v="TXN_001877"/>
    <s v="WALK_036"/>
    <x v="86"/>
    <x v="2"/>
    <x v="1"/>
    <s v="13:15–13:45"/>
    <s v="Buffet"/>
    <n v="4"/>
    <n v="93.5"/>
    <s v="Credit Card"/>
    <s v="In-store"/>
    <n v="5"/>
    <n v="1"/>
  </r>
  <r>
    <s v="TXN_001878"/>
    <s v="WALK_078"/>
    <x v="86"/>
    <x v="2"/>
    <x v="1"/>
    <s v="13:45–14:15"/>
    <s v="Buffet"/>
    <n v="2"/>
    <n v="40"/>
    <s v="Digital Wallet"/>
    <s v="In-store"/>
    <n v="5"/>
    <n v="1"/>
  </r>
  <r>
    <s v="TXN_001879"/>
    <s v="CORP_065"/>
    <x v="86"/>
    <x v="2"/>
    <x v="1"/>
    <s v="13:45–14:15"/>
    <s v="Buffet"/>
    <n v="4"/>
    <n v="84.5"/>
    <s v="Cash"/>
    <s v="In-store"/>
    <n v="5"/>
    <n v="1"/>
  </r>
  <r>
    <s v="TXN_001880"/>
    <s v="WALK_016"/>
    <x v="87"/>
    <x v="3"/>
    <x v="0"/>
    <s v="18:00–18:30"/>
    <s v="AlaCarte"/>
    <n v="5"/>
    <n v="166.75"/>
    <s v="Digital Wallet"/>
    <s v="In-store"/>
    <n v="6"/>
    <n v="0"/>
  </r>
  <r>
    <s v="TXN_001881"/>
    <s v="HOTEL_028"/>
    <x v="87"/>
    <x v="3"/>
    <x v="0"/>
    <s v="18:00–18:30"/>
    <s v="AlaCarte"/>
    <n v="1"/>
    <n v="21.28"/>
    <s v="Credit Card"/>
    <s v="In-store"/>
    <n v="6"/>
    <n v="0"/>
  </r>
  <r>
    <s v="TXN_001882"/>
    <s v="WALK_042"/>
    <x v="87"/>
    <x v="3"/>
    <x v="0"/>
    <s v="18:00–18:30"/>
    <s v="AlaCarte"/>
    <n v="3"/>
    <n v="70.72"/>
    <s v="Credit Card"/>
    <s v="In-store"/>
    <n v="6"/>
    <n v="0"/>
  </r>
  <r>
    <s v="TXN_001883"/>
    <s v="WALK_057"/>
    <x v="87"/>
    <x v="3"/>
    <x v="0"/>
    <s v="18:30–19:00"/>
    <s v="AlaCarte"/>
    <n v="3"/>
    <n v="96.73"/>
    <s v="Credit Card"/>
    <s v="In-store"/>
    <n v="6"/>
    <n v="0"/>
  </r>
  <r>
    <s v="TXN_001884"/>
    <s v="HOTEL_024"/>
    <x v="87"/>
    <x v="3"/>
    <x v="0"/>
    <s v="18:30–19:00"/>
    <s v="AlaCarte"/>
    <n v="5"/>
    <n v="236.25"/>
    <s v="Cash"/>
    <s v="In-store"/>
    <n v="6"/>
    <n v="0"/>
  </r>
  <r>
    <s v="TXN_001885"/>
    <s v="WALK_119"/>
    <x v="87"/>
    <x v="3"/>
    <x v="0"/>
    <s v="18:30–19:00"/>
    <s v="AlaCarte"/>
    <n v="3"/>
    <n v="88.39"/>
    <s v="Digital Wallet"/>
    <s v="Takeaway"/>
    <n v="6"/>
    <n v="0"/>
  </r>
  <r>
    <s v="TXN_001886"/>
    <s v="WALK_019"/>
    <x v="87"/>
    <x v="3"/>
    <x v="0"/>
    <s v="18:30–19:00"/>
    <s v="AlaCarte"/>
    <n v="3"/>
    <n v="169.09"/>
    <s v="Cash"/>
    <s v="In-store"/>
    <n v="6"/>
    <n v="0"/>
  </r>
  <r>
    <s v="TXN_001887"/>
    <s v="CORP_046"/>
    <x v="87"/>
    <x v="3"/>
    <x v="0"/>
    <s v="19:00–19:30"/>
    <s v="AlaCarte"/>
    <n v="3"/>
    <n v="64.78"/>
    <s v="Credit Card"/>
    <s v="In-store"/>
    <n v="6"/>
    <n v="0"/>
  </r>
  <r>
    <s v="TXN_001888"/>
    <s v="WALK_012"/>
    <x v="87"/>
    <x v="3"/>
    <x v="0"/>
    <s v="19:00–19:30"/>
    <s v="AlaCarte"/>
    <n v="2"/>
    <n v="46.43"/>
    <s v="Cash"/>
    <s v="In-store"/>
    <n v="6"/>
    <n v="0"/>
  </r>
  <r>
    <s v="TXN_001889"/>
    <s v="WALK_067"/>
    <x v="87"/>
    <x v="3"/>
    <x v="0"/>
    <s v="19:00–19:30"/>
    <s v="AlaCarte"/>
    <n v="3"/>
    <n v="136.75"/>
    <s v="Credit Card"/>
    <s v="In-store"/>
    <n v="6"/>
    <n v="0"/>
  </r>
  <r>
    <s v="TXN_001890"/>
    <s v="HOTEL_038"/>
    <x v="87"/>
    <x v="3"/>
    <x v="0"/>
    <s v="19:00–19:30"/>
    <s v="AlaCarte"/>
    <n v="4"/>
    <n v="199.62"/>
    <s v="Digital Wallet"/>
    <s v="In-store"/>
    <n v="6"/>
    <n v="0"/>
  </r>
  <r>
    <s v="TXN_001891"/>
    <s v="WALK_026"/>
    <x v="87"/>
    <x v="3"/>
    <x v="0"/>
    <s v="19:00–19:30"/>
    <s v="AlaCarte"/>
    <n v="1"/>
    <n v="19.29"/>
    <s v="Cash"/>
    <s v="In-store"/>
    <n v="6"/>
    <n v="0"/>
  </r>
  <r>
    <s v="TXN_001892"/>
    <s v="WALK_054"/>
    <x v="87"/>
    <x v="3"/>
    <x v="0"/>
    <s v="19:00–19:30"/>
    <s v="AlaCarte"/>
    <n v="4"/>
    <n v="63.4"/>
    <s v="Digital Wallet"/>
    <s v="In-store"/>
    <n v="6"/>
    <n v="0"/>
  </r>
  <r>
    <s v="TXN_001893"/>
    <s v="HOTEL_032"/>
    <x v="87"/>
    <x v="3"/>
    <x v="0"/>
    <s v="19:00–19:30"/>
    <s v="AlaCarte"/>
    <n v="3"/>
    <n v="33.6"/>
    <s v="Credit Card"/>
    <s v="In-store"/>
    <n v="6"/>
    <n v="0"/>
  </r>
  <r>
    <s v="TXN_001894"/>
    <s v="HOTEL_024"/>
    <x v="87"/>
    <x v="3"/>
    <x v="0"/>
    <s v="19:30–20:00"/>
    <s v="AlaCarte"/>
    <n v="1"/>
    <n v="19.25"/>
    <s v="Credit Card"/>
    <s v="Takeaway"/>
    <n v="6"/>
    <n v="0"/>
  </r>
  <r>
    <s v="TXN_001895"/>
    <s v="CORP_023"/>
    <x v="87"/>
    <x v="3"/>
    <x v="0"/>
    <s v="19:30–20:00"/>
    <s v="AlaCarte"/>
    <n v="4"/>
    <n v="121.8"/>
    <s v="Credit Card"/>
    <s v="In-store"/>
    <n v="6"/>
    <n v="0"/>
  </r>
  <r>
    <s v="TXN_001896"/>
    <s v="WALK_033"/>
    <x v="87"/>
    <x v="3"/>
    <x v="0"/>
    <s v="19:30–20:00"/>
    <s v="AlaCarte"/>
    <n v="6"/>
    <n v="109.25"/>
    <s v="Cash"/>
    <s v="Takeaway"/>
    <n v="6"/>
    <n v="0"/>
  </r>
  <r>
    <s v="TXN_001897"/>
    <s v="CORP_058"/>
    <x v="87"/>
    <x v="3"/>
    <x v="0"/>
    <s v="19:30–20:00"/>
    <s v="AlaCarte"/>
    <n v="5"/>
    <n v="147.52000000000001"/>
    <s v="Credit Card"/>
    <s v="In-store"/>
    <n v="6"/>
    <n v="0"/>
  </r>
  <r>
    <s v="TXN_001898"/>
    <s v="CORP_014"/>
    <x v="87"/>
    <x v="3"/>
    <x v="0"/>
    <s v="19:30–20:00"/>
    <s v="AlaCarte"/>
    <n v="3"/>
    <n v="69.67"/>
    <s v="Credit Card"/>
    <s v="Takeaway"/>
    <n v="6"/>
    <n v="0"/>
  </r>
  <r>
    <s v="TXN_001899"/>
    <s v="WALK_099"/>
    <x v="87"/>
    <x v="3"/>
    <x v="0"/>
    <s v="19:30–20:00"/>
    <s v="AlaCarte"/>
    <n v="6"/>
    <n v="258.37"/>
    <s v="Credit Card"/>
    <s v="In-store"/>
    <n v="6"/>
    <n v="0"/>
  </r>
  <r>
    <s v="TXN_001900"/>
    <s v="HOTEL_010"/>
    <x v="87"/>
    <x v="3"/>
    <x v="0"/>
    <s v="19:30–20:00"/>
    <s v="AlaCarte"/>
    <n v="2"/>
    <n v="52.77"/>
    <s v="Cash"/>
    <s v="In-store"/>
    <n v="6"/>
    <n v="0"/>
  </r>
  <r>
    <s v="TXN_001901"/>
    <s v="WALK_104"/>
    <x v="87"/>
    <x v="3"/>
    <x v="0"/>
    <s v="19:30–20:00"/>
    <s v="AlaCarte"/>
    <n v="3"/>
    <n v="81.819999999999993"/>
    <s v="Cash"/>
    <s v="In-store"/>
    <n v="6"/>
    <n v="0"/>
  </r>
  <r>
    <s v="TXN_001902"/>
    <s v="WALK_111"/>
    <x v="87"/>
    <x v="3"/>
    <x v="0"/>
    <s v="20:00–20:30"/>
    <s v="AlaCarte"/>
    <n v="6"/>
    <n v="147.62"/>
    <s v="Credit Card"/>
    <s v="In-store"/>
    <n v="6"/>
    <n v="0"/>
  </r>
  <r>
    <s v="TXN_001903"/>
    <s v="HOTEL_039"/>
    <x v="87"/>
    <x v="3"/>
    <x v="0"/>
    <s v="20:00–20:30"/>
    <s v="AlaCarte"/>
    <n v="6"/>
    <n v="88.52"/>
    <s v="Credit Card"/>
    <s v="Takeaway"/>
    <n v="6"/>
    <n v="0"/>
  </r>
  <r>
    <s v="TXN_001904"/>
    <s v="HOTEL_024"/>
    <x v="87"/>
    <x v="3"/>
    <x v="0"/>
    <s v="20:00–20:30"/>
    <s v="AlaCarte"/>
    <n v="4"/>
    <n v="94.54"/>
    <s v="Credit Card"/>
    <s v="In-store"/>
    <n v="6"/>
    <n v="0"/>
  </r>
  <r>
    <s v="TXN_001905"/>
    <s v="HOTEL_026"/>
    <x v="87"/>
    <x v="3"/>
    <x v="0"/>
    <s v="20:00–20:30"/>
    <s v="AlaCarte"/>
    <n v="5"/>
    <n v="102.07"/>
    <s v="Cash"/>
    <s v="In-store"/>
    <n v="6"/>
    <n v="0"/>
  </r>
  <r>
    <s v="TXN_001906"/>
    <s v="WALK_095"/>
    <x v="87"/>
    <x v="3"/>
    <x v="0"/>
    <s v="20:00–20:30"/>
    <s v="AlaCarte"/>
    <n v="6"/>
    <n v="126.76"/>
    <s v="Digital Wallet"/>
    <s v="In-store"/>
    <n v="6"/>
    <n v="0"/>
  </r>
  <r>
    <s v="TXN_001907"/>
    <s v="WALK_033"/>
    <x v="87"/>
    <x v="3"/>
    <x v="0"/>
    <s v="20:00–20:30"/>
    <s v="AlaCarte"/>
    <n v="1"/>
    <n v="29.42"/>
    <s v="Digital Wallet"/>
    <s v="In-store"/>
    <n v="6"/>
    <n v="0"/>
  </r>
  <r>
    <s v="TXN_001908"/>
    <s v="CORP_023"/>
    <x v="87"/>
    <x v="3"/>
    <x v="1"/>
    <s v="12:45–13:15"/>
    <s v="AlaCarte"/>
    <n v="2"/>
    <n v="28.55"/>
    <s v="Digital Wallet"/>
    <s v="In-store"/>
    <n v="6"/>
    <n v="0"/>
  </r>
  <r>
    <s v="TXN_001909"/>
    <s v="CORP_069"/>
    <x v="88"/>
    <x v="4"/>
    <x v="0"/>
    <s v="18:00–18:30"/>
    <s v="AlaCarte"/>
    <n v="5"/>
    <n v="88.94"/>
    <s v="Credit Card"/>
    <s v="Takeaway"/>
    <n v="7"/>
    <n v="0"/>
  </r>
  <r>
    <s v="TXN_001910"/>
    <s v="HOTEL_034"/>
    <x v="88"/>
    <x v="4"/>
    <x v="0"/>
    <s v="18:00–18:30"/>
    <s v="AlaCarte"/>
    <n v="5"/>
    <n v="185.91"/>
    <s v="Cash"/>
    <s v="In-store"/>
    <n v="7"/>
    <n v="0"/>
  </r>
  <r>
    <s v="TXN_001911"/>
    <s v="WALK_117"/>
    <x v="88"/>
    <x v="4"/>
    <x v="0"/>
    <s v="18:00–18:30"/>
    <s v="AlaCarte"/>
    <n v="2"/>
    <n v="68.38"/>
    <s v="Digital Wallet"/>
    <s v="In-store"/>
    <n v="7"/>
    <n v="0"/>
  </r>
  <r>
    <s v="TXN_001912"/>
    <s v="HOTEL_033"/>
    <x v="88"/>
    <x v="4"/>
    <x v="0"/>
    <s v="18:00–18:30"/>
    <s v="AlaCarte"/>
    <n v="3"/>
    <n v="189.51"/>
    <s v="Credit Card"/>
    <s v="In-store"/>
    <n v="7"/>
    <n v="0"/>
  </r>
  <r>
    <s v="TXN_001913"/>
    <s v="WALK_093"/>
    <x v="88"/>
    <x v="4"/>
    <x v="0"/>
    <s v="18:30–19:00"/>
    <s v="AlaCarte"/>
    <n v="1"/>
    <n v="18.309999999999999"/>
    <s v="Credit Card"/>
    <s v="Takeaway"/>
    <n v="7"/>
    <n v="0"/>
  </r>
  <r>
    <s v="TXN_001914"/>
    <s v="WALK_060"/>
    <x v="88"/>
    <x v="4"/>
    <x v="0"/>
    <s v="18:30–19:00"/>
    <s v="AlaCarte"/>
    <n v="6"/>
    <n v="164.01"/>
    <s v="Credit Card"/>
    <s v="In-store"/>
    <n v="7"/>
    <n v="0"/>
  </r>
  <r>
    <s v="TXN_001915"/>
    <s v="HOTEL_039"/>
    <x v="88"/>
    <x v="4"/>
    <x v="0"/>
    <s v="18:30–19:00"/>
    <s v="AlaCarte"/>
    <n v="3"/>
    <n v="55.71"/>
    <s v="Cash"/>
    <s v="In-store"/>
    <n v="7"/>
    <n v="0"/>
  </r>
  <r>
    <s v="TXN_001916"/>
    <s v="WALK_012"/>
    <x v="88"/>
    <x v="4"/>
    <x v="0"/>
    <s v="18:30–19:00"/>
    <s v="AlaCarte"/>
    <n v="2"/>
    <n v="44.03"/>
    <s v="Credit Card"/>
    <s v="In-store"/>
    <n v="7"/>
    <n v="0"/>
  </r>
  <r>
    <s v="TXN_001917"/>
    <s v="HOTEL_038"/>
    <x v="88"/>
    <x v="4"/>
    <x v="0"/>
    <s v="19:00–19:30"/>
    <s v="AlaCarte"/>
    <n v="4"/>
    <n v="122.67"/>
    <s v="Credit Card"/>
    <s v="In-store"/>
    <n v="7"/>
    <n v="0"/>
  </r>
  <r>
    <s v="TXN_001918"/>
    <s v="HOTEL_031"/>
    <x v="88"/>
    <x v="4"/>
    <x v="0"/>
    <s v="19:00–19:30"/>
    <s v="AlaCarte"/>
    <n v="3"/>
    <n v="122.31"/>
    <s v="Digital Wallet"/>
    <s v="In-store"/>
    <n v="7"/>
    <n v="0"/>
  </r>
  <r>
    <s v="TXN_001919"/>
    <s v="WALK_120"/>
    <x v="88"/>
    <x v="4"/>
    <x v="0"/>
    <s v="19:00–19:30"/>
    <s v="AlaCarte"/>
    <n v="4"/>
    <n v="54.94"/>
    <s v="Digital Wallet"/>
    <s v="In-store"/>
    <n v="7"/>
    <n v="0"/>
  </r>
  <r>
    <s v="TXN_001920"/>
    <s v="WALK_010"/>
    <x v="88"/>
    <x v="4"/>
    <x v="0"/>
    <s v="19:00–19:30"/>
    <s v="AlaCarte"/>
    <n v="4"/>
    <n v="131.07"/>
    <s v="Credit Card"/>
    <s v="In-store"/>
    <n v="7"/>
    <n v="0"/>
  </r>
  <r>
    <s v="TXN_001921"/>
    <s v="CORP_007"/>
    <x v="88"/>
    <x v="4"/>
    <x v="0"/>
    <s v="19:00–19:30"/>
    <s v="AlaCarte"/>
    <n v="1"/>
    <n v="19.53"/>
    <s v="Cash"/>
    <s v="In-store"/>
    <n v="7"/>
    <n v="0"/>
  </r>
  <r>
    <s v="TXN_001922"/>
    <s v="CORP_042"/>
    <x v="88"/>
    <x v="4"/>
    <x v="0"/>
    <s v="19:00–19:30"/>
    <s v="AlaCarte"/>
    <n v="1"/>
    <n v="28.56"/>
    <s v="Credit Card"/>
    <s v="Takeaway"/>
    <n v="7"/>
    <n v="0"/>
  </r>
  <r>
    <s v="TXN_001923"/>
    <s v="WALK_065"/>
    <x v="88"/>
    <x v="4"/>
    <x v="0"/>
    <s v="19:00–19:30"/>
    <s v="AlaCarte"/>
    <n v="3"/>
    <n v="77.069999999999993"/>
    <s v="Credit Card"/>
    <s v="In-store"/>
    <n v="7"/>
    <n v="0"/>
  </r>
  <r>
    <s v="TXN_001924"/>
    <s v="WALK_027"/>
    <x v="88"/>
    <x v="4"/>
    <x v="0"/>
    <s v="19:00–19:30"/>
    <s v="AlaCarte"/>
    <n v="3"/>
    <n v="66.010000000000005"/>
    <s v="Credit Card"/>
    <s v="In-store"/>
    <n v="7"/>
    <n v="0"/>
  </r>
  <r>
    <s v="TXN_001925"/>
    <s v="HOTEL_002"/>
    <x v="88"/>
    <x v="4"/>
    <x v="0"/>
    <s v="19:00–19:30"/>
    <s v="AlaCarte"/>
    <n v="1"/>
    <n v="14.35"/>
    <s v="Digital Wallet"/>
    <s v="In-store"/>
    <n v="7"/>
    <n v="0"/>
  </r>
  <r>
    <s v="TXN_001926"/>
    <s v="WALK_071"/>
    <x v="88"/>
    <x v="4"/>
    <x v="0"/>
    <s v="19:00–19:30"/>
    <s v="AlaCarte"/>
    <n v="3"/>
    <n v="41.93"/>
    <s v="Credit Card"/>
    <s v="Takeaway"/>
    <n v="7"/>
    <n v="0"/>
  </r>
  <r>
    <s v="TXN_001927"/>
    <s v="WALK_074"/>
    <x v="88"/>
    <x v="4"/>
    <x v="0"/>
    <s v="19:00–19:30"/>
    <s v="AlaCarte"/>
    <n v="3"/>
    <n v="127.04"/>
    <s v="Cash"/>
    <s v="Takeaway"/>
    <n v="7"/>
    <n v="0"/>
  </r>
  <r>
    <s v="TXN_001928"/>
    <s v="WALK_098"/>
    <x v="88"/>
    <x v="4"/>
    <x v="0"/>
    <s v="19:30–20:00"/>
    <s v="AlaCarte"/>
    <n v="4"/>
    <n v="90.8"/>
    <s v="Credit Card"/>
    <s v="In-store"/>
    <n v="7"/>
    <n v="0"/>
  </r>
  <r>
    <s v="TXN_001929"/>
    <s v="WALK_101"/>
    <x v="88"/>
    <x v="4"/>
    <x v="0"/>
    <s v="19:30–20:00"/>
    <s v="AlaCarte"/>
    <n v="3"/>
    <n v="58.74"/>
    <s v="Credit Card"/>
    <s v="In-store"/>
    <n v="7"/>
    <n v="0"/>
  </r>
  <r>
    <s v="TXN_001930"/>
    <s v="HOTEL_030"/>
    <x v="88"/>
    <x v="4"/>
    <x v="0"/>
    <s v="19:30–20:00"/>
    <s v="AlaCarte"/>
    <n v="2"/>
    <n v="60.81"/>
    <s v="Cash"/>
    <s v="In-store"/>
    <n v="7"/>
    <n v="0"/>
  </r>
  <r>
    <s v="TXN_001931"/>
    <s v="WALK_075"/>
    <x v="88"/>
    <x v="4"/>
    <x v="0"/>
    <s v="19:30–20:00"/>
    <s v="AlaCarte"/>
    <n v="3"/>
    <n v="93.22"/>
    <s v="Credit Card"/>
    <s v="In-store"/>
    <n v="7"/>
    <n v="0"/>
  </r>
  <r>
    <s v="TXN_001932"/>
    <s v="WALK_057"/>
    <x v="88"/>
    <x v="4"/>
    <x v="0"/>
    <s v="20:00–20:30"/>
    <s v="AlaCarte"/>
    <n v="3"/>
    <n v="53.66"/>
    <s v="Cash"/>
    <s v="In-store"/>
    <n v="7"/>
    <n v="0"/>
  </r>
  <r>
    <s v="TXN_001933"/>
    <s v="WALK_115"/>
    <x v="88"/>
    <x v="4"/>
    <x v="0"/>
    <s v="20:00–20:30"/>
    <s v="AlaCarte"/>
    <n v="1"/>
    <n v="22.24"/>
    <s v="Digital Wallet"/>
    <s v="In-store"/>
    <n v="7"/>
    <n v="0"/>
  </r>
  <r>
    <s v="TXN_001934"/>
    <s v="WALK_120"/>
    <x v="88"/>
    <x v="4"/>
    <x v="0"/>
    <s v="20:00–20:30"/>
    <s v="AlaCarte"/>
    <n v="4"/>
    <n v="71.069999999999993"/>
    <s v="Credit Card"/>
    <s v="In-store"/>
    <n v="7"/>
    <n v="0"/>
  </r>
  <r>
    <s v="TXN_001935"/>
    <s v="WALK_118"/>
    <x v="88"/>
    <x v="4"/>
    <x v="0"/>
    <s v="20:00–20:30"/>
    <s v="AlaCarte"/>
    <n v="2"/>
    <n v="57.21"/>
    <s v="Digital Wallet"/>
    <s v="In-store"/>
    <n v="7"/>
    <n v="0"/>
  </r>
  <r>
    <s v="TXN_001936"/>
    <s v="CORP_058"/>
    <x v="88"/>
    <x v="4"/>
    <x v="1"/>
    <s v="12:15–12:45"/>
    <s v="AlaCarte"/>
    <n v="2"/>
    <n v="51.03"/>
    <s v="Credit Card"/>
    <s v="Takeaway"/>
    <n v="7"/>
    <n v="0"/>
  </r>
  <r>
    <s v="TXN_001937"/>
    <s v="WALK_057"/>
    <x v="88"/>
    <x v="4"/>
    <x v="1"/>
    <s v="12:15–12:45"/>
    <s v="AlaCarte"/>
    <n v="2"/>
    <n v="49.9"/>
    <s v="Cash"/>
    <s v="In-store"/>
    <n v="7"/>
    <n v="0"/>
  </r>
  <r>
    <s v="TXN_001938"/>
    <s v="CORP_025"/>
    <x v="88"/>
    <x v="4"/>
    <x v="1"/>
    <s v="13:45–14:15"/>
    <s v="AlaCarte"/>
    <n v="2"/>
    <n v="61.56"/>
    <s v="Cash"/>
    <s v="Takeaway"/>
    <n v="7"/>
    <n v="0"/>
  </r>
  <r>
    <s v="TXN_001939"/>
    <s v="WALK_032"/>
    <x v="88"/>
    <x v="4"/>
    <x v="1"/>
    <s v="13:45–14:15"/>
    <s v="AlaCarte"/>
    <n v="4"/>
    <n v="58.98"/>
    <s v="Credit Card"/>
    <s v="In-store"/>
    <n v="7"/>
    <n v="0"/>
  </r>
  <r>
    <s v="TXN_001940"/>
    <s v="WALK_094"/>
    <x v="89"/>
    <x v="5"/>
    <x v="0"/>
    <s v="18:00–18:30"/>
    <s v="AlaCarte"/>
    <n v="4"/>
    <n v="93.38"/>
    <s v="Digital Wallet"/>
    <s v="In-store"/>
    <n v="1"/>
    <n v="0"/>
  </r>
  <r>
    <s v="TXN_001941"/>
    <s v="WALK_115"/>
    <x v="89"/>
    <x v="5"/>
    <x v="0"/>
    <s v="18:00–18:30"/>
    <s v="AlaCarte"/>
    <n v="1"/>
    <n v="31"/>
    <s v="Credit Card"/>
    <s v="Takeaway"/>
    <n v="1"/>
    <n v="0"/>
  </r>
  <r>
    <s v="TXN_001942"/>
    <s v="WALK_058"/>
    <x v="89"/>
    <x v="5"/>
    <x v="0"/>
    <s v="18:30–19:00"/>
    <s v="AlaCarte"/>
    <n v="3"/>
    <n v="54.23"/>
    <s v="Cash"/>
    <s v="In-store"/>
    <n v="1"/>
    <n v="0"/>
  </r>
  <r>
    <s v="TXN_001943"/>
    <s v="WALK_088"/>
    <x v="89"/>
    <x v="5"/>
    <x v="0"/>
    <s v="18:30–19:00"/>
    <s v="AlaCarte"/>
    <n v="1"/>
    <n v="29.99"/>
    <s v="Cash"/>
    <s v="In-store"/>
    <n v="1"/>
    <n v="0"/>
  </r>
  <r>
    <s v="TXN_001944"/>
    <s v="CORP_036"/>
    <x v="89"/>
    <x v="5"/>
    <x v="0"/>
    <s v="18:30–19:00"/>
    <s v="AlaCarte"/>
    <n v="3"/>
    <n v="164.68"/>
    <s v="Digital Wallet"/>
    <s v="In-store"/>
    <n v="1"/>
    <n v="0"/>
  </r>
  <r>
    <s v="TXN_001945"/>
    <s v="WALK_062"/>
    <x v="89"/>
    <x v="5"/>
    <x v="0"/>
    <s v="18:30–19:00"/>
    <s v="AlaCarte"/>
    <n v="2"/>
    <n v="72.739999999999995"/>
    <s v="Cash"/>
    <s v="In-store"/>
    <n v="1"/>
    <n v="0"/>
  </r>
  <r>
    <s v="TXN_001946"/>
    <s v="WALK_054"/>
    <x v="89"/>
    <x v="5"/>
    <x v="0"/>
    <s v="19:00–19:30"/>
    <s v="AlaCarte"/>
    <n v="2"/>
    <n v="60.07"/>
    <s v="Cash"/>
    <s v="In-store"/>
    <n v="1"/>
    <n v="0"/>
  </r>
  <r>
    <s v="TXN_001947"/>
    <s v="WALK_096"/>
    <x v="89"/>
    <x v="5"/>
    <x v="0"/>
    <s v="19:00–19:30"/>
    <s v="AlaCarte"/>
    <n v="3"/>
    <n v="70.41"/>
    <s v="Credit Card"/>
    <s v="In-store"/>
    <n v="1"/>
    <n v="0"/>
  </r>
  <r>
    <s v="TXN_001948"/>
    <s v="WALK_072"/>
    <x v="89"/>
    <x v="5"/>
    <x v="0"/>
    <s v="19:00–19:30"/>
    <s v="AlaCarte"/>
    <n v="3"/>
    <n v="91.93"/>
    <s v="Credit Card"/>
    <s v="In-store"/>
    <n v="1"/>
    <n v="0"/>
  </r>
  <r>
    <s v="TXN_001949"/>
    <s v="WALK_056"/>
    <x v="89"/>
    <x v="5"/>
    <x v="0"/>
    <s v="19:00–19:30"/>
    <s v="AlaCarte"/>
    <n v="5"/>
    <n v="165.81"/>
    <s v="Cash"/>
    <s v="In-store"/>
    <n v="1"/>
    <n v="0"/>
  </r>
  <r>
    <s v="TXN_001950"/>
    <s v="WALK_022"/>
    <x v="89"/>
    <x v="5"/>
    <x v="0"/>
    <s v="19:30–20:00"/>
    <s v="AlaCarte"/>
    <n v="1"/>
    <n v="31.93"/>
    <s v="Credit Card"/>
    <s v="In-store"/>
    <n v="1"/>
    <n v="0"/>
  </r>
  <r>
    <s v="TXN_001951"/>
    <s v="CORP_031"/>
    <x v="89"/>
    <x v="5"/>
    <x v="0"/>
    <s v="19:30–20:00"/>
    <s v="AlaCarte"/>
    <n v="1"/>
    <n v="31.24"/>
    <s v="Cash"/>
    <s v="In-store"/>
    <n v="1"/>
    <n v="0"/>
  </r>
  <r>
    <s v="TXN_001952"/>
    <s v="WALK_010"/>
    <x v="89"/>
    <x v="5"/>
    <x v="0"/>
    <s v="19:30–20:00"/>
    <s v="AlaCarte"/>
    <n v="3"/>
    <n v="61.51"/>
    <s v="Digital Wallet"/>
    <s v="In-store"/>
    <n v="1"/>
    <n v="0"/>
  </r>
  <r>
    <s v="TXN_001953"/>
    <s v="CORP_015"/>
    <x v="89"/>
    <x v="5"/>
    <x v="0"/>
    <s v="19:30–20:00"/>
    <s v="AlaCarte"/>
    <n v="5"/>
    <n v="198.48"/>
    <s v="Credit Card"/>
    <s v="In-store"/>
    <n v="1"/>
    <n v="0"/>
  </r>
  <r>
    <s v="TXN_001954"/>
    <s v="WALK_039"/>
    <x v="89"/>
    <x v="5"/>
    <x v="0"/>
    <s v="20:00–20:30"/>
    <s v="AlaCarte"/>
    <n v="4"/>
    <n v="123.39"/>
    <s v="Cash"/>
    <s v="Takeaway"/>
    <n v="1"/>
    <n v="0"/>
  </r>
  <r>
    <s v="TXN_001955"/>
    <s v="WALK_051"/>
    <x v="89"/>
    <x v="5"/>
    <x v="1"/>
    <s v="12:15–12:45"/>
    <s v="AlaCarte"/>
    <n v="1"/>
    <n v="16.93"/>
    <s v="Digital Wallet"/>
    <s v="Takeaway"/>
    <n v="1"/>
    <n v="0"/>
  </r>
  <r>
    <s v="TXN_001956"/>
    <s v="CORP_063"/>
    <x v="89"/>
    <x v="5"/>
    <x v="1"/>
    <s v="12:15–12:45"/>
    <s v="AlaCarte"/>
    <n v="4"/>
    <n v="60.38"/>
    <s v="Credit Card"/>
    <s v="In-store"/>
    <n v="1"/>
    <n v="0"/>
  </r>
  <r>
    <s v="TXN_001957"/>
    <s v="CORP_005"/>
    <x v="89"/>
    <x v="5"/>
    <x v="1"/>
    <s v="12:15–12:45"/>
    <s v="AlaCarte"/>
    <n v="3"/>
    <n v="102.55"/>
    <s v="Credit Card"/>
    <s v="In-store"/>
    <n v="1"/>
    <n v="0"/>
  </r>
  <r>
    <s v="TXN_001958"/>
    <s v="WALK_029"/>
    <x v="89"/>
    <x v="5"/>
    <x v="1"/>
    <s v="13:45–14:15"/>
    <s v="AlaCarte"/>
    <n v="2"/>
    <n v="57.24"/>
    <s v="Cash"/>
    <s v="Takeaway"/>
    <n v="1"/>
    <n v="0"/>
  </r>
  <r>
    <s v="TXN_001959"/>
    <s v="CORP_062"/>
    <x v="89"/>
    <x v="5"/>
    <x v="1"/>
    <s v="13:45–14:15"/>
    <s v="AlaCarte"/>
    <n v="4"/>
    <n v="128.78"/>
    <s v="Cash"/>
    <s v="In-store"/>
    <n v="1"/>
    <n v="0"/>
  </r>
  <r>
    <s v="TXN_001960"/>
    <s v="HOTEL_021"/>
    <x v="90"/>
    <x v="6"/>
    <x v="0"/>
    <s v="18:00–18:30"/>
    <s v="AlaCarte"/>
    <n v="3"/>
    <n v="62.37"/>
    <s v="Cash"/>
    <s v="In-store"/>
    <n v="2"/>
    <n v="0"/>
  </r>
  <r>
    <s v="TXN_001961"/>
    <s v="WALK_070"/>
    <x v="90"/>
    <x v="6"/>
    <x v="0"/>
    <s v="18:00–18:30"/>
    <s v="AlaCarte"/>
    <n v="4"/>
    <n v="58.21"/>
    <s v="Cash"/>
    <s v="In-store"/>
    <n v="2"/>
    <n v="0"/>
  </r>
  <r>
    <s v="TXN_001962"/>
    <s v="CORP_064"/>
    <x v="90"/>
    <x v="6"/>
    <x v="0"/>
    <s v="18:00–18:30"/>
    <s v="AlaCarte"/>
    <n v="4"/>
    <n v="65.959999999999994"/>
    <s v="Credit Card"/>
    <s v="Takeaway"/>
    <n v="2"/>
    <n v="0"/>
  </r>
  <r>
    <s v="TXN_001963"/>
    <s v="CORP_071"/>
    <x v="90"/>
    <x v="6"/>
    <x v="0"/>
    <s v="18:30–19:00"/>
    <s v="AlaCarte"/>
    <n v="1"/>
    <n v="45.04"/>
    <s v="Credit Card"/>
    <s v="Takeaway"/>
    <n v="2"/>
    <n v="0"/>
  </r>
  <r>
    <s v="TXN_001964"/>
    <s v="WALK_042"/>
    <x v="90"/>
    <x v="6"/>
    <x v="0"/>
    <s v="18:30–19:00"/>
    <s v="AlaCarte"/>
    <n v="3"/>
    <n v="76.7"/>
    <s v="Cash"/>
    <s v="Takeaway"/>
    <n v="2"/>
    <n v="0"/>
  </r>
  <r>
    <s v="TXN_001965"/>
    <s v="WALK_113"/>
    <x v="90"/>
    <x v="6"/>
    <x v="0"/>
    <s v="18:30–19:00"/>
    <s v="AlaCarte"/>
    <n v="1"/>
    <n v="37.14"/>
    <s v="Credit Card"/>
    <s v="In-store"/>
    <n v="2"/>
    <n v="0"/>
  </r>
  <r>
    <s v="TXN_001966"/>
    <s v="WALK_033"/>
    <x v="90"/>
    <x v="6"/>
    <x v="0"/>
    <s v="18:30–19:00"/>
    <s v="AlaCarte"/>
    <n v="5"/>
    <n v="113.15"/>
    <s v="Credit Card"/>
    <s v="In-store"/>
    <n v="2"/>
    <n v="0"/>
  </r>
  <r>
    <s v="TXN_001967"/>
    <s v="HOTEL_030"/>
    <x v="90"/>
    <x v="6"/>
    <x v="0"/>
    <s v="18:30–19:00"/>
    <s v="AlaCarte"/>
    <n v="1"/>
    <n v="28.73"/>
    <s v="Credit Card"/>
    <s v="In-store"/>
    <n v="2"/>
    <n v="0"/>
  </r>
  <r>
    <s v="TXN_001968"/>
    <s v="WALK_038"/>
    <x v="90"/>
    <x v="6"/>
    <x v="0"/>
    <s v="18:30–19:00"/>
    <s v="AlaCarte"/>
    <n v="3"/>
    <n v="91.46"/>
    <s v="Credit Card"/>
    <s v="In-store"/>
    <n v="2"/>
    <n v="0"/>
  </r>
  <r>
    <s v="TXN_001969"/>
    <s v="WALK_049"/>
    <x v="90"/>
    <x v="6"/>
    <x v="0"/>
    <s v="18:30–19:00"/>
    <s v="AlaCarte"/>
    <n v="4"/>
    <n v="138.30000000000001"/>
    <s v="Cash"/>
    <s v="In-store"/>
    <n v="2"/>
    <n v="0"/>
  </r>
  <r>
    <s v="TXN_001970"/>
    <s v="WALK_004"/>
    <x v="90"/>
    <x v="6"/>
    <x v="0"/>
    <s v="19:00–19:30"/>
    <s v="AlaCarte"/>
    <n v="2"/>
    <n v="66.8"/>
    <s v="Credit Card"/>
    <s v="In-store"/>
    <n v="2"/>
    <n v="0"/>
  </r>
  <r>
    <s v="TXN_001971"/>
    <s v="WALK_045"/>
    <x v="90"/>
    <x v="6"/>
    <x v="0"/>
    <s v="19:00–19:30"/>
    <s v="AlaCarte"/>
    <n v="4"/>
    <n v="160.54"/>
    <s v="Credit Card"/>
    <s v="In-store"/>
    <n v="2"/>
    <n v="0"/>
  </r>
  <r>
    <s v="TXN_001972"/>
    <s v="WALK_068"/>
    <x v="90"/>
    <x v="6"/>
    <x v="0"/>
    <s v="19:00–19:30"/>
    <s v="AlaCarte"/>
    <n v="1"/>
    <n v="39.29"/>
    <s v="Credit Card"/>
    <s v="In-store"/>
    <n v="2"/>
    <n v="0"/>
  </r>
  <r>
    <s v="TXN_001973"/>
    <s v="WALK_040"/>
    <x v="90"/>
    <x v="6"/>
    <x v="0"/>
    <s v="19:00–19:30"/>
    <s v="AlaCarte"/>
    <n v="4"/>
    <n v="138.78"/>
    <s v="Credit Card"/>
    <s v="In-store"/>
    <n v="2"/>
    <n v="0"/>
  </r>
  <r>
    <s v="TXN_001974"/>
    <s v="WALK_017"/>
    <x v="90"/>
    <x v="6"/>
    <x v="0"/>
    <s v="19:30–20:00"/>
    <s v="AlaCarte"/>
    <n v="3"/>
    <n v="66.73"/>
    <s v="Digital Wallet"/>
    <s v="In-store"/>
    <n v="2"/>
    <n v="0"/>
  </r>
  <r>
    <s v="TXN_001975"/>
    <s v="WALK_117"/>
    <x v="90"/>
    <x v="6"/>
    <x v="0"/>
    <s v="20:00–20:30"/>
    <s v="AlaCarte"/>
    <n v="3"/>
    <n v="94.28"/>
    <s v="Digital Wallet"/>
    <s v="In-store"/>
    <n v="2"/>
    <n v="0"/>
  </r>
  <r>
    <s v="TXN_001976"/>
    <s v="WALK_037"/>
    <x v="90"/>
    <x v="6"/>
    <x v="0"/>
    <s v="20:00–20:30"/>
    <s v="AlaCarte"/>
    <n v="4"/>
    <n v="75.47"/>
    <s v="Cash"/>
    <s v="In-store"/>
    <n v="2"/>
    <n v="0"/>
  </r>
  <r>
    <s v="TXN_001977"/>
    <s v="WALK_054"/>
    <x v="90"/>
    <x v="6"/>
    <x v="0"/>
    <s v="20:00–20:30"/>
    <s v="AlaCarte"/>
    <n v="4"/>
    <n v="169.64"/>
    <s v="Digital Wallet"/>
    <s v="In-store"/>
    <n v="2"/>
    <n v="0"/>
  </r>
  <r>
    <s v="TXN_001978"/>
    <s v="CORP_072"/>
    <x v="90"/>
    <x v="6"/>
    <x v="1"/>
    <s v="12:15–12:45"/>
    <s v="AlaCarte"/>
    <n v="3"/>
    <n v="76.290000000000006"/>
    <s v="Digital Wallet"/>
    <s v="In-store"/>
    <n v="2"/>
    <n v="0"/>
  </r>
  <r>
    <s v="TXN_001979"/>
    <s v="CORP_015"/>
    <x v="90"/>
    <x v="6"/>
    <x v="1"/>
    <s v="12:45–13:15"/>
    <s v="AlaCarte"/>
    <n v="4"/>
    <n v="70.489999999999995"/>
    <s v="Credit Card"/>
    <s v="Takeaway"/>
    <n v="2"/>
    <n v="0"/>
  </r>
  <r>
    <s v="TXN_001980"/>
    <s v="CORP_049"/>
    <x v="90"/>
    <x v="6"/>
    <x v="1"/>
    <s v="12:45–13:15"/>
    <s v="AlaCarte"/>
    <n v="4"/>
    <n v="42.12"/>
    <s v="Credit Card"/>
    <s v="In-store"/>
    <n v="2"/>
    <n v="0"/>
  </r>
  <r>
    <s v="TXN_001981"/>
    <s v="WALK_011"/>
    <x v="90"/>
    <x v="6"/>
    <x v="1"/>
    <s v="13:15–13:45"/>
    <s v="AlaCarte"/>
    <n v="3"/>
    <n v="32.94"/>
    <s v="Digital Wallet"/>
    <s v="Takeaway"/>
    <n v="2"/>
    <n v="0"/>
  </r>
  <r>
    <s v="TXN_001982"/>
    <s v="WALK_078"/>
    <x v="91"/>
    <x v="0"/>
    <x v="0"/>
    <s v="18:00–18:30"/>
    <s v="AlaCarte"/>
    <n v="2"/>
    <n v="68.8"/>
    <s v="Cash"/>
    <s v="In-store"/>
    <n v="3"/>
    <n v="0"/>
  </r>
  <r>
    <s v="TXN_001983"/>
    <s v="HOTEL_024"/>
    <x v="91"/>
    <x v="0"/>
    <x v="0"/>
    <s v="18:00–18:30"/>
    <s v="AlaCarte"/>
    <n v="2"/>
    <n v="40.93"/>
    <s v="Cash"/>
    <s v="In-store"/>
    <n v="3"/>
    <n v="0"/>
  </r>
  <r>
    <s v="TXN_001984"/>
    <s v="HOTEL_011"/>
    <x v="91"/>
    <x v="0"/>
    <x v="0"/>
    <s v="18:00–18:30"/>
    <s v="AlaCarte"/>
    <n v="3"/>
    <n v="99.11"/>
    <s v="Cash"/>
    <s v="In-store"/>
    <n v="3"/>
    <n v="0"/>
  </r>
  <r>
    <s v="TXN_001985"/>
    <s v="HOTEL_012"/>
    <x v="91"/>
    <x v="0"/>
    <x v="0"/>
    <s v="18:30–19:00"/>
    <s v="AlaCarte"/>
    <n v="4"/>
    <n v="54.5"/>
    <s v="Credit Card"/>
    <s v="In-store"/>
    <n v="3"/>
    <n v="0"/>
  </r>
  <r>
    <s v="TXN_001986"/>
    <s v="WALK_080"/>
    <x v="91"/>
    <x v="0"/>
    <x v="0"/>
    <s v="19:00–19:30"/>
    <s v="AlaCarte"/>
    <n v="3"/>
    <n v="57.13"/>
    <s v="Cash"/>
    <s v="In-store"/>
    <n v="3"/>
    <n v="0"/>
  </r>
  <r>
    <s v="TXN_001987"/>
    <s v="HOTEL_037"/>
    <x v="91"/>
    <x v="0"/>
    <x v="0"/>
    <s v="19:00–19:30"/>
    <s v="AlaCarte"/>
    <n v="2"/>
    <n v="46.63"/>
    <s v="Cash"/>
    <s v="Takeaway"/>
    <n v="3"/>
    <n v="0"/>
  </r>
  <r>
    <s v="TXN_001988"/>
    <s v="HOTEL_026"/>
    <x v="91"/>
    <x v="0"/>
    <x v="0"/>
    <s v="19:00–19:30"/>
    <s v="AlaCarte"/>
    <n v="4"/>
    <n v="88.37"/>
    <s v="Credit Card"/>
    <s v="In-store"/>
    <n v="3"/>
    <n v="0"/>
  </r>
  <r>
    <s v="TXN_001989"/>
    <s v="WALK_077"/>
    <x v="91"/>
    <x v="0"/>
    <x v="0"/>
    <s v="19:00–19:30"/>
    <s v="AlaCarte"/>
    <n v="2"/>
    <n v="67.099999999999994"/>
    <s v="Credit Card"/>
    <s v="In-store"/>
    <n v="3"/>
    <n v="0"/>
  </r>
  <r>
    <s v="TXN_001990"/>
    <s v="HOTEL_009"/>
    <x v="91"/>
    <x v="0"/>
    <x v="0"/>
    <s v="19:00–19:30"/>
    <s v="AlaCarte"/>
    <n v="5"/>
    <n v="106.76"/>
    <s v="Digital Wallet"/>
    <s v="In-store"/>
    <n v="3"/>
    <n v="0"/>
  </r>
  <r>
    <s v="TXN_001991"/>
    <s v="WALK_101"/>
    <x v="91"/>
    <x v="0"/>
    <x v="0"/>
    <s v="19:30–20:00"/>
    <s v="AlaCarte"/>
    <n v="1"/>
    <n v="26.48"/>
    <s v="Credit Card"/>
    <s v="Takeaway"/>
    <n v="3"/>
    <n v="0"/>
  </r>
  <r>
    <s v="TXN_001992"/>
    <s v="WALK_063"/>
    <x v="91"/>
    <x v="0"/>
    <x v="0"/>
    <s v="20:00–20:30"/>
    <s v="AlaCarte"/>
    <n v="2"/>
    <n v="108.9"/>
    <s v="Cash"/>
    <s v="In-store"/>
    <n v="3"/>
    <n v="0"/>
  </r>
  <r>
    <s v="TXN_001993"/>
    <s v="CORP_058"/>
    <x v="91"/>
    <x v="0"/>
    <x v="1"/>
    <s v="12:15–12:45"/>
    <s v="Buffet"/>
    <n v="2"/>
    <n v="49"/>
    <s v="Cash"/>
    <s v="In-store"/>
    <n v="3"/>
    <n v="1"/>
  </r>
  <r>
    <s v="TXN_001994"/>
    <s v="WALK_089"/>
    <x v="91"/>
    <x v="0"/>
    <x v="1"/>
    <s v="12:15–12:45"/>
    <s v="Buffet"/>
    <n v="3"/>
    <n v="60"/>
    <s v="Credit Card"/>
    <s v="In-store"/>
    <n v="3"/>
    <n v="1"/>
  </r>
  <r>
    <s v="TXN_001995"/>
    <s v="WALK_059"/>
    <x v="91"/>
    <x v="0"/>
    <x v="1"/>
    <s v="12:45–13:15"/>
    <s v="Buffet"/>
    <n v="4"/>
    <n v="84.5"/>
    <s v="Cash"/>
    <s v="In-store"/>
    <n v="3"/>
    <n v="1"/>
  </r>
  <r>
    <s v="TXN_001996"/>
    <s v="CORP_065"/>
    <x v="91"/>
    <x v="0"/>
    <x v="1"/>
    <s v="12:45–13:15"/>
    <s v="Buffet"/>
    <n v="3"/>
    <n v="69"/>
    <s v="Credit Card"/>
    <s v="In-store"/>
    <n v="3"/>
    <n v="1"/>
  </r>
  <r>
    <s v="TXN_001997"/>
    <s v="WALK_036"/>
    <x v="91"/>
    <x v="0"/>
    <x v="1"/>
    <s v="12:45–13:15"/>
    <s v="AlaCarte"/>
    <n v="4"/>
    <n v="65.900000000000006"/>
    <s v="Cash"/>
    <s v="Takeaway"/>
    <n v="3"/>
    <n v="0"/>
  </r>
  <r>
    <s v="TXN_001998"/>
    <s v="WALK_086"/>
    <x v="91"/>
    <x v="0"/>
    <x v="1"/>
    <s v="13:15–13:45"/>
    <s v="Buffet"/>
    <n v="3"/>
    <n v="64.5"/>
    <s v="Credit Card"/>
    <s v="In-store"/>
    <n v="3"/>
    <n v="1"/>
  </r>
  <r>
    <s v="TXN_001999"/>
    <s v="CORP_033"/>
    <x v="91"/>
    <x v="0"/>
    <x v="1"/>
    <s v="13:45–14:15"/>
    <s v="Buffet"/>
    <n v="3"/>
    <n v="60"/>
    <s v="Digital Wallet"/>
    <s v="Takeaway"/>
    <n v="3"/>
    <n v="1"/>
  </r>
  <r>
    <s v="TXN_002000"/>
    <s v="WALK_045"/>
    <x v="91"/>
    <x v="0"/>
    <x v="1"/>
    <s v="13:45–14:15"/>
    <s v="AlaCarte"/>
    <n v="4"/>
    <n v="46.71"/>
    <s v="Digital Wallet"/>
    <s v="In-store"/>
    <n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FA79DF-682F-E14B-A8AE-52A10D6A074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rvice_Window / Day">
  <location ref="A3:B20" firstHeaderRow="1" firstDataRow="1" firstDataCol="1"/>
  <pivotFields count="13">
    <pivotField showAll="0"/>
    <pivotField showAll="0"/>
    <pivotField numFmtId="16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4"/>
    <field x="3"/>
  </rowFields>
  <rowItems count="1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Total_Revenue_AUD" fld="8" baseField="0" baseItem="0"/>
  </dataFields>
  <formats count="2">
    <format dxfId="16">
      <pivotArea field="4" type="button" dataOnly="0" labelOnly="1" outline="0" axis="axisRow" fieldPosition="0"/>
    </format>
    <format dxfId="15">
      <pivotArea dataOnly="0" labelOnly="1" outline="0" axis="axisValues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4D9BE8-A831-8D4F-86A6-B486DA3362B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13">
    <pivotField showAll="0"/>
    <pivotField showAll="0"/>
    <pivotField numFmtId="16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dataField="1" showAll="0"/>
  </pivotFields>
  <rowFields count="2">
    <field x="4"/>
    <field x="3"/>
  </rowFields>
  <rowItems count="1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uffet_Flag" fld="12" subtotal="average" baseField="0" baseItem="0"/>
    <dataField name="Sum of Customers_Count" fld="7" baseField="0" baseItem="0"/>
  </dataFields>
  <formats count="1">
    <format dxfId="13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8F841D-E6BD-104C-911C-2BA25D33A8F1}" name="Table1" displayName="Table1" ref="A1:M2001" totalsRowShown="0" headerRowDxfId="23" headerRowBorderDxfId="22" tableBorderDxfId="21">
  <autoFilter ref="A1:M2001" xr:uid="{108F841D-E6BD-104C-911C-2BA25D33A8F1}"/>
  <tableColumns count="13">
    <tableColumn id="1" xr3:uid="{E3BB9B69-60EE-9143-915E-2C4301C844A4}" name="Transaction_ID"/>
    <tableColumn id="2" xr3:uid="{5EAED6FE-2CE9-B445-91B4-A7B7884DADE1}" name="Account_ID"/>
    <tableColumn id="3" xr3:uid="{6C22585B-6983-B340-90D5-C4C27150FEB9}" name="Transaction_Date" dataDxfId="20"/>
    <tableColumn id="4" xr3:uid="{5AAAC6AF-74C8-AD41-BD8E-A80D9D492351}" name="Day"/>
    <tableColumn id="5" xr3:uid="{3629F69F-3A55-1041-9EC2-DDEAACD33B2C}" name="Service_Window"/>
    <tableColumn id="6" xr3:uid="{018D1574-270C-8C47-96E8-B2F3C245F059}" name="Time_Slot"/>
    <tableColumn id="7" xr3:uid="{6B97C942-B5B9-6144-848F-EA92EF47F68F}" name="Sale_Type"/>
    <tableColumn id="8" xr3:uid="{4E9C621A-6511-6143-B9EC-3E0E46EEC0CF}" name="Customers_Count"/>
    <tableColumn id="9" xr3:uid="{ACCB644A-A7C0-DF4D-9503-84D3C770D831}" name="Total_Bill_Amount"/>
    <tableColumn id="10" xr3:uid="{A63F3737-551D-7C43-8219-68F58072C943}" name="Payment_Method"/>
    <tableColumn id="11" xr3:uid="{8410AAC0-76DE-E941-9108-9B5261DCA7FB}" name="Location"/>
    <tableColumn id="12" xr3:uid="{576B1552-68A3-0D4E-A381-31FA5004114F}" name="Weekday_Num" dataDxfId="19">
      <calculatedColumnFormula>WEEKDAY(Table1[[#This Row],[Transaction_Date]],2)</calculatedColumnFormula>
    </tableColumn>
    <tableColumn id="14" xr3:uid="{34943BFB-78D1-EB4D-8374-FF725FD1CA8E}" name="Buffet_Flag" dataDxfId="18">
      <calculatedColumnFormula>IF(Table1[[#This Row],[Sale_Type]]="Buffet",1,0)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AE5F9D-7592-5349-8A09-6E75ECE9DF6F}" name="Table2" displayName="Table2" ref="A3:B9" totalsRowShown="0" headerRowDxfId="17">
  <autoFilter ref="A3:B9" xr:uid="{7BAE5F9D-7592-5349-8A09-6E75ECE9DF6F}"/>
  <tableColumns count="2">
    <tableColumn id="1" xr3:uid="{85935165-FBD3-684A-B763-A32E8F92580A}" name="Metric"/>
    <tableColumn id="2" xr3:uid="{BBF7BEB9-6336-8941-A889-96BAD841A04E}" name="Valu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BFD6F9-CFA5-4E4B-A4C0-2D1011DD7124}" name="Table3" displayName="Table3" ref="A1:G2001" totalsRowShown="0">
  <autoFilter ref="A1:G2001" xr:uid="{1DBFD6F9-CFA5-4E4B-A4C0-2D1011DD7124}"/>
  <tableColumns count="7">
    <tableColumn id="1" xr3:uid="{47EA6528-8252-3945-B5E1-3D395BD09F1B}" name="Transaction_Date"/>
    <tableColumn id="2" xr3:uid="{1C006B6B-B6BA-8B4E-88F0-1722F7A9046B}" name="Day"/>
    <tableColumn id="3" xr3:uid="{7509AB42-6FA8-2441-B26C-7B0AFCD656FA}" name="Service_Window"/>
    <tableColumn id="4" xr3:uid="{67CE03B8-04D4-A947-9924-26CC5562B7C5}" name="Customers_Count"/>
    <tableColumn id="5" xr3:uid="{D3A07D78-81B4-8148-962C-D571C88A9B44}" name="Buffet_Flag"/>
    <tableColumn id="6" xr3:uid="{0F8C9954-89A0-974B-B476-C2E70CD019DF}" name="Weekday_Num"/>
    <tableColumn id="7" xr3:uid="{D8F5569E-10E0-3543-B7E4-60F826872570}" name="Lunch_Flag" dataDxfId="14">
      <calculatedColumnFormula>IF(Table3[[#This Row],[Service_Window]]="Lunch",1,0)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C22502-9E2D-284C-8C60-A354A4992A5C}" name="Table5" displayName="Table5" ref="A1:H8" totalsRowShown="0">
  <autoFilter ref="A1:H8" xr:uid="{0EC22502-9E2D-284C-8C60-A354A4992A5C}"/>
  <tableColumns count="8">
    <tableColumn id="1" xr3:uid="{8B9ED23C-C4BE-0E45-A633-9F8381CEE35C}" name="Date" dataDxfId="12"/>
    <tableColumn id="2" xr3:uid="{FFF64C74-BD54-3D49-B1CA-D85ECFE1B8B2}" name="Day" dataDxfId="11"/>
    <tableColumn id="3" xr3:uid="{C5A52316-39F5-E445-B5ED-642AD6A4912F}" name="Service_window"/>
    <tableColumn id="4" xr3:uid="{FCCD2BA1-2374-D24C-96F4-63B5D0D85AFE}" name="Total_Customers"/>
    <tableColumn id="5" xr3:uid="{C3AA224A-8F14-9E4A-B40E-A789E479F8B4}" name="Buffet_Probability" dataDxfId="10"/>
    <tableColumn id="6" xr3:uid="{D2FC9F92-F5DB-BD4E-8F16-A7D7A3F30F98}" name="is_lunch" dataDxfId="9">
      <calculatedColumnFormula>IF(Table5[[#This Row],[Service_window]]="Lunch",1,0)</calculatedColumnFormula>
    </tableColumn>
    <tableColumn id="7" xr3:uid="{4FDFE03F-848B-1444-8EEA-F18A56EB76E2}" name="is_weekend" dataDxfId="8">
      <calculatedColumnFormula>IF(OR(Table5[[#This Row],[Day]]="Saturday",Table5[[#This Row],[Day]]="Sunday"),1,0)</calculatedColumnFormula>
    </tableColumn>
    <tableColumn id="8" xr3:uid="{457EE32E-04A5-354B-97B4-D368A97D22D4}" name="Day_Number" dataDxfId="7">
      <calculatedColumnFormula>MATCH(Table5[[#This Row],[Day]],{"Monday","Tuesday","Wednesday","Thursday","Friday","Saturday","Sunday"},0)</calculatedColumnFormula>
    </tableColumn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83FBB7-32C2-0941-BB0E-605523A1DDF8}" name="Table6" displayName="Table6" ref="A1:H8" totalsRowShown="0">
  <autoFilter ref="A1:H8" xr:uid="{2E83FBB7-32C2-0941-BB0E-605523A1DDF8}"/>
  <tableColumns count="8">
    <tableColumn id="1" xr3:uid="{B985AEF1-EA23-8846-95F4-A1F3AF4AE77E}" name="Date"/>
    <tableColumn id="2" xr3:uid="{995EC096-0365-BC44-B5FE-C6229C9EC2F2}" name="Day"/>
    <tableColumn id="3" xr3:uid="{1164B7A0-B41E-D046-A578-D727BEFB184F}" name="Service_window"/>
    <tableColumn id="4" xr3:uid="{FEBFA32A-45A3-294C-A260-A998B81A4161}" name="Total_Customers"/>
    <tableColumn id="5" xr3:uid="{C914DE36-B35B-4948-8C8A-B8CD6646FD7E}" name="Buffet_Probability" dataDxfId="6"/>
    <tableColumn id="6" xr3:uid="{CE1BDF83-3C77-BD47-A67B-F9CFC54F200E}" name="is_lunch"/>
    <tableColumn id="7" xr3:uid="{FCC0AF97-30B1-1848-8C36-626B11F86AD3}" name="is_weekend"/>
    <tableColumn id="8" xr3:uid="{5EB76C78-E0F8-524D-A7AA-D6DF1FD31859}" name="Day_Number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D37E168-E5DB-2D4A-AF32-835E1A664920}" name="Table7" displayName="Table7" ref="A1:E8" totalsRowShown="0" headerRowDxfId="2">
  <autoFilter ref="A1:E8" xr:uid="{2D37E168-E5DB-2D4A-AF32-835E1A664920}"/>
  <tableColumns count="5">
    <tableColumn id="1" xr3:uid="{4E672716-787B-2142-8908-C3BF2CCEFAF2}" name="Day" dataDxfId="5"/>
    <tableColumn id="2" xr3:uid="{DABB2FB2-B8DC-7F40-96DB-CAF7C6267CDB}" name="Buffet_Probability" dataDxfId="4"/>
    <tableColumn id="3" xr3:uid="{18CE5E59-C379-4F4C-BCCE-9162609A8F2A}" name="Expected_Customers" dataDxfId="3"/>
    <tableColumn id="4" xr3:uid="{90655BD9-C179-0C47-A3A6-58084DC9DF4E}" name="Decision" dataDxfId="1">
      <calculatedColumnFormula>IF(B2&lt;0.4,"ALA CARTE","BUFFET")</calculatedColumnFormula>
    </tableColumn>
    <tableColumn id="5" xr3:uid="{E9853817-DCFA-B648-BC15-CBF5DFF50513}" name="Food_To_Prepare" dataDxfId="0">
      <calculatedColumnFormula>IF(D2="BUFFET", C2*1.3, 0)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E317-5B05-674F-A7EC-9B55E29A2ADC}">
  <dimension ref="A1"/>
  <sheetViews>
    <sheetView tabSelected="1" workbookViewId="0">
      <selection activeCell="M12" sqref="M12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1"/>
  <sheetViews>
    <sheetView topLeftCell="E1" zoomScale="180" zoomScaleNormal="180" workbookViewId="0">
      <selection activeCell="M2" sqref="M2"/>
    </sheetView>
  </sheetViews>
  <sheetFormatPr baseColWidth="10" defaultColWidth="8.83203125" defaultRowHeight="15" x14ac:dyDescent="0.2"/>
  <cols>
    <col min="1" max="1" width="17.5" bestFit="1" customWidth="1"/>
    <col min="2" max="2" width="15.1640625" bestFit="1" customWidth="1"/>
    <col min="3" max="3" width="19.5" bestFit="1" customWidth="1"/>
    <col min="4" max="4" width="9.83203125" bestFit="1" customWidth="1"/>
    <col min="5" max="5" width="19.1640625" bestFit="1" customWidth="1"/>
    <col min="6" max="7" width="13.83203125" bestFit="1" customWidth="1"/>
    <col min="8" max="8" width="19.83203125" bestFit="1" customWidth="1"/>
    <col min="9" max="9" width="20.5" bestFit="1" customWidth="1"/>
    <col min="10" max="10" width="20.1640625" bestFit="1" customWidth="1"/>
    <col min="11" max="11" width="12.83203125" bestFit="1" customWidth="1"/>
    <col min="12" max="12" width="17.83203125" bestFit="1" customWidth="1"/>
    <col min="13" max="13" width="14.6640625" bestFit="1" customWidth="1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2276</v>
      </c>
      <c r="M1" s="7" t="s">
        <v>2286</v>
      </c>
    </row>
    <row r="2" spans="1:13" x14ac:dyDescent="0.2">
      <c r="A2" t="s">
        <v>11</v>
      </c>
      <c r="B2" t="s">
        <v>12</v>
      </c>
      <c r="C2" s="1">
        <v>45931</v>
      </c>
      <c r="D2" t="s">
        <v>13</v>
      </c>
      <c r="E2" t="s">
        <v>14</v>
      </c>
      <c r="F2" t="s">
        <v>15</v>
      </c>
      <c r="G2" t="s">
        <v>16</v>
      </c>
      <c r="H2">
        <v>3</v>
      </c>
      <c r="I2">
        <v>97.63</v>
      </c>
      <c r="J2" t="s">
        <v>17</v>
      </c>
      <c r="K2" t="s">
        <v>18</v>
      </c>
      <c r="L2">
        <f>WEEKDAY(Table1[[#This Row],[Transaction_Date]],2)</f>
        <v>3</v>
      </c>
      <c r="M2">
        <f>IF(Table1[[#This Row],[Sale_Type]]="Buffet",1,0)</f>
        <v>0</v>
      </c>
    </row>
    <row r="3" spans="1:13" x14ac:dyDescent="0.2">
      <c r="A3" t="s">
        <v>19</v>
      </c>
      <c r="B3" t="s">
        <v>20</v>
      </c>
      <c r="C3" s="1">
        <v>45931</v>
      </c>
      <c r="D3" t="s">
        <v>13</v>
      </c>
      <c r="E3" t="s">
        <v>14</v>
      </c>
      <c r="F3" t="s">
        <v>15</v>
      </c>
      <c r="G3" t="s">
        <v>16</v>
      </c>
      <c r="H3">
        <v>3</v>
      </c>
      <c r="I3">
        <v>139.81</v>
      </c>
      <c r="J3" t="s">
        <v>17</v>
      </c>
      <c r="K3" t="s">
        <v>21</v>
      </c>
      <c r="L3">
        <f>WEEKDAY(Table1[[#This Row],[Transaction_Date]],2)</f>
        <v>3</v>
      </c>
      <c r="M3">
        <f>IF(Table1[[#This Row],[Sale_Type]]="Buffet",1,0)</f>
        <v>0</v>
      </c>
    </row>
    <row r="4" spans="1:13" x14ac:dyDescent="0.2">
      <c r="A4" t="s">
        <v>22</v>
      </c>
      <c r="B4" t="s">
        <v>23</v>
      </c>
      <c r="C4" s="1">
        <v>45931</v>
      </c>
      <c r="D4" t="s">
        <v>13</v>
      </c>
      <c r="E4" t="s">
        <v>14</v>
      </c>
      <c r="F4" t="s">
        <v>24</v>
      </c>
      <c r="G4" t="s">
        <v>16</v>
      </c>
      <c r="H4">
        <v>2</v>
      </c>
      <c r="I4">
        <v>39.799999999999997</v>
      </c>
      <c r="J4" t="s">
        <v>17</v>
      </c>
      <c r="K4" t="s">
        <v>18</v>
      </c>
      <c r="L4">
        <f>WEEKDAY(Table1[[#This Row],[Transaction_Date]],2)</f>
        <v>3</v>
      </c>
      <c r="M4">
        <f>IF(Table1[[#This Row],[Sale_Type]]="Buffet",1,0)</f>
        <v>0</v>
      </c>
    </row>
    <row r="5" spans="1:13" x14ac:dyDescent="0.2">
      <c r="A5" t="s">
        <v>25</v>
      </c>
      <c r="B5" t="s">
        <v>26</v>
      </c>
      <c r="C5" s="1">
        <v>45931</v>
      </c>
      <c r="D5" t="s">
        <v>13</v>
      </c>
      <c r="E5" t="s">
        <v>14</v>
      </c>
      <c r="F5" t="s">
        <v>27</v>
      </c>
      <c r="G5" t="s">
        <v>16</v>
      </c>
      <c r="H5">
        <v>6</v>
      </c>
      <c r="I5">
        <v>115.77</v>
      </c>
      <c r="J5" t="s">
        <v>28</v>
      </c>
      <c r="K5" t="s">
        <v>18</v>
      </c>
      <c r="L5">
        <f>WEEKDAY(Table1[[#This Row],[Transaction_Date]],2)</f>
        <v>3</v>
      </c>
      <c r="M5">
        <f>IF(Table1[[#This Row],[Sale_Type]]="Buffet",1,0)</f>
        <v>0</v>
      </c>
    </row>
    <row r="6" spans="1:13" x14ac:dyDescent="0.2">
      <c r="A6" t="s">
        <v>29</v>
      </c>
      <c r="B6" t="s">
        <v>30</v>
      </c>
      <c r="C6" s="1">
        <v>45931</v>
      </c>
      <c r="D6" t="s">
        <v>13</v>
      </c>
      <c r="E6" t="s">
        <v>14</v>
      </c>
      <c r="F6" t="s">
        <v>31</v>
      </c>
      <c r="G6" t="s">
        <v>16</v>
      </c>
      <c r="H6">
        <v>6</v>
      </c>
      <c r="I6">
        <v>132.85</v>
      </c>
      <c r="J6" t="s">
        <v>28</v>
      </c>
      <c r="K6" t="s">
        <v>18</v>
      </c>
      <c r="L6">
        <f>WEEKDAY(Table1[[#This Row],[Transaction_Date]],2)</f>
        <v>3</v>
      </c>
      <c r="M6">
        <f>IF(Table1[[#This Row],[Sale_Type]]="Buffet",1,0)</f>
        <v>0</v>
      </c>
    </row>
    <row r="7" spans="1:13" x14ac:dyDescent="0.2">
      <c r="A7" t="s">
        <v>32</v>
      </c>
      <c r="B7" t="s">
        <v>33</v>
      </c>
      <c r="C7" s="1">
        <v>45931</v>
      </c>
      <c r="D7" t="s">
        <v>13</v>
      </c>
      <c r="E7" t="s">
        <v>14</v>
      </c>
      <c r="F7" t="s">
        <v>31</v>
      </c>
      <c r="G7" t="s">
        <v>16</v>
      </c>
      <c r="H7">
        <v>2</v>
      </c>
      <c r="I7">
        <v>78.88</v>
      </c>
      <c r="J7" t="s">
        <v>34</v>
      </c>
      <c r="K7" t="s">
        <v>18</v>
      </c>
      <c r="L7">
        <f>WEEKDAY(Table1[[#This Row],[Transaction_Date]],2)</f>
        <v>3</v>
      </c>
      <c r="M7">
        <f>IF(Table1[[#This Row],[Sale_Type]]="Buffet",1,0)</f>
        <v>0</v>
      </c>
    </row>
    <row r="8" spans="1:13" x14ac:dyDescent="0.2">
      <c r="A8" t="s">
        <v>35</v>
      </c>
      <c r="B8" t="s">
        <v>33</v>
      </c>
      <c r="C8" s="1">
        <v>45931</v>
      </c>
      <c r="D8" t="s">
        <v>13</v>
      </c>
      <c r="E8" t="s">
        <v>14</v>
      </c>
      <c r="F8" t="s">
        <v>31</v>
      </c>
      <c r="G8" t="s">
        <v>16</v>
      </c>
      <c r="H8">
        <v>4</v>
      </c>
      <c r="I8">
        <v>96.26</v>
      </c>
      <c r="J8" t="s">
        <v>17</v>
      </c>
      <c r="K8" t="s">
        <v>18</v>
      </c>
      <c r="L8">
        <f>WEEKDAY(Table1[[#This Row],[Transaction_Date]],2)</f>
        <v>3</v>
      </c>
      <c r="M8">
        <f>IF(Table1[[#This Row],[Sale_Type]]="Buffet",1,0)</f>
        <v>0</v>
      </c>
    </row>
    <row r="9" spans="1:13" x14ac:dyDescent="0.2">
      <c r="A9" t="s">
        <v>36</v>
      </c>
      <c r="B9" t="s">
        <v>37</v>
      </c>
      <c r="C9" s="1">
        <v>45931</v>
      </c>
      <c r="D9" t="s">
        <v>13</v>
      </c>
      <c r="E9" t="s">
        <v>14</v>
      </c>
      <c r="F9" t="s">
        <v>31</v>
      </c>
      <c r="G9" t="s">
        <v>16</v>
      </c>
      <c r="H9">
        <v>4</v>
      </c>
      <c r="I9">
        <v>156.01</v>
      </c>
      <c r="J9" t="s">
        <v>28</v>
      </c>
      <c r="K9" t="s">
        <v>18</v>
      </c>
      <c r="L9">
        <f>WEEKDAY(Table1[[#This Row],[Transaction_Date]],2)</f>
        <v>3</v>
      </c>
      <c r="M9">
        <f>IF(Table1[[#This Row],[Sale_Type]]="Buffet",1,0)</f>
        <v>0</v>
      </c>
    </row>
    <row r="10" spans="1:13" x14ac:dyDescent="0.2">
      <c r="A10" t="s">
        <v>38</v>
      </c>
      <c r="B10" t="s">
        <v>39</v>
      </c>
      <c r="C10" s="1">
        <v>45931</v>
      </c>
      <c r="D10" t="s">
        <v>13</v>
      </c>
      <c r="E10" t="s">
        <v>14</v>
      </c>
      <c r="F10" t="s">
        <v>40</v>
      </c>
      <c r="G10" t="s">
        <v>16</v>
      </c>
      <c r="H10">
        <v>1</v>
      </c>
      <c r="I10">
        <v>38.130000000000003</v>
      </c>
      <c r="J10" t="s">
        <v>34</v>
      </c>
      <c r="K10" t="s">
        <v>18</v>
      </c>
      <c r="L10">
        <f>WEEKDAY(Table1[[#This Row],[Transaction_Date]],2)</f>
        <v>3</v>
      </c>
      <c r="M10">
        <f>IF(Table1[[#This Row],[Sale_Type]]="Buffet",1,0)</f>
        <v>0</v>
      </c>
    </row>
    <row r="11" spans="1:13" x14ac:dyDescent="0.2">
      <c r="A11" t="s">
        <v>41</v>
      </c>
      <c r="B11" t="s">
        <v>42</v>
      </c>
      <c r="C11" s="1">
        <v>45931</v>
      </c>
      <c r="D11" t="s">
        <v>13</v>
      </c>
      <c r="E11" t="s">
        <v>43</v>
      </c>
      <c r="F11" t="s">
        <v>44</v>
      </c>
      <c r="G11" t="s">
        <v>45</v>
      </c>
      <c r="H11">
        <v>5</v>
      </c>
      <c r="I11">
        <v>113.5</v>
      </c>
      <c r="J11" t="s">
        <v>34</v>
      </c>
      <c r="K11" t="s">
        <v>21</v>
      </c>
      <c r="L11">
        <f>WEEKDAY(Table1[[#This Row],[Transaction_Date]],2)</f>
        <v>3</v>
      </c>
      <c r="M11">
        <f>IF(Table1[[#This Row],[Sale_Type]]="Buffet",1,0)</f>
        <v>1</v>
      </c>
    </row>
    <row r="12" spans="1:13" x14ac:dyDescent="0.2">
      <c r="A12" t="s">
        <v>46</v>
      </c>
      <c r="B12" t="s">
        <v>47</v>
      </c>
      <c r="C12" s="1">
        <v>45931</v>
      </c>
      <c r="D12" t="s">
        <v>13</v>
      </c>
      <c r="E12" t="s">
        <v>43</v>
      </c>
      <c r="F12" t="s">
        <v>44</v>
      </c>
      <c r="G12" t="s">
        <v>45</v>
      </c>
      <c r="H12">
        <v>1</v>
      </c>
      <c r="I12">
        <v>20</v>
      </c>
      <c r="J12" t="s">
        <v>17</v>
      </c>
      <c r="K12" t="s">
        <v>18</v>
      </c>
      <c r="L12">
        <f>WEEKDAY(Table1[[#This Row],[Transaction_Date]],2)</f>
        <v>3</v>
      </c>
      <c r="M12">
        <f>IF(Table1[[#This Row],[Sale_Type]]="Buffet",1,0)</f>
        <v>1</v>
      </c>
    </row>
    <row r="13" spans="1:13" x14ac:dyDescent="0.2">
      <c r="A13" t="s">
        <v>48</v>
      </c>
      <c r="B13" t="s">
        <v>49</v>
      </c>
      <c r="C13" s="1">
        <v>45931</v>
      </c>
      <c r="D13" t="s">
        <v>13</v>
      </c>
      <c r="E13" t="s">
        <v>43</v>
      </c>
      <c r="F13" t="s">
        <v>50</v>
      </c>
      <c r="G13" t="s">
        <v>45</v>
      </c>
      <c r="H13">
        <v>2</v>
      </c>
      <c r="I13">
        <v>40</v>
      </c>
      <c r="J13" t="s">
        <v>17</v>
      </c>
      <c r="K13" t="s">
        <v>18</v>
      </c>
      <c r="L13">
        <f>WEEKDAY(Table1[[#This Row],[Transaction_Date]],2)</f>
        <v>3</v>
      </c>
      <c r="M13">
        <f>IF(Table1[[#This Row],[Sale_Type]]="Buffet",1,0)</f>
        <v>1</v>
      </c>
    </row>
    <row r="14" spans="1:13" x14ac:dyDescent="0.2">
      <c r="A14" t="s">
        <v>51</v>
      </c>
      <c r="B14" t="s">
        <v>52</v>
      </c>
      <c r="C14" s="1">
        <v>45931</v>
      </c>
      <c r="D14" t="s">
        <v>13</v>
      </c>
      <c r="E14" t="s">
        <v>43</v>
      </c>
      <c r="F14" t="s">
        <v>53</v>
      </c>
      <c r="G14" t="s">
        <v>45</v>
      </c>
      <c r="H14">
        <v>4</v>
      </c>
      <c r="I14">
        <v>89</v>
      </c>
      <c r="J14" t="s">
        <v>28</v>
      </c>
      <c r="K14" t="s">
        <v>21</v>
      </c>
      <c r="L14">
        <f>WEEKDAY(Table1[[#This Row],[Transaction_Date]],2)</f>
        <v>3</v>
      </c>
      <c r="M14">
        <f>IF(Table1[[#This Row],[Sale_Type]]="Buffet",1,0)</f>
        <v>1</v>
      </c>
    </row>
    <row r="15" spans="1:13" x14ac:dyDescent="0.2">
      <c r="A15" t="s">
        <v>54</v>
      </c>
      <c r="B15" t="s">
        <v>42</v>
      </c>
      <c r="C15" s="1">
        <v>45931</v>
      </c>
      <c r="D15" t="s">
        <v>13</v>
      </c>
      <c r="E15" t="s">
        <v>43</v>
      </c>
      <c r="F15" t="s">
        <v>53</v>
      </c>
      <c r="G15" t="s">
        <v>45</v>
      </c>
      <c r="H15">
        <v>3</v>
      </c>
      <c r="I15">
        <v>64.5</v>
      </c>
      <c r="J15" t="s">
        <v>28</v>
      </c>
      <c r="K15" t="s">
        <v>21</v>
      </c>
      <c r="L15">
        <f>WEEKDAY(Table1[[#This Row],[Transaction_Date]],2)</f>
        <v>3</v>
      </c>
      <c r="M15">
        <f>IF(Table1[[#This Row],[Sale_Type]]="Buffet",1,0)</f>
        <v>1</v>
      </c>
    </row>
    <row r="16" spans="1:13" x14ac:dyDescent="0.2">
      <c r="A16" t="s">
        <v>55</v>
      </c>
      <c r="B16" t="s">
        <v>56</v>
      </c>
      <c r="C16" s="1">
        <v>45931</v>
      </c>
      <c r="D16" t="s">
        <v>13</v>
      </c>
      <c r="E16" t="s">
        <v>43</v>
      </c>
      <c r="F16" t="s">
        <v>57</v>
      </c>
      <c r="G16" t="s">
        <v>16</v>
      </c>
      <c r="H16">
        <v>1</v>
      </c>
      <c r="I16">
        <v>14.58</v>
      </c>
      <c r="J16" t="s">
        <v>34</v>
      </c>
      <c r="K16" t="s">
        <v>21</v>
      </c>
      <c r="L16">
        <f>WEEKDAY(Table1[[#This Row],[Transaction_Date]],2)</f>
        <v>3</v>
      </c>
      <c r="M16">
        <f>IF(Table1[[#This Row],[Sale_Type]]="Buffet",1,0)</f>
        <v>0</v>
      </c>
    </row>
    <row r="17" spans="1:13" x14ac:dyDescent="0.2">
      <c r="A17" t="s">
        <v>58</v>
      </c>
      <c r="B17" t="s">
        <v>59</v>
      </c>
      <c r="C17" s="1">
        <v>45931</v>
      </c>
      <c r="D17" t="s">
        <v>13</v>
      </c>
      <c r="E17" t="s">
        <v>43</v>
      </c>
      <c r="F17" t="s">
        <v>57</v>
      </c>
      <c r="G17" t="s">
        <v>45</v>
      </c>
      <c r="H17">
        <v>5</v>
      </c>
      <c r="I17">
        <v>109</v>
      </c>
      <c r="J17" t="s">
        <v>17</v>
      </c>
      <c r="K17" t="s">
        <v>21</v>
      </c>
      <c r="L17">
        <f>WEEKDAY(Table1[[#This Row],[Transaction_Date]],2)</f>
        <v>3</v>
      </c>
      <c r="M17">
        <f>IF(Table1[[#This Row],[Sale_Type]]="Buffet",1,0)</f>
        <v>1</v>
      </c>
    </row>
    <row r="18" spans="1:13" x14ac:dyDescent="0.2">
      <c r="A18" t="s">
        <v>60</v>
      </c>
      <c r="B18" t="s">
        <v>61</v>
      </c>
      <c r="C18" s="1">
        <v>45932</v>
      </c>
      <c r="D18" t="s">
        <v>62</v>
      </c>
      <c r="E18" t="s">
        <v>14</v>
      </c>
      <c r="F18" t="s">
        <v>15</v>
      </c>
      <c r="G18" t="s">
        <v>16</v>
      </c>
      <c r="H18">
        <v>4</v>
      </c>
      <c r="I18">
        <v>101.66</v>
      </c>
      <c r="J18" t="s">
        <v>17</v>
      </c>
      <c r="K18" t="s">
        <v>18</v>
      </c>
      <c r="L18">
        <f>WEEKDAY(Table1[[#This Row],[Transaction_Date]],2)</f>
        <v>4</v>
      </c>
      <c r="M18">
        <f>IF(Table1[[#This Row],[Sale_Type]]="Buffet",1,0)</f>
        <v>0</v>
      </c>
    </row>
    <row r="19" spans="1:13" x14ac:dyDescent="0.2">
      <c r="A19" t="s">
        <v>63</v>
      </c>
      <c r="B19" t="s">
        <v>64</v>
      </c>
      <c r="C19" s="1">
        <v>45932</v>
      </c>
      <c r="D19" t="s">
        <v>62</v>
      </c>
      <c r="E19" t="s">
        <v>14</v>
      </c>
      <c r="F19" t="s">
        <v>24</v>
      </c>
      <c r="G19" t="s">
        <v>16</v>
      </c>
      <c r="H19">
        <v>2</v>
      </c>
      <c r="I19">
        <v>84.5</v>
      </c>
      <c r="J19" t="s">
        <v>17</v>
      </c>
      <c r="K19" t="s">
        <v>18</v>
      </c>
      <c r="L19">
        <f>WEEKDAY(Table1[[#This Row],[Transaction_Date]],2)</f>
        <v>4</v>
      </c>
      <c r="M19">
        <f>IF(Table1[[#This Row],[Sale_Type]]="Buffet",1,0)</f>
        <v>0</v>
      </c>
    </row>
    <row r="20" spans="1:13" x14ac:dyDescent="0.2">
      <c r="A20" t="s">
        <v>65</v>
      </c>
      <c r="B20" t="s">
        <v>66</v>
      </c>
      <c r="C20" s="1">
        <v>45932</v>
      </c>
      <c r="D20" t="s">
        <v>62</v>
      </c>
      <c r="E20" t="s">
        <v>14</v>
      </c>
      <c r="F20" t="s">
        <v>24</v>
      </c>
      <c r="G20" t="s">
        <v>16</v>
      </c>
      <c r="H20">
        <v>5</v>
      </c>
      <c r="I20">
        <v>268.02</v>
      </c>
      <c r="J20" t="s">
        <v>28</v>
      </c>
      <c r="K20" t="s">
        <v>21</v>
      </c>
      <c r="L20">
        <f>WEEKDAY(Table1[[#This Row],[Transaction_Date]],2)</f>
        <v>4</v>
      </c>
      <c r="M20">
        <f>IF(Table1[[#This Row],[Sale_Type]]="Buffet",1,0)</f>
        <v>0</v>
      </c>
    </row>
    <row r="21" spans="1:13" x14ac:dyDescent="0.2">
      <c r="A21" t="s">
        <v>67</v>
      </c>
      <c r="B21" t="s">
        <v>68</v>
      </c>
      <c r="C21" s="1">
        <v>45932</v>
      </c>
      <c r="D21" t="s">
        <v>62</v>
      </c>
      <c r="E21" t="s">
        <v>14</v>
      </c>
      <c r="F21" t="s">
        <v>24</v>
      </c>
      <c r="G21" t="s">
        <v>16</v>
      </c>
      <c r="H21">
        <v>3</v>
      </c>
      <c r="I21">
        <v>67.739999999999995</v>
      </c>
      <c r="J21" t="s">
        <v>17</v>
      </c>
      <c r="K21" t="s">
        <v>18</v>
      </c>
      <c r="L21">
        <f>WEEKDAY(Table1[[#This Row],[Transaction_Date]],2)</f>
        <v>4</v>
      </c>
      <c r="M21">
        <f>IF(Table1[[#This Row],[Sale_Type]]="Buffet",1,0)</f>
        <v>0</v>
      </c>
    </row>
    <row r="22" spans="1:13" x14ac:dyDescent="0.2">
      <c r="A22" t="s">
        <v>69</v>
      </c>
      <c r="B22" t="s">
        <v>70</v>
      </c>
      <c r="C22" s="1">
        <v>45932</v>
      </c>
      <c r="D22" t="s">
        <v>62</v>
      </c>
      <c r="E22" t="s">
        <v>14</v>
      </c>
      <c r="F22" t="s">
        <v>27</v>
      </c>
      <c r="G22" t="s">
        <v>16</v>
      </c>
      <c r="H22">
        <v>3</v>
      </c>
      <c r="I22">
        <v>90.4</v>
      </c>
      <c r="J22" t="s">
        <v>17</v>
      </c>
      <c r="K22" t="s">
        <v>18</v>
      </c>
      <c r="L22">
        <f>WEEKDAY(Table1[[#This Row],[Transaction_Date]],2)</f>
        <v>4</v>
      </c>
      <c r="M22">
        <f>IF(Table1[[#This Row],[Sale_Type]]="Buffet",1,0)</f>
        <v>0</v>
      </c>
    </row>
    <row r="23" spans="1:13" x14ac:dyDescent="0.2">
      <c r="A23" t="s">
        <v>71</v>
      </c>
      <c r="B23" t="s">
        <v>72</v>
      </c>
      <c r="C23" s="1">
        <v>45932</v>
      </c>
      <c r="D23" t="s">
        <v>62</v>
      </c>
      <c r="E23" t="s">
        <v>14</v>
      </c>
      <c r="F23" t="s">
        <v>27</v>
      </c>
      <c r="G23" t="s">
        <v>16</v>
      </c>
      <c r="H23">
        <v>2</v>
      </c>
      <c r="I23">
        <v>48.61</v>
      </c>
      <c r="J23" t="s">
        <v>34</v>
      </c>
      <c r="K23" t="s">
        <v>18</v>
      </c>
      <c r="L23">
        <f>WEEKDAY(Table1[[#This Row],[Transaction_Date]],2)</f>
        <v>4</v>
      </c>
      <c r="M23">
        <f>IF(Table1[[#This Row],[Sale_Type]]="Buffet",1,0)</f>
        <v>0</v>
      </c>
    </row>
    <row r="24" spans="1:13" x14ac:dyDescent="0.2">
      <c r="A24" t="s">
        <v>73</v>
      </c>
      <c r="B24" t="s">
        <v>74</v>
      </c>
      <c r="C24" s="1">
        <v>45932</v>
      </c>
      <c r="D24" t="s">
        <v>62</v>
      </c>
      <c r="E24" t="s">
        <v>14</v>
      </c>
      <c r="F24" t="s">
        <v>27</v>
      </c>
      <c r="G24" t="s">
        <v>16</v>
      </c>
      <c r="H24">
        <v>3</v>
      </c>
      <c r="I24">
        <v>96.26</v>
      </c>
      <c r="J24" t="s">
        <v>17</v>
      </c>
      <c r="K24" t="s">
        <v>21</v>
      </c>
      <c r="L24">
        <f>WEEKDAY(Table1[[#This Row],[Transaction_Date]],2)</f>
        <v>4</v>
      </c>
      <c r="M24">
        <f>IF(Table1[[#This Row],[Sale_Type]]="Buffet",1,0)</f>
        <v>0</v>
      </c>
    </row>
    <row r="25" spans="1:13" x14ac:dyDescent="0.2">
      <c r="A25" t="s">
        <v>75</v>
      </c>
      <c r="B25" t="s">
        <v>76</v>
      </c>
      <c r="C25" s="1">
        <v>45932</v>
      </c>
      <c r="D25" t="s">
        <v>62</v>
      </c>
      <c r="E25" t="s">
        <v>14</v>
      </c>
      <c r="F25" t="s">
        <v>40</v>
      </c>
      <c r="G25" t="s">
        <v>16</v>
      </c>
      <c r="H25">
        <v>2</v>
      </c>
      <c r="I25">
        <v>74.75</v>
      </c>
      <c r="J25" t="s">
        <v>17</v>
      </c>
      <c r="K25" t="s">
        <v>21</v>
      </c>
      <c r="L25">
        <f>WEEKDAY(Table1[[#This Row],[Transaction_Date]],2)</f>
        <v>4</v>
      </c>
      <c r="M25">
        <f>IF(Table1[[#This Row],[Sale_Type]]="Buffet",1,0)</f>
        <v>0</v>
      </c>
    </row>
    <row r="26" spans="1:13" x14ac:dyDescent="0.2">
      <c r="A26" t="s">
        <v>77</v>
      </c>
      <c r="B26" t="s">
        <v>23</v>
      </c>
      <c r="C26" s="1">
        <v>45932</v>
      </c>
      <c r="D26" t="s">
        <v>62</v>
      </c>
      <c r="E26" t="s">
        <v>14</v>
      </c>
      <c r="F26" t="s">
        <v>40</v>
      </c>
      <c r="G26" t="s">
        <v>16</v>
      </c>
      <c r="H26">
        <v>2</v>
      </c>
      <c r="I26">
        <v>78.8</v>
      </c>
      <c r="J26" t="s">
        <v>28</v>
      </c>
      <c r="K26" t="s">
        <v>21</v>
      </c>
      <c r="L26">
        <f>WEEKDAY(Table1[[#This Row],[Transaction_Date]],2)</f>
        <v>4</v>
      </c>
      <c r="M26">
        <f>IF(Table1[[#This Row],[Sale_Type]]="Buffet",1,0)</f>
        <v>0</v>
      </c>
    </row>
    <row r="27" spans="1:13" x14ac:dyDescent="0.2">
      <c r="A27" t="s">
        <v>78</v>
      </c>
      <c r="B27" t="s">
        <v>79</v>
      </c>
      <c r="C27" s="1">
        <v>45932</v>
      </c>
      <c r="D27" t="s">
        <v>62</v>
      </c>
      <c r="E27" t="s">
        <v>14</v>
      </c>
      <c r="F27" t="s">
        <v>40</v>
      </c>
      <c r="G27" t="s">
        <v>16</v>
      </c>
      <c r="H27">
        <v>2</v>
      </c>
      <c r="I27">
        <v>89.41</v>
      </c>
      <c r="J27" t="s">
        <v>17</v>
      </c>
      <c r="K27" t="s">
        <v>18</v>
      </c>
      <c r="L27">
        <f>WEEKDAY(Table1[[#This Row],[Transaction_Date]],2)</f>
        <v>4</v>
      </c>
      <c r="M27">
        <f>IF(Table1[[#This Row],[Sale_Type]]="Buffet",1,0)</f>
        <v>0</v>
      </c>
    </row>
    <row r="28" spans="1:13" x14ac:dyDescent="0.2">
      <c r="A28" t="s">
        <v>80</v>
      </c>
      <c r="B28" t="s">
        <v>81</v>
      </c>
      <c r="C28" s="1">
        <v>45932</v>
      </c>
      <c r="D28" t="s">
        <v>62</v>
      </c>
      <c r="E28" t="s">
        <v>43</v>
      </c>
      <c r="F28" t="s">
        <v>44</v>
      </c>
      <c r="G28" t="s">
        <v>45</v>
      </c>
      <c r="H28">
        <v>1</v>
      </c>
      <c r="I28">
        <v>24.5</v>
      </c>
      <c r="J28" t="s">
        <v>17</v>
      </c>
      <c r="K28" t="s">
        <v>18</v>
      </c>
      <c r="L28">
        <f>WEEKDAY(Table1[[#This Row],[Transaction_Date]],2)</f>
        <v>4</v>
      </c>
      <c r="M28">
        <f>IF(Table1[[#This Row],[Sale_Type]]="Buffet",1,0)</f>
        <v>1</v>
      </c>
    </row>
    <row r="29" spans="1:13" x14ac:dyDescent="0.2">
      <c r="A29" t="s">
        <v>82</v>
      </c>
      <c r="B29" t="s">
        <v>83</v>
      </c>
      <c r="C29" s="1">
        <v>45932</v>
      </c>
      <c r="D29" t="s">
        <v>62</v>
      </c>
      <c r="E29" t="s">
        <v>43</v>
      </c>
      <c r="F29" t="s">
        <v>44</v>
      </c>
      <c r="G29" t="s">
        <v>45</v>
      </c>
      <c r="H29">
        <v>1</v>
      </c>
      <c r="I29">
        <v>20</v>
      </c>
      <c r="J29" t="s">
        <v>17</v>
      </c>
      <c r="K29" t="s">
        <v>18</v>
      </c>
      <c r="L29">
        <f>WEEKDAY(Table1[[#This Row],[Transaction_Date]],2)</f>
        <v>4</v>
      </c>
      <c r="M29">
        <f>IF(Table1[[#This Row],[Sale_Type]]="Buffet",1,0)</f>
        <v>1</v>
      </c>
    </row>
    <row r="30" spans="1:13" x14ac:dyDescent="0.2">
      <c r="A30" t="s">
        <v>84</v>
      </c>
      <c r="B30" t="s">
        <v>12</v>
      </c>
      <c r="C30" s="1">
        <v>45932</v>
      </c>
      <c r="D30" t="s">
        <v>62</v>
      </c>
      <c r="E30" t="s">
        <v>43</v>
      </c>
      <c r="F30" t="s">
        <v>44</v>
      </c>
      <c r="G30" t="s">
        <v>45</v>
      </c>
      <c r="H30">
        <v>2</v>
      </c>
      <c r="I30">
        <v>44.5</v>
      </c>
      <c r="J30" t="s">
        <v>34</v>
      </c>
      <c r="K30" t="s">
        <v>18</v>
      </c>
      <c r="L30">
        <f>WEEKDAY(Table1[[#This Row],[Transaction_Date]],2)</f>
        <v>4</v>
      </c>
      <c r="M30">
        <f>IF(Table1[[#This Row],[Sale_Type]]="Buffet",1,0)</f>
        <v>1</v>
      </c>
    </row>
    <row r="31" spans="1:13" x14ac:dyDescent="0.2">
      <c r="A31" t="s">
        <v>85</v>
      </c>
      <c r="B31" t="s">
        <v>52</v>
      </c>
      <c r="C31" s="1">
        <v>45932</v>
      </c>
      <c r="D31" t="s">
        <v>62</v>
      </c>
      <c r="E31" t="s">
        <v>43</v>
      </c>
      <c r="F31" t="s">
        <v>50</v>
      </c>
      <c r="G31" t="s">
        <v>45</v>
      </c>
      <c r="H31">
        <v>2</v>
      </c>
      <c r="I31">
        <v>44.5</v>
      </c>
      <c r="J31" t="s">
        <v>17</v>
      </c>
      <c r="K31" t="s">
        <v>21</v>
      </c>
      <c r="L31">
        <f>WEEKDAY(Table1[[#This Row],[Transaction_Date]],2)</f>
        <v>4</v>
      </c>
      <c r="M31">
        <f>IF(Table1[[#This Row],[Sale_Type]]="Buffet",1,0)</f>
        <v>1</v>
      </c>
    </row>
    <row r="32" spans="1:13" x14ac:dyDescent="0.2">
      <c r="A32" t="s">
        <v>86</v>
      </c>
      <c r="B32" t="s">
        <v>87</v>
      </c>
      <c r="C32" s="1">
        <v>45932</v>
      </c>
      <c r="D32" t="s">
        <v>62</v>
      </c>
      <c r="E32" t="s">
        <v>43</v>
      </c>
      <c r="F32" t="s">
        <v>50</v>
      </c>
      <c r="G32" t="s">
        <v>45</v>
      </c>
      <c r="H32">
        <v>3</v>
      </c>
      <c r="I32">
        <v>60</v>
      </c>
      <c r="J32" t="s">
        <v>17</v>
      </c>
      <c r="K32" t="s">
        <v>18</v>
      </c>
      <c r="L32">
        <f>WEEKDAY(Table1[[#This Row],[Transaction_Date]],2)</f>
        <v>4</v>
      </c>
      <c r="M32">
        <f>IF(Table1[[#This Row],[Sale_Type]]="Buffet",1,0)</f>
        <v>1</v>
      </c>
    </row>
    <row r="33" spans="1:13" x14ac:dyDescent="0.2">
      <c r="A33" t="s">
        <v>88</v>
      </c>
      <c r="B33" t="s">
        <v>89</v>
      </c>
      <c r="C33" s="1">
        <v>45932</v>
      </c>
      <c r="D33" t="s">
        <v>62</v>
      </c>
      <c r="E33" t="s">
        <v>43</v>
      </c>
      <c r="F33" t="s">
        <v>53</v>
      </c>
      <c r="G33" t="s">
        <v>45</v>
      </c>
      <c r="H33">
        <v>3</v>
      </c>
      <c r="I33">
        <v>73.5</v>
      </c>
      <c r="J33" t="s">
        <v>17</v>
      </c>
      <c r="K33" t="s">
        <v>18</v>
      </c>
      <c r="L33">
        <f>WEEKDAY(Table1[[#This Row],[Transaction_Date]],2)</f>
        <v>4</v>
      </c>
      <c r="M33">
        <f>IF(Table1[[#This Row],[Sale_Type]]="Buffet",1,0)</f>
        <v>1</v>
      </c>
    </row>
    <row r="34" spans="1:13" x14ac:dyDescent="0.2">
      <c r="A34" t="s">
        <v>90</v>
      </c>
      <c r="B34" t="s">
        <v>91</v>
      </c>
      <c r="C34" s="1">
        <v>45932</v>
      </c>
      <c r="D34" t="s">
        <v>62</v>
      </c>
      <c r="E34" t="s">
        <v>43</v>
      </c>
      <c r="F34" t="s">
        <v>57</v>
      </c>
      <c r="G34" t="s">
        <v>16</v>
      </c>
      <c r="H34">
        <v>2</v>
      </c>
      <c r="I34">
        <v>71.8</v>
      </c>
      <c r="J34" t="s">
        <v>17</v>
      </c>
      <c r="K34" t="s">
        <v>18</v>
      </c>
      <c r="L34">
        <f>WEEKDAY(Table1[[#This Row],[Transaction_Date]],2)</f>
        <v>4</v>
      </c>
      <c r="M34">
        <f>IF(Table1[[#This Row],[Sale_Type]]="Buffet",1,0)</f>
        <v>0</v>
      </c>
    </row>
    <row r="35" spans="1:13" x14ac:dyDescent="0.2">
      <c r="A35" t="s">
        <v>92</v>
      </c>
      <c r="B35" t="s">
        <v>93</v>
      </c>
      <c r="C35" s="1">
        <v>45932</v>
      </c>
      <c r="D35" t="s">
        <v>62</v>
      </c>
      <c r="E35" t="s">
        <v>43</v>
      </c>
      <c r="F35" t="s">
        <v>57</v>
      </c>
      <c r="G35" t="s">
        <v>45</v>
      </c>
      <c r="H35">
        <v>4</v>
      </c>
      <c r="I35">
        <v>89</v>
      </c>
      <c r="J35" t="s">
        <v>17</v>
      </c>
      <c r="K35" t="s">
        <v>18</v>
      </c>
      <c r="L35">
        <f>WEEKDAY(Table1[[#This Row],[Transaction_Date]],2)</f>
        <v>4</v>
      </c>
      <c r="M35">
        <f>IF(Table1[[#This Row],[Sale_Type]]="Buffet",1,0)</f>
        <v>1</v>
      </c>
    </row>
    <row r="36" spans="1:13" x14ac:dyDescent="0.2">
      <c r="A36" t="s">
        <v>94</v>
      </c>
      <c r="B36" t="s">
        <v>95</v>
      </c>
      <c r="C36" s="1">
        <v>45933</v>
      </c>
      <c r="D36" t="s">
        <v>96</v>
      </c>
      <c r="E36" t="s">
        <v>14</v>
      </c>
      <c r="F36" t="s">
        <v>24</v>
      </c>
      <c r="G36" t="s">
        <v>16</v>
      </c>
      <c r="H36">
        <v>3</v>
      </c>
      <c r="I36">
        <v>120.99</v>
      </c>
      <c r="J36" t="s">
        <v>17</v>
      </c>
      <c r="K36" t="s">
        <v>18</v>
      </c>
      <c r="L36">
        <f>WEEKDAY(Table1[[#This Row],[Transaction_Date]],2)</f>
        <v>5</v>
      </c>
      <c r="M36">
        <f>IF(Table1[[#This Row],[Sale_Type]]="Buffet",1,0)</f>
        <v>0</v>
      </c>
    </row>
    <row r="37" spans="1:13" x14ac:dyDescent="0.2">
      <c r="A37" t="s">
        <v>97</v>
      </c>
      <c r="B37" t="s">
        <v>98</v>
      </c>
      <c r="C37" s="1">
        <v>45933</v>
      </c>
      <c r="D37" t="s">
        <v>96</v>
      </c>
      <c r="E37" t="s">
        <v>14</v>
      </c>
      <c r="F37" t="s">
        <v>24</v>
      </c>
      <c r="G37" t="s">
        <v>16</v>
      </c>
      <c r="H37">
        <v>2</v>
      </c>
      <c r="I37">
        <v>42.07</v>
      </c>
      <c r="J37" t="s">
        <v>34</v>
      </c>
      <c r="K37" t="s">
        <v>21</v>
      </c>
      <c r="L37">
        <f>WEEKDAY(Table1[[#This Row],[Transaction_Date]],2)</f>
        <v>5</v>
      </c>
      <c r="M37">
        <f>IF(Table1[[#This Row],[Sale_Type]]="Buffet",1,0)</f>
        <v>0</v>
      </c>
    </row>
    <row r="38" spans="1:13" x14ac:dyDescent="0.2">
      <c r="A38" t="s">
        <v>99</v>
      </c>
      <c r="B38" t="s">
        <v>100</v>
      </c>
      <c r="C38" s="1">
        <v>45933</v>
      </c>
      <c r="D38" t="s">
        <v>96</v>
      </c>
      <c r="E38" t="s">
        <v>14</v>
      </c>
      <c r="F38" t="s">
        <v>27</v>
      </c>
      <c r="G38" t="s">
        <v>16</v>
      </c>
      <c r="H38">
        <v>3</v>
      </c>
      <c r="I38">
        <v>59.24</v>
      </c>
      <c r="J38" t="s">
        <v>17</v>
      </c>
      <c r="K38" t="s">
        <v>18</v>
      </c>
      <c r="L38">
        <f>WEEKDAY(Table1[[#This Row],[Transaction_Date]],2)</f>
        <v>5</v>
      </c>
      <c r="M38">
        <f>IF(Table1[[#This Row],[Sale_Type]]="Buffet",1,0)</f>
        <v>0</v>
      </c>
    </row>
    <row r="39" spans="1:13" x14ac:dyDescent="0.2">
      <c r="A39" t="s">
        <v>101</v>
      </c>
      <c r="B39" t="s">
        <v>102</v>
      </c>
      <c r="C39" s="1">
        <v>45933</v>
      </c>
      <c r="D39" t="s">
        <v>96</v>
      </c>
      <c r="E39" t="s">
        <v>14</v>
      </c>
      <c r="F39" t="s">
        <v>31</v>
      </c>
      <c r="G39" t="s">
        <v>16</v>
      </c>
      <c r="H39">
        <v>4</v>
      </c>
      <c r="I39">
        <v>85.26</v>
      </c>
      <c r="J39" t="s">
        <v>34</v>
      </c>
      <c r="K39" t="s">
        <v>18</v>
      </c>
      <c r="L39">
        <f>WEEKDAY(Table1[[#This Row],[Transaction_Date]],2)</f>
        <v>5</v>
      </c>
      <c r="M39">
        <f>IF(Table1[[#This Row],[Sale_Type]]="Buffet",1,0)</f>
        <v>0</v>
      </c>
    </row>
    <row r="40" spans="1:13" x14ac:dyDescent="0.2">
      <c r="A40" t="s">
        <v>103</v>
      </c>
      <c r="B40" t="s">
        <v>104</v>
      </c>
      <c r="C40" s="1">
        <v>45933</v>
      </c>
      <c r="D40" t="s">
        <v>96</v>
      </c>
      <c r="E40" t="s">
        <v>43</v>
      </c>
      <c r="F40" t="s">
        <v>44</v>
      </c>
      <c r="G40" t="s">
        <v>16</v>
      </c>
      <c r="H40">
        <v>2</v>
      </c>
      <c r="I40">
        <v>58.57</v>
      </c>
      <c r="J40" t="s">
        <v>28</v>
      </c>
      <c r="K40" t="s">
        <v>21</v>
      </c>
      <c r="L40">
        <f>WEEKDAY(Table1[[#This Row],[Transaction_Date]],2)</f>
        <v>5</v>
      </c>
      <c r="M40">
        <f>IF(Table1[[#This Row],[Sale_Type]]="Buffet",1,0)</f>
        <v>0</v>
      </c>
    </row>
    <row r="41" spans="1:13" x14ac:dyDescent="0.2">
      <c r="A41" t="s">
        <v>105</v>
      </c>
      <c r="B41" t="s">
        <v>106</v>
      </c>
      <c r="C41" s="1">
        <v>45933</v>
      </c>
      <c r="D41" t="s">
        <v>96</v>
      </c>
      <c r="E41" t="s">
        <v>43</v>
      </c>
      <c r="F41" t="s">
        <v>44</v>
      </c>
      <c r="G41" t="s">
        <v>16</v>
      </c>
      <c r="H41">
        <v>3</v>
      </c>
      <c r="I41">
        <v>60.6</v>
      </c>
      <c r="J41" t="s">
        <v>34</v>
      </c>
      <c r="K41" t="s">
        <v>18</v>
      </c>
      <c r="L41">
        <f>WEEKDAY(Table1[[#This Row],[Transaction_Date]],2)</f>
        <v>5</v>
      </c>
      <c r="M41">
        <f>IF(Table1[[#This Row],[Sale_Type]]="Buffet",1,0)</f>
        <v>0</v>
      </c>
    </row>
    <row r="42" spans="1:13" x14ac:dyDescent="0.2">
      <c r="A42" t="s">
        <v>107</v>
      </c>
      <c r="B42" t="s">
        <v>100</v>
      </c>
      <c r="C42" s="1">
        <v>45933</v>
      </c>
      <c r="D42" t="s">
        <v>96</v>
      </c>
      <c r="E42" t="s">
        <v>43</v>
      </c>
      <c r="F42" t="s">
        <v>44</v>
      </c>
      <c r="G42" t="s">
        <v>45</v>
      </c>
      <c r="H42">
        <v>6</v>
      </c>
      <c r="I42">
        <v>124.5</v>
      </c>
      <c r="J42" t="s">
        <v>17</v>
      </c>
      <c r="K42" t="s">
        <v>18</v>
      </c>
      <c r="L42">
        <f>WEEKDAY(Table1[[#This Row],[Transaction_Date]],2)</f>
        <v>5</v>
      </c>
      <c r="M42">
        <f>IF(Table1[[#This Row],[Sale_Type]]="Buffet",1,0)</f>
        <v>1</v>
      </c>
    </row>
    <row r="43" spans="1:13" x14ac:dyDescent="0.2">
      <c r="A43" t="s">
        <v>108</v>
      </c>
      <c r="B43" t="s">
        <v>109</v>
      </c>
      <c r="C43" s="1">
        <v>45933</v>
      </c>
      <c r="D43" t="s">
        <v>96</v>
      </c>
      <c r="E43" t="s">
        <v>43</v>
      </c>
      <c r="F43" t="s">
        <v>44</v>
      </c>
      <c r="G43" t="s">
        <v>45</v>
      </c>
      <c r="H43">
        <v>2</v>
      </c>
      <c r="I43">
        <v>40</v>
      </c>
      <c r="J43" t="s">
        <v>17</v>
      </c>
      <c r="K43" t="s">
        <v>18</v>
      </c>
      <c r="L43">
        <f>WEEKDAY(Table1[[#This Row],[Transaction_Date]],2)</f>
        <v>5</v>
      </c>
      <c r="M43">
        <f>IF(Table1[[#This Row],[Sale_Type]]="Buffet",1,0)</f>
        <v>1</v>
      </c>
    </row>
    <row r="44" spans="1:13" x14ac:dyDescent="0.2">
      <c r="A44" t="s">
        <v>110</v>
      </c>
      <c r="B44" t="s">
        <v>111</v>
      </c>
      <c r="C44" s="1">
        <v>45933</v>
      </c>
      <c r="D44" t="s">
        <v>96</v>
      </c>
      <c r="E44" t="s">
        <v>43</v>
      </c>
      <c r="F44" t="s">
        <v>44</v>
      </c>
      <c r="G44" t="s">
        <v>45</v>
      </c>
      <c r="H44">
        <v>2</v>
      </c>
      <c r="I44">
        <v>44.5</v>
      </c>
      <c r="J44" t="s">
        <v>28</v>
      </c>
      <c r="K44" t="s">
        <v>21</v>
      </c>
      <c r="L44">
        <f>WEEKDAY(Table1[[#This Row],[Transaction_Date]],2)</f>
        <v>5</v>
      </c>
      <c r="M44">
        <f>IF(Table1[[#This Row],[Sale_Type]]="Buffet",1,0)</f>
        <v>1</v>
      </c>
    </row>
    <row r="45" spans="1:13" x14ac:dyDescent="0.2">
      <c r="A45" t="s">
        <v>112</v>
      </c>
      <c r="B45" t="s">
        <v>52</v>
      </c>
      <c r="C45" s="1">
        <v>45933</v>
      </c>
      <c r="D45" t="s">
        <v>96</v>
      </c>
      <c r="E45" t="s">
        <v>43</v>
      </c>
      <c r="F45" t="s">
        <v>44</v>
      </c>
      <c r="G45" t="s">
        <v>45</v>
      </c>
      <c r="H45">
        <v>2</v>
      </c>
      <c r="I45">
        <v>49</v>
      </c>
      <c r="J45" t="s">
        <v>17</v>
      </c>
      <c r="K45" t="s">
        <v>18</v>
      </c>
      <c r="L45">
        <f>WEEKDAY(Table1[[#This Row],[Transaction_Date]],2)</f>
        <v>5</v>
      </c>
      <c r="M45">
        <f>IF(Table1[[#This Row],[Sale_Type]]="Buffet",1,0)</f>
        <v>1</v>
      </c>
    </row>
    <row r="46" spans="1:13" x14ac:dyDescent="0.2">
      <c r="A46" t="s">
        <v>113</v>
      </c>
      <c r="B46" t="s">
        <v>104</v>
      </c>
      <c r="C46" s="1">
        <v>45933</v>
      </c>
      <c r="D46" t="s">
        <v>96</v>
      </c>
      <c r="E46" t="s">
        <v>43</v>
      </c>
      <c r="F46" t="s">
        <v>50</v>
      </c>
      <c r="G46" t="s">
        <v>16</v>
      </c>
      <c r="H46">
        <v>3</v>
      </c>
      <c r="I46">
        <v>43.39</v>
      </c>
      <c r="J46" t="s">
        <v>17</v>
      </c>
      <c r="K46" t="s">
        <v>21</v>
      </c>
      <c r="L46">
        <f>WEEKDAY(Table1[[#This Row],[Transaction_Date]],2)</f>
        <v>5</v>
      </c>
      <c r="M46">
        <f>IF(Table1[[#This Row],[Sale_Type]]="Buffet",1,0)</f>
        <v>0</v>
      </c>
    </row>
    <row r="47" spans="1:13" x14ac:dyDescent="0.2">
      <c r="A47" t="s">
        <v>114</v>
      </c>
      <c r="B47" t="s">
        <v>115</v>
      </c>
      <c r="C47" s="1">
        <v>45933</v>
      </c>
      <c r="D47" t="s">
        <v>96</v>
      </c>
      <c r="E47" t="s">
        <v>43</v>
      </c>
      <c r="F47" t="s">
        <v>53</v>
      </c>
      <c r="G47" t="s">
        <v>16</v>
      </c>
      <c r="H47">
        <v>1</v>
      </c>
      <c r="I47">
        <v>13.86</v>
      </c>
      <c r="J47" t="s">
        <v>34</v>
      </c>
      <c r="K47" t="s">
        <v>18</v>
      </c>
      <c r="L47">
        <f>WEEKDAY(Table1[[#This Row],[Transaction_Date]],2)</f>
        <v>5</v>
      </c>
      <c r="M47">
        <f>IF(Table1[[#This Row],[Sale_Type]]="Buffet",1,0)</f>
        <v>0</v>
      </c>
    </row>
    <row r="48" spans="1:13" x14ac:dyDescent="0.2">
      <c r="A48" t="s">
        <v>116</v>
      </c>
      <c r="B48" t="s">
        <v>117</v>
      </c>
      <c r="C48" s="1">
        <v>45933</v>
      </c>
      <c r="D48" t="s">
        <v>96</v>
      </c>
      <c r="E48" t="s">
        <v>43</v>
      </c>
      <c r="F48" t="s">
        <v>53</v>
      </c>
      <c r="G48" t="s">
        <v>45</v>
      </c>
      <c r="H48">
        <v>2</v>
      </c>
      <c r="I48">
        <v>40</v>
      </c>
      <c r="J48" t="s">
        <v>34</v>
      </c>
      <c r="K48" t="s">
        <v>18</v>
      </c>
      <c r="L48">
        <f>WEEKDAY(Table1[[#This Row],[Transaction_Date]],2)</f>
        <v>5</v>
      </c>
      <c r="M48">
        <f>IF(Table1[[#This Row],[Sale_Type]]="Buffet",1,0)</f>
        <v>1</v>
      </c>
    </row>
    <row r="49" spans="1:13" x14ac:dyDescent="0.2">
      <c r="A49" t="s">
        <v>118</v>
      </c>
      <c r="B49" t="s">
        <v>81</v>
      </c>
      <c r="C49" s="1">
        <v>45933</v>
      </c>
      <c r="D49" t="s">
        <v>96</v>
      </c>
      <c r="E49" t="s">
        <v>43</v>
      </c>
      <c r="F49" t="s">
        <v>53</v>
      </c>
      <c r="G49" t="s">
        <v>16</v>
      </c>
      <c r="H49">
        <v>1</v>
      </c>
      <c r="I49">
        <v>19.41</v>
      </c>
      <c r="J49" t="s">
        <v>17</v>
      </c>
      <c r="K49" t="s">
        <v>18</v>
      </c>
      <c r="L49">
        <f>WEEKDAY(Table1[[#This Row],[Transaction_Date]],2)</f>
        <v>5</v>
      </c>
      <c r="M49">
        <f>IF(Table1[[#This Row],[Sale_Type]]="Buffet",1,0)</f>
        <v>0</v>
      </c>
    </row>
    <row r="50" spans="1:13" x14ac:dyDescent="0.2">
      <c r="A50" t="s">
        <v>119</v>
      </c>
      <c r="B50" t="s">
        <v>120</v>
      </c>
      <c r="C50" s="1">
        <v>45933</v>
      </c>
      <c r="D50" t="s">
        <v>96</v>
      </c>
      <c r="E50" t="s">
        <v>43</v>
      </c>
      <c r="F50" t="s">
        <v>53</v>
      </c>
      <c r="G50" t="s">
        <v>45</v>
      </c>
      <c r="H50">
        <v>1</v>
      </c>
      <c r="I50">
        <v>20</v>
      </c>
      <c r="J50" t="s">
        <v>17</v>
      </c>
      <c r="K50" t="s">
        <v>18</v>
      </c>
      <c r="L50">
        <f>WEEKDAY(Table1[[#This Row],[Transaction_Date]],2)</f>
        <v>5</v>
      </c>
      <c r="M50">
        <f>IF(Table1[[#This Row],[Sale_Type]]="Buffet",1,0)</f>
        <v>1</v>
      </c>
    </row>
    <row r="51" spans="1:13" x14ac:dyDescent="0.2">
      <c r="A51" t="s">
        <v>121</v>
      </c>
      <c r="B51" t="s">
        <v>122</v>
      </c>
      <c r="C51" s="1">
        <v>45933</v>
      </c>
      <c r="D51" t="s">
        <v>96</v>
      </c>
      <c r="E51" t="s">
        <v>43</v>
      </c>
      <c r="F51" t="s">
        <v>57</v>
      </c>
      <c r="G51" t="s">
        <v>45</v>
      </c>
      <c r="H51">
        <v>2</v>
      </c>
      <c r="I51">
        <v>40</v>
      </c>
      <c r="J51" t="s">
        <v>34</v>
      </c>
      <c r="K51" t="s">
        <v>21</v>
      </c>
      <c r="L51">
        <f>WEEKDAY(Table1[[#This Row],[Transaction_Date]],2)</f>
        <v>5</v>
      </c>
      <c r="M51">
        <f>IF(Table1[[#This Row],[Sale_Type]]="Buffet",1,0)</f>
        <v>1</v>
      </c>
    </row>
    <row r="52" spans="1:13" x14ac:dyDescent="0.2">
      <c r="A52" t="s">
        <v>123</v>
      </c>
      <c r="B52" t="s">
        <v>124</v>
      </c>
      <c r="C52" s="1">
        <v>45933</v>
      </c>
      <c r="D52" t="s">
        <v>96</v>
      </c>
      <c r="E52" t="s">
        <v>43</v>
      </c>
      <c r="F52" t="s">
        <v>57</v>
      </c>
      <c r="G52" t="s">
        <v>16</v>
      </c>
      <c r="H52">
        <v>2</v>
      </c>
      <c r="I52">
        <v>45.77</v>
      </c>
      <c r="J52" t="s">
        <v>28</v>
      </c>
      <c r="K52" t="s">
        <v>18</v>
      </c>
      <c r="L52">
        <f>WEEKDAY(Table1[[#This Row],[Transaction_Date]],2)</f>
        <v>5</v>
      </c>
      <c r="M52">
        <f>IF(Table1[[#This Row],[Sale_Type]]="Buffet",1,0)</f>
        <v>0</v>
      </c>
    </row>
    <row r="53" spans="1:13" x14ac:dyDescent="0.2">
      <c r="A53" t="s">
        <v>125</v>
      </c>
      <c r="B53" t="s">
        <v>126</v>
      </c>
      <c r="C53" s="1">
        <v>45934</v>
      </c>
      <c r="D53" t="s">
        <v>127</v>
      </c>
      <c r="E53" t="s">
        <v>14</v>
      </c>
      <c r="F53" t="s">
        <v>15</v>
      </c>
      <c r="G53" t="s">
        <v>16</v>
      </c>
      <c r="H53">
        <v>4</v>
      </c>
      <c r="I53">
        <v>102.25</v>
      </c>
      <c r="J53" t="s">
        <v>34</v>
      </c>
      <c r="K53" t="s">
        <v>18</v>
      </c>
      <c r="L53">
        <f>WEEKDAY(Table1[[#This Row],[Transaction_Date]],2)</f>
        <v>6</v>
      </c>
      <c r="M53">
        <f>IF(Table1[[#This Row],[Sale_Type]]="Buffet",1,0)</f>
        <v>0</v>
      </c>
    </row>
    <row r="54" spans="1:13" x14ac:dyDescent="0.2">
      <c r="A54" t="s">
        <v>128</v>
      </c>
      <c r="B54" t="s">
        <v>129</v>
      </c>
      <c r="C54" s="1">
        <v>45934</v>
      </c>
      <c r="D54" t="s">
        <v>127</v>
      </c>
      <c r="E54" t="s">
        <v>14</v>
      </c>
      <c r="F54" t="s">
        <v>24</v>
      </c>
      <c r="G54" t="s">
        <v>16</v>
      </c>
      <c r="H54">
        <v>3</v>
      </c>
      <c r="I54">
        <v>59.45</v>
      </c>
      <c r="J54" t="s">
        <v>28</v>
      </c>
      <c r="K54" t="s">
        <v>21</v>
      </c>
      <c r="L54">
        <f>WEEKDAY(Table1[[#This Row],[Transaction_Date]],2)</f>
        <v>6</v>
      </c>
      <c r="M54">
        <f>IF(Table1[[#This Row],[Sale_Type]]="Buffet",1,0)</f>
        <v>0</v>
      </c>
    </row>
    <row r="55" spans="1:13" x14ac:dyDescent="0.2">
      <c r="A55" t="s">
        <v>130</v>
      </c>
      <c r="B55" t="s">
        <v>131</v>
      </c>
      <c r="C55" s="1">
        <v>45934</v>
      </c>
      <c r="D55" t="s">
        <v>127</v>
      </c>
      <c r="E55" t="s">
        <v>14</v>
      </c>
      <c r="F55" t="s">
        <v>24</v>
      </c>
      <c r="G55" t="s">
        <v>16</v>
      </c>
      <c r="H55">
        <v>2</v>
      </c>
      <c r="I55">
        <v>49.93</v>
      </c>
      <c r="J55" t="s">
        <v>17</v>
      </c>
      <c r="K55" t="s">
        <v>18</v>
      </c>
      <c r="L55">
        <f>WEEKDAY(Table1[[#This Row],[Transaction_Date]],2)</f>
        <v>6</v>
      </c>
      <c r="M55">
        <f>IF(Table1[[#This Row],[Sale_Type]]="Buffet",1,0)</f>
        <v>0</v>
      </c>
    </row>
    <row r="56" spans="1:13" x14ac:dyDescent="0.2">
      <c r="A56" t="s">
        <v>132</v>
      </c>
      <c r="B56" t="s">
        <v>133</v>
      </c>
      <c r="C56" s="1">
        <v>45934</v>
      </c>
      <c r="D56" t="s">
        <v>127</v>
      </c>
      <c r="E56" t="s">
        <v>14</v>
      </c>
      <c r="F56" t="s">
        <v>24</v>
      </c>
      <c r="G56" t="s">
        <v>16</v>
      </c>
      <c r="H56">
        <v>5</v>
      </c>
      <c r="I56">
        <v>142.03</v>
      </c>
      <c r="J56" t="s">
        <v>34</v>
      </c>
      <c r="K56" t="s">
        <v>18</v>
      </c>
      <c r="L56">
        <f>WEEKDAY(Table1[[#This Row],[Transaction_Date]],2)</f>
        <v>6</v>
      </c>
      <c r="M56">
        <f>IF(Table1[[#This Row],[Sale_Type]]="Buffet",1,0)</f>
        <v>0</v>
      </c>
    </row>
    <row r="57" spans="1:13" x14ac:dyDescent="0.2">
      <c r="A57" t="s">
        <v>134</v>
      </c>
      <c r="B57" t="s">
        <v>135</v>
      </c>
      <c r="C57" s="1">
        <v>45934</v>
      </c>
      <c r="D57" t="s">
        <v>127</v>
      </c>
      <c r="E57" t="s">
        <v>14</v>
      </c>
      <c r="F57" t="s">
        <v>24</v>
      </c>
      <c r="G57" t="s">
        <v>16</v>
      </c>
      <c r="H57">
        <v>1</v>
      </c>
      <c r="I57">
        <v>40.909999999999997</v>
      </c>
      <c r="J57" t="s">
        <v>34</v>
      </c>
      <c r="K57" t="s">
        <v>21</v>
      </c>
      <c r="L57">
        <f>WEEKDAY(Table1[[#This Row],[Transaction_Date]],2)</f>
        <v>6</v>
      </c>
      <c r="M57">
        <f>IF(Table1[[#This Row],[Sale_Type]]="Buffet",1,0)</f>
        <v>0</v>
      </c>
    </row>
    <row r="58" spans="1:13" x14ac:dyDescent="0.2">
      <c r="A58" t="s">
        <v>136</v>
      </c>
      <c r="B58" t="s">
        <v>102</v>
      </c>
      <c r="C58" s="1">
        <v>45934</v>
      </c>
      <c r="D58" t="s">
        <v>127</v>
      </c>
      <c r="E58" t="s">
        <v>14</v>
      </c>
      <c r="F58" t="s">
        <v>27</v>
      </c>
      <c r="G58" t="s">
        <v>16</v>
      </c>
      <c r="H58">
        <v>2</v>
      </c>
      <c r="I58">
        <v>32.83</v>
      </c>
      <c r="J58" t="s">
        <v>34</v>
      </c>
      <c r="K58" t="s">
        <v>18</v>
      </c>
      <c r="L58">
        <f>WEEKDAY(Table1[[#This Row],[Transaction_Date]],2)</f>
        <v>6</v>
      </c>
      <c r="M58">
        <f>IF(Table1[[#This Row],[Sale_Type]]="Buffet",1,0)</f>
        <v>0</v>
      </c>
    </row>
    <row r="59" spans="1:13" x14ac:dyDescent="0.2">
      <c r="A59" t="s">
        <v>137</v>
      </c>
      <c r="B59" t="s">
        <v>138</v>
      </c>
      <c r="C59" s="1">
        <v>45934</v>
      </c>
      <c r="D59" t="s">
        <v>127</v>
      </c>
      <c r="E59" t="s">
        <v>14</v>
      </c>
      <c r="F59" t="s">
        <v>27</v>
      </c>
      <c r="G59" t="s">
        <v>16</v>
      </c>
      <c r="H59">
        <v>1</v>
      </c>
      <c r="I59">
        <v>20.38</v>
      </c>
      <c r="J59" t="s">
        <v>17</v>
      </c>
      <c r="K59" t="s">
        <v>18</v>
      </c>
      <c r="L59">
        <f>WEEKDAY(Table1[[#This Row],[Transaction_Date]],2)</f>
        <v>6</v>
      </c>
      <c r="M59">
        <f>IF(Table1[[#This Row],[Sale_Type]]="Buffet",1,0)</f>
        <v>0</v>
      </c>
    </row>
    <row r="60" spans="1:13" x14ac:dyDescent="0.2">
      <c r="A60" t="s">
        <v>139</v>
      </c>
      <c r="B60" t="s">
        <v>140</v>
      </c>
      <c r="C60" s="1">
        <v>45934</v>
      </c>
      <c r="D60" t="s">
        <v>127</v>
      </c>
      <c r="E60" t="s">
        <v>14</v>
      </c>
      <c r="F60" t="s">
        <v>27</v>
      </c>
      <c r="G60" t="s">
        <v>16</v>
      </c>
      <c r="H60">
        <v>5</v>
      </c>
      <c r="I60">
        <v>178.41</v>
      </c>
      <c r="J60" t="s">
        <v>28</v>
      </c>
      <c r="K60" t="s">
        <v>18</v>
      </c>
      <c r="L60">
        <f>WEEKDAY(Table1[[#This Row],[Transaction_Date]],2)</f>
        <v>6</v>
      </c>
      <c r="M60">
        <f>IF(Table1[[#This Row],[Sale_Type]]="Buffet",1,0)</f>
        <v>0</v>
      </c>
    </row>
    <row r="61" spans="1:13" x14ac:dyDescent="0.2">
      <c r="A61" t="s">
        <v>141</v>
      </c>
      <c r="B61" t="s">
        <v>142</v>
      </c>
      <c r="C61" s="1">
        <v>45934</v>
      </c>
      <c r="D61" t="s">
        <v>127</v>
      </c>
      <c r="E61" t="s">
        <v>14</v>
      </c>
      <c r="F61" t="s">
        <v>27</v>
      </c>
      <c r="G61" t="s">
        <v>16</v>
      </c>
      <c r="H61">
        <v>2</v>
      </c>
      <c r="I61">
        <v>35.97</v>
      </c>
      <c r="J61" t="s">
        <v>34</v>
      </c>
      <c r="K61" t="s">
        <v>18</v>
      </c>
      <c r="L61">
        <f>WEEKDAY(Table1[[#This Row],[Transaction_Date]],2)</f>
        <v>6</v>
      </c>
      <c r="M61">
        <f>IF(Table1[[#This Row],[Sale_Type]]="Buffet",1,0)</f>
        <v>0</v>
      </c>
    </row>
    <row r="62" spans="1:13" x14ac:dyDescent="0.2">
      <c r="A62" t="s">
        <v>143</v>
      </c>
      <c r="B62" t="s">
        <v>144</v>
      </c>
      <c r="C62" s="1">
        <v>45934</v>
      </c>
      <c r="D62" t="s">
        <v>127</v>
      </c>
      <c r="E62" t="s">
        <v>14</v>
      </c>
      <c r="F62" t="s">
        <v>27</v>
      </c>
      <c r="G62" t="s">
        <v>16</v>
      </c>
      <c r="H62">
        <v>1</v>
      </c>
      <c r="I62">
        <v>43.56</v>
      </c>
      <c r="J62" t="s">
        <v>34</v>
      </c>
      <c r="K62" t="s">
        <v>18</v>
      </c>
      <c r="L62">
        <f>WEEKDAY(Table1[[#This Row],[Transaction_Date]],2)</f>
        <v>6</v>
      </c>
      <c r="M62">
        <f>IF(Table1[[#This Row],[Sale_Type]]="Buffet",1,0)</f>
        <v>0</v>
      </c>
    </row>
    <row r="63" spans="1:13" x14ac:dyDescent="0.2">
      <c r="A63" t="s">
        <v>145</v>
      </c>
      <c r="B63" t="s">
        <v>146</v>
      </c>
      <c r="C63" s="1">
        <v>45934</v>
      </c>
      <c r="D63" t="s">
        <v>127</v>
      </c>
      <c r="E63" t="s">
        <v>14</v>
      </c>
      <c r="F63" t="s">
        <v>27</v>
      </c>
      <c r="G63" t="s">
        <v>16</v>
      </c>
      <c r="H63">
        <v>2</v>
      </c>
      <c r="I63">
        <v>51.41</v>
      </c>
      <c r="J63" t="s">
        <v>34</v>
      </c>
      <c r="K63" t="s">
        <v>21</v>
      </c>
      <c r="L63">
        <f>WEEKDAY(Table1[[#This Row],[Transaction_Date]],2)</f>
        <v>6</v>
      </c>
      <c r="M63">
        <f>IF(Table1[[#This Row],[Sale_Type]]="Buffet",1,0)</f>
        <v>0</v>
      </c>
    </row>
    <row r="64" spans="1:13" x14ac:dyDescent="0.2">
      <c r="A64" t="s">
        <v>147</v>
      </c>
      <c r="B64" t="s">
        <v>148</v>
      </c>
      <c r="C64" s="1">
        <v>45934</v>
      </c>
      <c r="D64" t="s">
        <v>127</v>
      </c>
      <c r="E64" t="s">
        <v>14</v>
      </c>
      <c r="F64" t="s">
        <v>27</v>
      </c>
      <c r="G64" t="s">
        <v>16</v>
      </c>
      <c r="H64">
        <v>3</v>
      </c>
      <c r="I64">
        <v>75.599999999999994</v>
      </c>
      <c r="J64" t="s">
        <v>17</v>
      </c>
      <c r="K64" t="s">
        <v>18</v>
      </c>
      <c r="L64">
        <f>WEEKDAY(Table1[[#This Row],[Transaction_Date]],2)</f>
        <v>6</v>
      </c>
      <c r="M64">
        <f>IF(Table1[[#This Row],[Sale_Type]]="Buffet",1,0)</f>
        <v>0</v>
      </c>
    </row>
    <row r="65" spans="1:13" x14ac:dyDescent="0.2">
      <c r="A65" t="s">
        <v>149</v>
      </c>
      <c r="B65" t="s">
        <v>150</v>
      </c>
      <c r="C65" s="1">
        <v>45934</v>
      </c>
      <c r="D65" t="s">
        <v>127</v>
      </c>
      <c r="E65" t="s">
        <v>14</v>
      </c>
      <c r="F65" t="s">
        <v>27</v>
      </c>
      <c r="G65" t="s">
        <v>16</v>
      </c>
      <c r="H65">
        <v>2</v>
      </c>
      <c r="I65">
        <v>41.59</v>
      </c>
      <c r="J65" t="s">
        <v>28</v>
      </c>
      <c r="K65" t="s">
        <v>18</v>
      </c>
      <c r="L65">
        <f>WEEKDAY(Table1[[#This Row],[Transaction_Date]],2)</f>
        <v>6</v>
      </c>
      <c r="M65">
        <f>IF(Table1[[#This Row],[Sale_Type]]="Buffet",1,0)</f>
        <v>0</v>
      </c>
    </row>
    <row r="66" spans="1:13" x14ac:dyDescent="0.2">
      <c r="A66" t="s">
        <v>151</v>
      </c>
      <c r="B66" t="s">
        <v>152</v>
      </c>
      <c r="C66" s="1">
        <v>45934</v>
      </c>
      <c r="D66" t="s">
        <v>127</v>
      </c>
      <c r="E66" t="s">
        <v>14</v>
      </c>
      <c r="F66" t="s">
        <v>31</v>
      </c>
      <c r="G66" t="s">
        <v>16</v>
      </c>
      <c r="H66">
        <v>4</v>
      </c>
      <c r="I66">
        <v>101.47</v>
      </c>
      <c r="J66" t="s">
        <v>17</v>
      </c>
      <c r="K66" t="s">
        <v>18</v>
      </c>
      <c r="L66">
        <f>WEEKDAY(Table1[[#This Row],[Transaction_Date]],2)</f>
        <v>6</v>
      </c>
      <c r="M66">
        <f>IF(Table1[[#This Row],[Sale_Type]]="Buffet",1,0)</f>
        <v>0</v>
      </c>
    </row>
    <row r="67" spans="1:13" x14ac:dyDescent="0.2">
      <c r="A67" t="s">
        <v>153</v>
      </c>
      <c r="B67" t="s">
        <v>154</v>
      </c>
      <c r="C67" s="1">
        <v>45934</v>
      </c>
      <c r="D67" t="s">
        <v>127</v>
      </c>
      <c r="E67" t="s">
        <v>14</v>
      </c>
      <c r="F67" t="s">
        <v>31</v>
      </c>
      <c r="G67" t="s">
        <v>16</v>
      </c>
      <c r="H67">
        <v>2</v>
      </c>
      <c r="I67">
        <v>47.93</v>
      </c>
      <c r="J67" t="s">
        <v>34</v>
      </c>
      <c r="K67" t="s">
        <v>18</v>
      </c>
      <c r="L67">
        <f>WEEKDAY(Table1[[#This Row],[Transaction_Date]],2)</f>
        <v>6</v>
      </c>
      <c r="M67">
        <f>IF(Table1[[#This Row],[Sale_Type]]="Buffet",1,0)</f>
        <v>0</v>
      </c>
    </row>
    <row r="68" spans="1:13" x14ac:dyDescent="0.2">
      <c r="A68" t="s">
        <v>155</v>
      </c>
      <c r="B68" t="s">
        <v>156</v>
      </c>
      <c r="C68" s="1">
        <v>45934</v>
      </c>
      <c r="D68" t="s">
        <v>127</v>
      </c>
      <c r="E68" t="s">
        <v>14</v>
      </c>
      <c r="F68" t="s">
        <v>31</v>
      </c>
      <c r="G68" t="s">
        <v>16</v>
      </c>
      <c r="H68">
        <v>3</v>
      </c>
      <c r="I68">
        <v>67.39</v>
      </c>
      <c r="J68" t="s">
        <v>28</v>
      </c>
      <c r="K68" t="s">
        <v>18</v>
      </c>
      <c r="L68">
        <f>WEEKDAY(Table1[[#This Row],[Transaction_Date]],2)</f>
        <v>6</v>
      </c>
      <c r="M68">
        <f>IF(Table1[[#This Row],[Sale_Type]]="Buffet",1,0)</f>
        <v>0</v>
      </c>
    </row>
    <row r="69" spans="1:13" x14ac:dyDescent="0.2">
      <c r="A69" t="s">
        <v>157</v>
      </c>
      <c r="B69" t="s">
        <v>158</v>
      </c>
      <c r="C69" s="1">
        <v>45934</v>
      </c>
      <c r="D69" t="s">
        <v>127</v>
      </c>
      <c r="E69" t="s">
        <v>14</v>
      </c>
      <c r="F69" t="s">
        <v>31</v>
      </c>
      <c r="G69" t="s">
        <v>16</v>
      </c>
      <c r="H69">
        <v>4</v>
      </c>
      <c r="I69">
        <v>137.5</v>
      </c>
      <c r="J69" t="s">
        <v>34</v>
      </c>
      <c r="K69" t="s">
        <v>18</v>
      </c>
      <c r="L69">
        <f>WEEKDAY(Table1[[#This Row],[Transaction_Date]],2)</f>
        <v>6</v>
      </c>
      <c r="M69">
        <f>IF(Table1[[#This Row],[Sale_Type]]="Buffet",1,0)</f>
        <v>0</v>
      </c>
    </row>
    <row r="70" spans="1:13" x14ac:dyDescent="0.2">
      <c r="A70" t="s">
        <v>159</v>
      </c>
      <c r="B70" t="s">
        <v>160</v>
      </c>
      <c r="C70" s="1">
        <v>45934</v>
      </c>
      <c r="D70" t="s">
        <v>127</v>
      </c>
      <c r="E70" t="s">
        <v>14</v>
      </c>
      <c r="F70" t="s">
        <v>40</v>
      </c>
      <c r="G70" t="s">
        <v>16</v>
      </c>
      <c r="H70">
        <v>1</v>
      </c>
      <c r="I70">
        <v>26.98</v>
      </c>
      <c r="J70" t="s">
        <v>17</v>
      </c>
      <c r="K70" t="s">
        <v>21</v>
      </c>
      <c r="L70">
        <f>WEEKDAY(Table1[[#This Row],[Transaction_Date]],2)</f>
        <v>6</v>
      </c>
      <c r="M70">
        <f>IF(Table1[[#This Row],[Sale_Type]]="Buffet",1,0)</f>
        <v>0</v>
      </c>
    </row>
    <row r="71" spans="1:13" x14ac:dyDescent="0.2">
      <c r="A71" t="s">
        <v>161</v>
      </c>
      <c r="B71" t="s">
        <v>26</v>
      </c>
      <c r="C71" s="1">
        <v>45934</v>
      </c>
      <c r="D71" t="s">
        <v>127</v>
      </c>
      <c r="E71" t="s">
        <v>14</v>
      </c>
      <c r="F71" t="s">
        <v>40</v>
      </c>
      <c r="G71" t="s">
        <v>16</v>
      </c>
      <c r="H71">
        <v>4</v>
      </c>
      <c r="I71">
        <v>98.35</v>
      </c>
      <c r="J71" t="s">
        <v>34</v>
      </c>
      <c r="K71" t="s">
        <v>18</v>
      </c>
      <c r="L71">
        <f>WEEKDAY(Table1[[#This Row],[Transaction_Date]],2)</f>
        <v>6</v>
      </c>
      <c r="M71">
        <f>IF(Table1[[#This Row],[Sale_Type]]="Buffet",1,0)</f>
        <v>0</v>
      </c>
    </row>
    <row r="72" spans="1:13" x14ac:dyDescent="0.2">
      <c r="A72" t="s">
        <v>162</v>
      </c>
      <c r="B72" t="s">
        <v>163</v>
      </c>
      <c r="C72" s="1">
        <v>45934</v>
      </c>
      <c r="D72" t="s">
        <v>127</v>
      </c>
      <c r="E72" t="s">
        <v>14</v>
      </c>
      <c r="F72" t="s">
        <v>40</v>
      </c>
      <c r="G72" t="s">
        <v>16</v>
      </c>
      <c r="H72">
        <v>6</v>
      </c>
      <c r="I72">
        <v>245.84</v>
      </c>
      <c r="J72" t="s">
        <v>17</v>
      </c>
      <c r="K72" t="s">
        <v>18</v>
      </c>
      <c r="L72">
        <f>WEEKDAY(Table1[[#This Row],[Transaction_Date]],2)</f>
        <v>6</v>
      </c>
      <c r="M72">
        <f>IF(Table1[[#This Row],[Sale_Type]]="Buffet",1,0)</f>
        <v>0</v>
      </c>
    </row>
    <row r="73" spans="1:13" x14ac:dyDescent="0.2">
      <c r="A73" t="s">
        <v>164</v>
      </c>
      <c r="B73" t="s">
        <v>165</v>
      </c>
      <c r="C73" s="1">
        <v>45934</v>
      </c>
      <c r="D73" t="s">
        <v>127</v>
      </c>
      <c r="E73" t="s">
        <v>14</v>
      </c>
      <c r="F73" t="s">
        <v>40</v>
      </c>
      <c r="G73" t="s">
        <v>16</v>
      </c>
      <c r="H73">
        <v>4</v>
      </c>
      <c r="I73">
        <v>76.84</v>
      </c>
      <c r="J73" t="s">
        <v>17</v>
      </c>
      <c r="K73" t="s">
        <v>18</v>
      </c>
      <c r="L73">
        <f>WEEKDAY(Table1[[#This Row],[Transaction_Date]],2)</f>
        <v>6</v>
      </c>
      <c r="M73">
        <f>IF(Table1[[#This Row],[Sale_Type]]="Buffet",1,0)</f>
        <v>0</v>
      </c>
    </row>
    <row r="74" spans="1:13" x14ac:dyDescent="0.2">
      <c r="A74" t="s">
        <v>166</v>
      </c>
      <c r="B74" t="s">
        <v>167</v>
      </c>
      <c r="C74" s="1">
        <v>45934</v>
      </c>
      <c r="D74" t="s">
        <v>127</v>
      </c>
      <c r="E74" t="s">
        <v>14</v>
      </c>
      <c r="F74" t="s">
        <v>40</v>
      </c>
      <c r="G74" t="s">
        <v>16</v>
      </c>
      <c r="H74">
        <v>5</v>
      </c>
      <c r="I74">
        <v>219.47</v>
      </c>
      <c r="J74" t="s">
        <v>28</v>
      </c>
      <c r="K74" t="s">
        <v>18</v>
      </c>
      <c r="L74">
        <f>WEEKDAY(Table1[[#This Row],[Transaction_Date]],2)</f>
        <v>6</v>
      </c>
      <c r="M74">
        <f>IF(Table1[[#This Row],[Sale_Type]]="Buffet",1,0)</f>
        <v>0</v>
      </c>
    </row>
    <row r="75" spans="1:13" x14ac:dyDescent="0.2">
      <c r="A75" t="s">
        <v>168</v>
      </c>
      <c r="B75" t="s">
        <v>42</v>
      </c>
      <c r="C75" s="1">
        <v>45934</v>
      </c>
      <c r="D75" t="s">
        <v>127</v>
      </c>
      <c r="E75" t="s">
        <v>43</v>
      </c>
      <c r="F75" t="s">
        <v>53</v>
      </c>
      <c r="G75" t="s">
        <v>16</v>
      </c>
      <c r="H75">
        <v>3</v>
      </c>
      <c r="I75">
        <v>67.16</v>
      </c>
      <c r="J75" t="s">
        <v>17</v>
      </c>
      <c r="K75" t="s">
        <v>21</v>
      </c>
      <c r="L75">
        <f>WEEKDAY(Table1[[#This Row],[Transaction_Date]],2)</f>
        <v>6</v>
      </c>
      <c r="M75">
        <f>IF(Table1[[#This Row],[Sale_Type]]="Buffet",1,0)</f>
        <v>0</v>
      </c>
    </row>
    <row r="76" spans="1:13" x14ac:dyDescent="0.2">
      <c r="A76" t="s">
        <v>169</v>
      </c>
      <c r="B76" t="s">
        <v>170</v>
      </c>
      <c r="C76" s="1">
        <v>45935</v>
      </c>
      <c r="D76" t="s">
        <v>171</v>
      </c>
      <c r="E76" t="s">
        <v>14</v>
      </c>
      <c r="F76" t="s">
        <v>15</v>
      </c>
      <c r="G76" t="s">
        <v>16</v>
      </c>
      <c r="H76">
        <v>5</v>
      </c>
      <c r="I76">
        <v>292.7</v>
      </c>
      <c r="J76" t="s">
        <v>17</v>
      </c>
      <c r="K76" t="s">
        <v>21</v>
      </c>
      <c r="L76">
        <f>WEEKDAY(Table1[[#This Row],[Transaction_Date]],2)</f>
        <v>7</v>
      </c>
      <c r="M76">
        <f>IF(Table1[[#This Row],[Sale_Type]]="Buffet",1,0)</f>
        <v>0</v>
      </c>
    </row>
    <row r="77" spans="1:13" x14ac:dyDescent="0.2">
      <c r="A77" t="s">
        <v>172</v>
      </c>
      <c r="B77" t="s">
        <v>95</v>
      </c>
      <c r="C77" s="1">
        <v>45935</v>
      </c>
      <c r="D77" t="s">
        <v>171</v>
      </c>
      <c r="E77" t="s">
        <v>14</v>
      </c>
      <c r="F77" t="s">
        <v>15</v>
      </c>
      <c r="G77" t="s">
        <v>16</v>
      </c>
      <c r="H77">
        <v>1</v>
      </c>
      <c r="I77">
        <v>18.37</v>
      </c>
      <c r="J77" t="s">
        <v>34</v>
      </c>
      <c r="K77" t="s">
        <v>21</v>
      </c>
      <c r="L77">
        <f>WEEKDAY(Table1[[#This Row],[Transaction_Date]],2)</f>
        <v>7</v>
      </c>
      <c r="M77">
        <f>IF(Table1[[#This Row],[Sale_Type]]="Buffet",1,0)</f>
        <v>0</v>
      </c>
    </row>
    <row r="78" spans="1:13" x14ac:dyDescent="0.2">
      <c r="A78" t="s">
        <v>173</v>
      </c>
      <c r="B78" t="s">
        <v>174</v>
      </c>
      <c r="C78" s="1">
        <v>45935</v>
      </c>
      <c r="D78" t="s">
        <v>171</v>
      </c>
      <c r="E78" t="s">
        <v>14</v>
      </c>
      <c r="F78" t="s">
        <v>24</v>
      </c>
      <c r="G78" t="s">
        <v>16</v>
      </c>
      <c r="H78">
        <v>5</v>
      </c>
      <c r="I78">
        <v>175.32</v>
      </c>
      <c r="J78" t="s">
        <v>28</v>
      </c>
      <c r="K78" t="s">
        <v>18</v>
      </c>
      <c r="L78">
        <f>WEEKDAY(Table1[[#This Row],[Transaction_Date]],2)</f>
        <v>7</v>
      </c>
      <c r="M78">
        <f>IF(Table1[[#This Row],[Sale_Type]]="Buffet",1,0)</f>
        <v>0</v>
      </c>
    </row>
    <row r="79" spans="1:13" x14ac:dyDescent="0.2">
      <c r="A79" t="s">
        <v>175</v>
      </c>
      <c r="B79" t="s">
        <v>176</v>
      </c>
      <c r="C79" s="1">
        <v>45935</v>
      </c>
      <c r="D79" t="s">
        <v>171</v>
      </c>
      <c r="E79" t="s">
        <v>14</v>
      </c>
      <c r="F79" t="s">
        <v>24</v>
      </c>
      <c r="G79" t="s">
        <v>16</v>
      </c>
      <c r="H79">
        <v>5</v>
      </c>
      <c r="I79">
        <v>106.23</v>
      </c>
      <c r="J79" t="s">
        <v>17</v>
      </c>
      <c r="K79" t="s">
        <v>21</v>
      </c>
      <c r="L79">
        <f>WEEKDAY(Table1[[#This Row],[Transaction_Date]],2)</f>
        <v>7</v>
      </c>
      <c r="M79">
        <f>IF(Table1[[#This Row],[Sale_Type]]="Buffet",1,0)</f>
        <v>0</v>
      </c>
    </row>
    <row r="80" spans="1:13" x14ac:dyDescent="0.2">
      <c r="A80" t="s">
        <v>177</v>
      </c>
      <c r="B80" t="s">
        <v>178</v>
      </c>
      <c r="C80" s="1">
        <v>45935</v>
      </c>
      <c r="D80" t="s">
        <v>171</v>
      </c>
      <c r="E80" t="s">
        <v>14</v>
      </c>
      <c r="F80" t="s">
        <v>24</v>
      </c>
      <c r="G80" t="s">
        <v>16</v>
      </c>
      <c r="H80">
        <v>5</v>
      </c>
      <c r="I80">
        <v>149.76</v>
      </c>
      <c r="J80" t="s">
        <v>34</v>
      </c>
      <c r="K80" t="s">
        <v>18</v>
      </c>
      <c r="L80">
        <f>WEEKDAY(Table1[[#This Row],[Transaction_Date]],2)</f>
        <v>7</v>
      </c>
      <c r="M80">
        <f>IF(Table1[[#This Row],[Sale_Type]]="Buffet",1,0)</f>
        <v>0</v>
      </c>
    </row>
    <row r="81" spans="1:13" x14ac:dyDescent="0.2">
      <c r="A81" t="s">
        <v>179</v>
      </c>
      <c r="B81" t="s">
        <v>180</v>
      </c>
      <c r="C81" s="1">
        <v>45935</v>
      </c>
      <c r="D81" t="s">
        <v>171</v>
      </c>
      <c r="E81" t="s">
        <v>14</v>
      </c>
      <c r="F81" t="s">
        <v>24</v>
      </c>
      <c r="G81" t="s">
        <v>16</v>
      </c>
      <c r="H81">
        <v>4</v>
      </c>
      <c r="I81">
        <v>61.58</v>
      </c>
      <c r="J81" t="s">
        <v>17</v>
      </c>
      <c r="K81" t="s">
        <v>21</v>
      </c>
      <c r="L81">
        <f>WEEKDAY(Table1[[#This Row],[Transaction_Date]],2)</f>
        <v>7</v>
      </c>
      <c r="M81">
        <f>IF(Table1[[#This Row],[Sale_Type]]="Buffet",1,0)</f>
        <v>0</v>
      </c>
    </row>
    <row r="82" spans="1:13" x14ac:dyDescent="0.2">
      <c r="A82" t="s">
        <v>181</v>
      </c>
      <c r="B82" t="s">
        <v>182</v>
      </c>
      <c r="C82" s="1">
        <v>45935</v>
      </c>
      <c r="D82" t="s">
        <v>171</v>
      </c>
      <c r="E82" t="s">
        <v>14</v>
      </c>
      <c r="F82" t="s">
        <v>24</v>
      </c>
      <c r="G82" t="s">
        <v>16</v>
      </c>
      <c r="H82">
        <v>5</v>
      </c>
      <c r="I82">
        <v>97.41</v>
      </c>
      <c r="J82" t="s">
        <v>34</v>
      </c>
      <c r="K82" t="s">
        <v>18</v>
      </c>
      <c r="L82">
        <f>WEEKDAY(Table1[[#This Row],[Transaction_Date]],2)</f>
        <v>7</v>
      </c>
      <c r="M82">
        <f>IF(Table1[[#This Row],[Sale_Type]]="Buffet",1,0)</f>
        <v>0</v>
      </c>
    </row>
    <row r="83" spans="1:13" x14ac:dyDescent="0.2">
      <c r="A83" t="s">
        <v>183</v>
      </c>
      <c r="B83" t="s">
        <v>140</v>
      </c>
      <c r="C83" s="1">
        <v>45935</v>
      </c>
      <c r="D83" t="s">
        <v>171</v>
      </c>
      <c r="E83" t="s">
        <v>14</v>
      </c>
      <c r="F83" t="s">
        <v>27</v>
      </c>
      <c r="G83" t="s">
        <v>16</v>
      </c>
      <c r="H83">
        <v>2</v>
      </c>
      <c r="I83">
        <v>68.66</v>
      </c>
      <c r="J83" t="s">
        <v>17</v>
      </c>
      <c r="K83" t="s">
        <v>21</v>
      </c>
      <c r="L83">
        <f>WEEKDAY(Table1[[#This Row],[Transaction_Date]],2)</f>
        <v>7</v>
      </c>
      <c r="M83">
        <f>IF(Table1[[#This Row],[Sale_Type]]="Buffet",1,0)</f>
        <v>0</v>
      </c>
    </row>
    <row r="84" spans="1:13" x14ac:dyDescent="0.2">
      <c r="A84" t="s">
        <v>184</v>
      </c>
      <c r="B84" t="s">
        <v>185</v>
      </c>
      <c r="C84" s="1">
        <v>45935</v>
      </c>
      <c r="D84" t="s">
        <v>171</v>
      </c>
      <c r="E84" t="s">
        <v>14</v>
      </c>
      <c r="F84" t="s">
        <v>27</v>
      </c>
      <c r="G84" t="s">
        <v>16</v>
      </c>
      <c r="H84">
        <v>5</v>
      </c>
      <c r="I84">
        <v>116.34</v>
      </c>
      <c r="J84" t="s">
        <v>17</v>
      </c>
      <c r="K84" t="s">
        <v>21</v>
      </c>
      <c r="L84">
        <f>WEEKDAY(Table1[[#This Row],[Transaction_Date]],2)</f>
        <v>7</v>
      </c>
      <c r="M84">
        <f>IF(Table1[[#This Row],[Sale_Type]]="Buffet",1,0)</f>
        <v>0</v>
      </c>
    </row>
    <row r="85" spans="1:13" x14ac:dyDescent="0.2">
      <c r="A85" t="s">
        <v>186</v>
      </c>
      <c r="B85" t="s">
        <v>182</v>
      </c>
      <c r="C85" s="1">
        <v>45935</v>
      </c>
      <c r="D85" t="s">
        <v>171</v>
      </c>
      <c r="E85" t="s">
        <v>14</v>
      </c>
      <c r="F85" t="s">
        <v>27</v>
      </c>
      <c r="G85" t="s">
        <v>16</v>
      </c>
      <c r="H85">
        <v>3</v>
      </c>
      <c r="I85">
        <v>89.82</v>
      </c>
      <c r="J85" t="s">
        <v>34</v>
      </c>
      <c r="K85" t="s">
        <v>21</v>
      </c>
      <c r="L85">
        <f>WEEKDAY(Table1[[#This Row],[Transaction_Date]],2)</f>
        <v>7</v>
      </c>
      <c r="M85">
        <f>IF(Table1[[#This Row],[Sale_Type]]="Buffet",1,0)</f>
        <v>0</v>
      </c>
    </row>
    <row r="86" spans="1:13" x14ac:dyDescent="0.2">
      <c r="A86" t="s">
        <v>187</v>
      </c>
      <c r="B86" t="s">
        <v>188</v>
      </c>
      <c r="C86" s="1">
        <v>45935</v>
      </c>
      <c r="D86" t="s">
        <v>171</v>
      </c>
      <c r="E86" t="s">
        <v>14</v>
      </c>
      <c r="F86" t="s">
        <v>27</v>
      </c>
      <c r="G86" t="s">
        <v>16</v>
      </c>
      <c r="H86">
        <v>3</v>
      </c>
      <c r="I86">
        <v>59.15</v>
      </c>
      <c r="J86" t="s">
        <v>17</v>
      </c>
      <c r="K86" t="s">
        <v>18</v>
      </c>
      <c r="L86">
        <f>WEEKDAY(Table1[[#This Row],[Transaction_Date]],2)</f>
        <v>7</v>
      </c>
      <c r="M86">
        <f>IF(Table1[[#This Row],[Sale_Type]]="Buffet",1,0)</f>
        <v>0</v>
      </c>
    </row>
    <row r="87" spans="1:13" x14ac:dyDescent="0.2">
      <c r="A87" t="s">
        <v>189</v>
      </c>
      <c r="B87" t="s">
        <v>70</v>
      </c>
      <c r="C87" s="1">
        <v>45935</v>
      </c>
      <c r="D87" t="s">
        <v>171</v>
      </c>
      <c r="E87" t="s">
        <v>14</v>
      </c>
      <c r="F87" t="s">
        <v>31</v>
      </c>
      <c r="G87" t="s">
        <v>16</v>
      </c>
      <c r="H87">
        <v>5</v>
      </c>
      <c r="I87">
        <v>243.17</v>
      </c>
      <c r="J87" t="s">
        <v>17</v>
      </c>
      <c r="K87" t="s">
        <v>18</v>
      </c>
      <c r="L87">
        <f>WEEKDAY(Table1[[#This Row],[Transaction_Date]],2)</f>
        <v>7</v>
      </c>
      <c r="M87">
        <f>IF(Table1[[#This Row],[Sale_Type]]="Buffet",1,0)</f>
        <v>0</v>
      </c>
    </row>
    <row r="88" spans="1:13" x14ac:dyDescent="0.2">
      <c r="A88" t="s">
        <v>190</v>
      </c>
      <c r="B88" t="s">
        <v>176</v>
      </c>
      <c r="C88" s="1">
        <v>45935</v>
      </c>
      <c r="D88" t="s">
        <v>171</v>
      </c>
      <c r="E88" t="s">
        <v>14</v>
      </c>
      <c r="F88" t="s">
        <v>31</v>
      </c>
      <c r="G88" t="s">
        <v>16</v>
      </c>
      <c r="H88">
        <v>4</v>
      </c>
      <c r="I88">
        <v>101.84</v>
      </c>
      <c r="J88" t="s">
        <v>17</v>
      </c>
      <c r="K88" t="s">
        <v>18</v>
      </c>
      <c r="L88">
        <f>WEEKDAY(Table1[[#This Row],[Transaction_Date]],2)</f>
        <v>7</v>
      </c>
      <c r="M88">
        <f>IF(Table1[[#This Row],[Sale_Type]]="Buffet",1,0)</f>
        <v>0</v>
      </c>
    </row>
    <row r="89" spans="1:13" x14ac:dyDescent="0.2">
      <c r="A89" t="s">
        <v>191</v>
      </c>
      <c r="B89" t="s">
        <v>192</v>
      </c>
      <c r="C89" s="1">
        <v>45935</v>
      </c>
      <c r="D89" t="s">
        <v>171</v>
      </c>
      <c r="E89" t="s">
        <v>14</v>
      </c>
      <c r="F89" t="s">
        <v>31</v>
      </c>
      <c r="G89" t="s">
        <v>16</v>
      </c>
      <c r="H89">
        <v>3</v>
      </c>
      <c r="I89">
        <v>99.35</v>
      </c>
      <c r="J89" t="s">
        <v>17</v>
      </c>
      <c r="K89" t="s">
        <v>21</v>
      </c>
      <c r="L89">
        <f>WEEKDAY(Table1[[#This Row],[Transaction_Date]],2)</f>
        <v>7</v>
      </c>
      <c r="M89">
        <f>IF(Table1[[#This Row],[Sale_Type]]="Buffet",1,0)</f>
        <v>0</v>
      </c>
    </row>
    <row r="90" spans="1:13" x14ac:dyDescent="0.2">
      <c r="A90" t="s">
        <v>193</v>
      </c>
      <c r="B90" t="s">
        <v>194</v>
      </c>
      <c r="C90" s="1">
        <v>45935</v>
      </c>
      <c r="D90" t="s">
        <v>171</v>
      </c>
      <c r="E90" t="s">
        <v>14</v>
      </c>
      <c r="F90" t="s">
        <v>31</v>
      </c>
      <c r="G90" t="s">
        <v>16</v>
      </c>
      <c r="H90">
        <v>2</v>
      </c>
      <c r="I90">
        <v>111.63</v>
      </c>
      <c r="J90" t="s">
        <v>17</v>
      </c>
      <c r="K90" t="s">
        <v>18</v>
      </c>
      <c r="L90">
        <f>WEEKDAY(Table1[[#This Row],[Transaction_Date]],2)</f>
        <v>7</v>
      </c>
      <c r="M90">
        <f>IF(Table1[[#This Row],[Sale_Type]]="Buffet",1,0)</f>
        <v>0</v>
      </c>
    </row>
    <row r="91" spans="1:13" x14ac:dyDescent="0.2">
      <c r="A91" t="s">
        <v>195</v>
      </c>
      <c r="B91" t="s">
        <v>196</v>
      </c>
      <c r="C91" s="1">
        <v>45935</v>
      </c>
      <c r="D91" t="s">
        <v>171</v>
      </c>
      <c r="E91" t="s">
        <v>14</v>
      </c>
      <c r="F91" t="s">
        <v>31</v>
      </c>
      <c r="G91" t="s">
        <v>16</v>
      </c>
      <c r="H91">
        <v>3</v>
      </c>
      <c r="I91">
        <v>118.92</v>
      </c>
      <c r="J91" t="s">
        <v>28</v>
      </c>
      <c r="K91" t="s">
        <v>21</v>
      </c>
      <c r="L91">
        <f>WEEKDAY(Table1[[#This Row],[Transaction_Date]],2)</f>
        <v>7</v>
      </c>
      <c r="M91">
        <f>IF(Table1[[#This Row],[Sale_Type]]="Buffet",1,0)</f>
        <v>0</v>
      </c>
    </row>
    <row r="92" spans="1:13" x14ac:dyDescent="0.2">
      <c r="A92" t="s">
        <v>197</v>
      </c>
      <c r="B92" t="s">
        <v>198</v>
      </c>
      <c r="C92" s="1">
        <v>45935</v>
      </c>
      <c r="D92" t="s">
        <v>171</v>
      </c>
      <c r="E92" t="s">
        <v>14</v>
      </c>
      <c r="F92" t="s">
        <v>40</v>
      </c>
      <c r="G92" t="s">
        <v>16</v>
      </c>
      <c r="H92">
        <v>4</v>
      </c>
      <c r="I92">
        <v>207.71</v>
      </c>
      <c r="J92" t="s">
        <v>17</v>
      </c>
      <c r="K92" t="s">
        <v>18</v>
      </c>
      <c r="L92">
        <f>WEEKDAY(Table1[[#This Row],[Transaction_Date]],2)</f>
        <v>7</v>
      </c>
      <c r="M92">
        <f>IF(Table1[[#This Row],[Sale_Type]]="Buffet",1,0)</f>
        <v>0</v>
      </c>
    </row>
    <row r="93" spans="1:13" x14ac:dyDescent="0.2">
      <c r="A93" t="s">
        <v>199</v>
      </c>
      <c r="B93" t="s">
        <v>200</v>
      </c>
      <c r="C93" s="1">
        <v>45935</v>
      </c>
      <c r="D93" t="s">
        <v>171</v>
      </c>
      <c r="E93" t="s">
        <v>14</v>
      </c>
      <c r="F93" t="s">
        <v>40</v>
      </c>
      <c r="G93" t="s">
        <v>16</v>
      </c>
      <c r="H93">
        <v>2</v>
      </c>
      <c r="I93">
        <v>61.79</v>
      </c>
      <c r="J93" t="s">
        <v>34</v>
      </c>
      <c r="K93" t="s">
        <v>18</v>
      </c>
      <c r="L93">
        <f>WEEKDAY(Table1[[#This Row],[Transaction_Date]],2)</f>
        <v>7</v>
      </c>
      <c r="M93">
        <f>IF(Table1[[#This Row],[Sale_Type]]="Buffet",1,0)</f>
        <v>0</v>
      </c>
    </row>
    <row r="94" spans="1:13" x14ac:dyDescent="0.2">
      <c r="A94" t="s">
        <v>201</v>
      </c>
      <c r="B94" t="s">
        <v>202</v>
      </c>
      <c r="C94" s="1">
        <v>45935</v>
      </c>
      <c r="D94" t="s">
        <v>171</v>
      </c>
      <c r="E94" t="s">
        <v>14</v>
      </c>
      <c r="F94" t="s">
        <v>40</v>
      </c>
      <c r="G94" t="s">
        <v>16</v>
      </c>
      <c r="H94">
        <v>3</v>
      </c>
      <c r="I94">
        <v>47.26</v>
      </c>
      <c r="J94" t="s">
        <v>17</v>
      </c>
      <c r="K94" t="s">
        <v>18</v>
      </c>
      <c r="L94">
        <f>WEEKDAY(Table1[[#This Row],[Transaction_Date]],2)</f>
        <v>7</v>
      </c>
      <c r="M94">
        <f>IF(Table1[[#This Row],[Sale_Type]]="Buffet",1,0)</f>
        <v>0</v>
      </c>
    </row>
    <row r="95" spans="1:13" x14ac:dyDescent="0.2">
      <c r="A95" t="s">
        <v>203</v>
      </c>
      <c r="B95" t="s">
        <v>204</v>
      </c>
      <c r="C95" s="1">
        <v>45935</v>
      </c>
      <c r="D95" t="s">
        <v>171</v>
      </c>
      <c r="E95" t="s">
        <v>14</v>
      </c>
      <c r="F95" t="s">
        <v>40</v>
      </c>
      <c r="G95" t="s">
        <v>16</v>
      </c>
      <c r="H95">
        <v>1</v>
      </c>
      <c r="I95">
        <v>25.42</v>
      </c>
      <c r="J95" t="s">
        <v>34</v>
      </c>
      <c r="K95" t="s">
        <v>18</v>
      </c>
      <c r="L95">
        <f>WEEKDAY(Table1[[#This Row],[Transaction_Date]],2)</f>
        <v>7</v>
      </c>
      <c r="M95">
        <f>IF(Table1[[#This Row],[Sale_Type]]="Buffet",1,0)</f>
        <v>0</v>
      </c>
    </row>
    <row r="96" spans="1:13" x14ac:dyDescent="0.2">
      <c r="A96" t="s">
        <v>205</v>
      </c>
      <c r="B96" t="s">
        <v>206</v>
      </c>
      <c r="C96" s="1">
        <v>45935</v>
      </c>
      <c r="D96" t="s">
        <v>171</v>
      </c>
      <c r="E96" t="s">
        <v>14</v>
      </c>
      <c r="F96" t="s">
        <v>40</v>
      </c>
      <c r="G96" t="s">
        <v>16</v>
      </c>
      <c r="H96">
        <v>5</v>
      </c>
      <c r="I96">
        <v>58.4</v>
      </c>
      <c r="J96" t="s">
        <v>17</v>
      </c>
      <c r="K96" t="s">
        <v>18</v>
      </c>
      <c r="L96">
        <f>WEEKDAY(Table1[[#This Row],[Transaction_Date]],2)</f>
        <v>7</v>
      </c>
      <c r="M96">
        <f>IF(Table1[[#This Row],[Sale_Type]]="Buffet",1,0)</f>
        <v>0</v>
      </c>
    </row>
    <row r="97" spans="1:13" x14ac:dyDescent="0.2">
      <c r="A97" t="s">
        <v>207</v>
      </c>
      <c r="B97" t="s">
        <v>208</v>
      </c>
      <c r="C97" s="1">
        <v>45935</v>
      </c>
      <c r="D97" t="s">
        <v>171</v>
      </c>
      <c r="E97" t="s">
        <v>43</v>
      </c>
      <c r="F97" t="s">
        <v>44</v>
      </c>
      <c r="G97" t="s">
        <v>16</v>
      </c>
      <c r="H97">
        <v>2</v>
      </c>
      <c r="I97">
        <v>41.13</v>
      </c>
      <c r="J97" t="s">
        <v>28</v>
      </c>
      <c r="K97" t="s">
        <v>18</v>
      </c>
      <c r="L97">
        <f>WEEKDAY(Table1[[#This Row],[Transaction_Date]],2)</f>
        <v>7</v>
      </c>
      <c r="M97">
        <f>IF(Table1[[#This Row],[Sale_Type]]="Buffet",1,0)</f>
        <v>0</v>
      </c>
    </row>
    <row r="98" spans="1:13" x14ac:dyDescent="0.2">
      <c r="A98" t="s">
        <v>209</v>
      </c>
      <c r="B98" t="s">
        <v>111</v>
      </c>
      <c r="C98" s="1">
        <v>45935</v>
      </c>
      <c r="D98" t="s">
        <v>171</v>
      </c>
      <c r="E98" t="s">
        <v>43</v>
      </c>
      <c r="F98" t="s">
        <v>44</v>
      </c>
      <c r="G98" t="s">
        <v>16</v>
      </c>
      <c r="H98">
        <v>2</v>
      </c>
      <c r="I98">
        <v>31.04</v>
      </c>
      <c r="J98" t="s">
        <v>34</v>
      </c>
      <c r="K98" t="s">
        <v>21</v>
      </c>
      <c r="L98">
        <f>WEEKDAY(Table1[[#This Row],[Transaction_Date]],2)</f>
        <v>7</v>
      </c>
      <c r="M98">
        <f>IF(Table1[[#This Row],[Sale_Type]]="Buffet",1,0)</f>
        <v>0</v>
      </c>
    </row>
    <row r="99" spans="1:13" x14ac:dyDescent="0.2">
      <c r="A99" t="s">
        <v>210</v>
      </c>
      <c r="B99" t="s">
        <v>211</v>
      </c>
      <c r="C99" s="1">
        <v>45935</v>
      </c>
      <c r="D99" t="s">
        <v>171</v>
      </c>
      <c r="E99" t="s">
        <v>43</v>
      </c>
      <c r="F99" t="s">
        <v>50</v>
      </c>
      <c r="G99" t="s">
        <v>16</v>
      </c>
      <c r="H99">
        <v>4</v>
      </c>
      <c r="I99">
        <v>66.209999999999994</v>
      </c>
      <c r="J99" t="s">
        <v>17</v>
      </c>
      <c r="K99" t="s">
        <v>21</v>
      </c>
      <c r="L99">
        <f>WEEKDAY(Table1[[#This Row],[Transaction_Date]],2)</f>
        <v>7</v>
      </c>
      <c r="M99">
        <f>IF(Table1[[#This Row],[Sale_Type]]="Buffet",1,0)</f>
        <v>0</v>
      </c>
    </row>
    <row r="100" spans="1:13" x14ac:dyDescent="0.2">
      <c r="A100" t="s">
        <v>212</v>
      </c>
      <c r="B100" t="s">
        <v>144</v>
      </c>
      <c r="C100" s="1">
        <v>45936</v>
      </c>
      <c r="D100" t="s">
        <v>213</v>
      </c>
      <c r="E100" t="s">
        <v>14</v>
      </c>
      <c r="F100" t="s">
        <v>15</v>
      </c>
      <c r="G100" t="s">
        <v>16</v>
      </c>
      <c r="H100">
        <v>2</v>
      </c>
      <c r="I100">
        <v>99.02</v>
      </c>
      <c r="J100" t="s">
        <v>17</v>
      </c>
      <c r="K100" t="s">
        <v>18</v>
      </c>
      <c r="L100">
        <f>WEEKDAY(Table1[[#This Row],[Transaction_Date]],2)</f>
        <v>1</v>
      </c>
      <c r="M100">
        <f>IF(Table1[[#This Row],[Sale_Type]]="Buffet",1,0)</f>
        <v>0</v>
      </c>
    </row>
    <row r="101" spans="1:13" x14ac:dyDescent="0.2">
      <c r="A101" t="s">
        <v>214</v>
      </c>
      <c r="B101" t="s">
        <v>215</v>
      </c>
      <c r="C101" s="1">
        <v>45936</v>
      </c>
      <c r="D101" t="s">
        <v>213</v>
      </c>
      <c r="E101" t="s">
        <v>14</v>
      </c>
      <c r="F101" t="s">
        <v>15</v>
      </c>
      <c r="G101" t="s">
        <v>16</v>
      </c>
      <c r="H101">
        <v>6</v>
      </c>
      <c r="I101">
        <v>126.08</v>
      </c>
      <c r="J101" t="s">
        <v>17</v>
      </c>
      <c r="K101" t="s">
        <v>18</v>
      </c>
      <c r="L101">
        <f>WEEKDAY(Table1[[#This Row],[Transaction_Date]],2)</f>
        <v>1</v>
      </c>
      <c r="M101">
        <f>IF(Table1[[#This Row],[Sale_Type]]="Buffet",1,0)</f>
        <v>0</v>
      </c>
    </row>
    <row r="102" spans="1:13" x14ac:dyDescent="0.2">
      <c r="A102" t="s">
        <v>216</v>
      </c>
      <c r="B102" t="s">
        <v>122</v>
      </c>
      <c r="C102" s="1">
        <v>45936</v>
      </c>
      <c r="D102" t="s">
        <v>213</v>
      </c>
      <c r="E102" t="s">
        <v>14</v>
      </c>
      <c r="F102" t="s">
        <v>15</v>
      </c>
      <c r="G102" t="s">
        <v>16</v>
      </c>
      <c r="H102">
        <v>3</v>
      </c>
      <c r="I102">
        <v>85.91</v>
      </c>
      <c r="J102" t="s">
        <v>28</v>
      </c>
      <c r="K102" t="s">
        <v>18</v>
      </c>
      <c r="L102">
        <f>WEEKDAY(Table1[[#This Row],[Transaction_Date]],2)</f>
        <v>1</v>
      </c>
      <c r="M102">
        <f>IF(Table1[[#This Row],[Sale_Type]]="Buffet",1,0)</f>
        <v>0</v>
      </c>
    </row>
    <row r="103" spans="1:13" x14ac:dyDescent="0.2">
      <c r="A103" t="s">
        <v>217</v>
      </c>
      <c r="B103" t="s">
        <v>198</v>
      </c>
      <c r="C103" s="1">
        <v>45936</v>
      </c>
      <c r="D103" t="s">
        <v>213</v>
      </c>
      <c r="E103" t="s">
        <v>14</v>
      </c>
      <c r="F103" t="s">
        <v>24</v>
      </c>
      <c r="G103" t="s">
        <v>16</v>
      </c>
      <c r="H103">
        <v>5</v>
      </c>
      <c r="I103">
        <v>104.22</v>
      </c>
      <c r="J103" t="s">
        <v>17</v>
      </c>
      <c r="K103" t="s">
        <v>18</v>
      </c>
      <c r="L103">
        <f>WEEKDAY(Table1[[#This Row],[Transaction_Date]],2)</f>
        <v>1</v>
      </c>
      <c r="M103">
        <f>IF(Table1[[#This Row],[Sale_Type]]="Buffet",1,0)</f>
        <v>0</v>
      </c>
    </row>
    <row r="104" spans="1:13" x14ac:dyDescent="0.2">
      <c r="A104" t="s">
        <v>218</v>
      </c>
      <c r="B104" t="s">
        <v>219</v>
      </c>
      <c r="C104" s="1">
        <v>45936</v>
      </c>
      <c r="D104" t="s">
        <v>213</v>
      </c>
      <c r="E104" t="s">
        <v>14</v>
      </c>
      <c r="F104" t="s">
        <v>24</v>
      </c>
      <c r="G104" t="s">
        <v>16</v>
      </c>
      <c r="H104">
        <v>2</v>
      </c>
      <c r="I104">
        <v>34.1</v>
      </c>
      <c r="J104" t="s">
        <v>34</v>
      </c>
      <c r="K104" t="s">
        <v>18</v>
      </c>
      <c r="L104">
        <f>WEEKDAY(Table1[[#This Row],[Transaction_Date]],2)</f>
        <v>1</v>
      </c>
      <c r="M104">
        <f>IF(Table1[[#This Row],[Sale_Type]]="Buffet",1,0)</f>
        <v>0</v>
      </c>
    </row>
    <row r="105" spans="1:13" x14ac:dyDescent="0.2">
      <c r="A105" t="s">
        <v>220</v>
      </c>
      <c r="B105" t="s">
        <v>79</v>
      </c>
      <c r="C105" s="1">
        <v>45936</v>
      </c>
      <c r="D105" t="s">
        <v>213</v>
      </c>
      <c r="E105" t="s">
        <v>14</v>
      </c>
      <c r="F105" t="s">
        <v>24</v>
      </c>
      <c r="G105" t="s">
        <v>16</v>
      </c>
      <c r="H105">
        <v>4</v>
      </c>
      <c r="I105">
        <v>104.62</v>
      </c>
      <c r="J105" t="s">
        <v>17</v>
      </c>
      <c r="K105" t="s">
        <v>18</v>
      </c>
      <c r="L105">
        <f>WEEKDAY(Table1[[#This Row],[Transaction_Date]],2)</f>
        <v>1</v>
      </c>
      <c r="M105">
        <f>IF(Table1[[#This Row],[Sale_Type]]="Buffet",1,0)</f>
        <v>0</v>
      </c>
    </row>
    <row r="106" spans="1:13" x14ac:dyDescent="0.2">
      <c r="A106" t="s">
        <v>221</v>
      </c>
      <c r="B106" t="s">
        <v>222</v>
      </c>
      <c r="C106" s="1">
        <v>45936</v>
      </c>
      <c r="D106" t="s">
        <v>213</v>
      </c>
      <c r="E106" t="s">
        <v>14</v>
      </c>
      <c r="F106" t="s">
        <v>24</v>
      </c>
      <c r="G106" t="s">
        <v>16</v>
      </c>
      <c r="H106">
        <v>3</v>
      </c>
      <c r="I106">
        <v>72.91</v>
      </c>
      <c r="J106" t="s">
        <v>17</v>
      </c>
      <c r="K106" t="s">
        <v>18</v>
      </c>
      <c r="L106">
        <f>WEEKDAY(Table1[[#This Row],[Transaction_Date]],2)</f>
        <v>1</v>
      </c>
      <c r="M106">
        <f>IF(Table1[[#This Row],[Sale_Type]]="Buffet",1,0)</f>
        <v>0</v>
      </c>
    </row>
    <row r="107" spans="1:13" x14ac:dyDescent="0.2">
      <c r="A107" t="s">
        <v>223</v>
      </c>
      <c r="B107" t="s">
        <v>100</v>
      </c>
      <c r="C107" s="1">
        <v>45936</v>
      </c>
      <c r="D107" t="s">
        <v>213</v>
      </c>
      <c r="E107" t="s">
        <v>14</v>
      </c>
      <c r="F107" t="s">
        <v>27</v>
      </c>
      <c r="G107" t="s">
        <v>16</v>
      </c>
      <c r="H107">
        <v>2</v>
      </c>
      <c r="I107">
        <v>76.14</v>
      </c>
      <c r="J107" t="s">
        <v>17</v>
      </c>
      <c r="K107" t="s">
        <v>18</v>
      </c>
      <c r="L107">
        <f>WEEKDAY(Table1[[#This Row],[Transaction_Date]],2)</f>
        <v>1</v>
      </c>
      <c r="M107">
        <f>IF(Table1[[#This Row],[Sale_Type]]="Buffet",1,0)</f>
        <v>0</v>
      </c>
    </row>
    <row r="108" spans="1:13" x14ac:dyDescent="0.2">
      <c r="A108" t="s">
        <v>224</v>
      </c>
      <c r="B108" t="s">
        <v>211</v>
      </c>
      <c r="C108" s="1">
        <v>45936</v>
      </c>
      <c r="D108" t="s">
        <v>213</v>
      </c>
      <c r="E108" t="s">
        <v>14</v>
      </c>
      <c r="F108" t="s">
        <v>27</v>
      </c>
      <c r="G108" t="s">
        <v>16</v>
      </c>
      <c r="H108">
        <v>4</v>
      </c>
      <c r="I108">
        <v>96.46</v>
      </c>
      <c r="J108" t="s">
        <v>17</v>
      </c>
      <c r="K108" t="s">
        <v>18</v>
      </c>
      <c r="L108">
        <f>WEEKDAY(Table1[[#This Row],[Transaction_Date]],2)</f>
        <v>1</v>
      </c>
      <c r="M108">
        <f>IF(Table1[[#This Row],[Sale_Type]]="Buffet",1,0)</f>
        <v>0</v>
      </c>
    </row>
    <row r="109" spans="1:13" x14ac:dyDescent="0.2">
      <c r="A109" t="s">
        <v>225</v>
      </c>
      <c r="B109" t="s">
        <v>226</v>
      </c>
      <c r="C109" s="1">
        <v>45936</v>
      </c>
      <c r="D109" t="s">
        <v>213</v>
      </c>
      <c r="E109" t="s">
        <v>14</v>
      </c>
      <c r="F109" t="s">
        <v>27</v>
      </c>
      <c r="G109" t="s">
        <v>16</v>
      </c>
      <c r="H109">
        <v>1</v>
      </c>
      <c r="I109">
        <v>28.87</v>
      </c>
      <c r="J109" t="s">
        <v>34</v>
      </c>
      <c r="K109" t="s">
        <v>21</v>
      </c>
      <c r="L109">
        <f>WEEKDAY(Table1[[#This Row],[Transaction_Date]],2)</f>
        <v>1</v>
      </c>
      <c r="M109">
        <f>IF(Table1[[#This Row],[Sale_Type]]="Buffet",1,0)</f>
        <v>0</v>
      </c>
    </row>
    <row r="110" spans="1:13" x14ac:dyDescent="0.2">
      <c r="A110" t="s">
        <v>227</v>
      </c>
      <c r="B110" t="s">
        <v>228</v>
      </c>
      <c r="C110" s="1">
        <v>45936</v>
      </c>
      <c r="D110" t="s">
        <v>213</v>
      </c>
      <c r="E110" t="s">
        <v>14</v>
      </c>
      <c r="F110" t="s">
        <v>27</v>
      </c>
      <c r="G110" t="s">
        <v>16</v>
      </c>
      <c r="H110">
        <v>3</v>
      </c>
      <c r="I110">
        <v>195.44</v>
      </c>
      <c r="J110" t="s">
        <v>17</v>
      </c>
      <c r="K110" t="s">
        <v>18</v>
      </c>
      <c r="L110">
        <f>WEEKDAY(Table1[[#This Row],[Transaction_Date]],2)</f>
        <v>1</v>
      </c>
      <c r="M110">
        <f>IF(Table1[[#This Row],[Sale_Type]]="Buffet",1,0)</f>
        <v>0</v>
      </c>
    </row>
    <row r="111" spans="1:13" x14ac:dyDescent="0.2">
      <c r="A111" t="s">
        <v>229</v>
      </c>
      <c r="B111" t="s">
        <v>138</v>
      </c>
      <c r="C111" s="1">
        <v>45936</v>
      </c>
      <c r="D111" t="s">
        <v>213</v>
      </c>
      <c r="E111" t="s">
        <v>14</v>
      </c>
      <c r="F111" t="s">
        <v>27</v>
      </c>
      <c r="G111" t="s">
        <v>16</v>
      </c>
      <c r="H111">
        <v>3</v>
      </c>
      <c r="I111">
        <v>83.71</v>
      </c>
      <c r="J111" t="s">
        <v>17</v>
      </c>
      <c r="K111" t="s">
        <v>18</v>
      </c>
      <c r="L111">
        <f>WEEKDAY(Table1[[#This Row],[Transaction_Date]],2)</f>
        <v>1</v>
      </c>
      <c r="M111">
        <f>IF(Table1[[#This Row],[Sale_Type]]="Buffet",1,0)</f>
        <v>0</v>
      </c>
    </row>
    <row r="112" spans="1:13" x14ac:dyDescent="0.2">
      <c r="A112" t="s">
        <v>230</v>
      </c>
      <c r="B112" t="s">
        <v>231</v>
      </c>
      <c r="C112" s="1">
        <v>45936</v>
      </c>
      <c r="D112" t="s">
        <v>213</v>
      </c>
      <c r="E112" t="s">
        <v>14</v>
      </c>
      <c r="F112" t="s">
        <v>27</v>
      </c>
      <c r="G112" t="s">
        <v>16</v>
      </c>
      <c r="H112">
        <v>6</v>
      </c>
      <c r="I112">
        <v>94.78</v>
      </c>
      <c r="J112" t="s">
        <v>28</v>
      </c>
      <c r="K112" t="s">
        <v>21</v>
      </c>
      <c r="L112">
        <f>WEEKDAY(Table1[[#This Row],[Transaction_Date]],2)</f>
        <v>1</v>
      </c>
      <c r="M112">
        <f>IF(Table1[[#This Row],[Sale_Type]]="Buffet",1,0)</f>
        <v>0</v>
      </c>
    </row>
    <row r="113" spans="1:13" x14ac:dyDescent="0.2">
      <c r="A113" t="s">
        <v>232</v>
      </c>
      <c r="B113" t="s">
        <v>233</v>
      </c>
      <c r="C113" s="1">
        <v>45936</v>
      </c>
      <c r="D113" t="s">
        <v>213</v>
      </c>
      <c r="E113" t="s">
        <v>14</v>
      </c>
      <c r="F113" t="s">
        <v>31</v>
      </c>
      <c r="G113" t="s">
        <v>16</v>
      </c>
      <c r="H113">
        <v>3</v>
      </c>
      <c r="I113">
        <v>142.19999999999999</v>
      </c>
      <c r="J113" t="s">
        <v>17</v>
      </c>
      <c r="K113" t="s">
        <v>18</v>
      </c>
      <c r="L113">
        <f>WEEKDAY(Table1[[#This Row],[Transaction_Date]],2)</f>
        <v>1</v>
      </c>
      <c r="M113">
        <f>IF(Table1[[#This Row],[Sale_Type]]="Buffet",1,0)</f>
        <v>0</v>
      </c>
    </row>
    <row r="114" spans="1:13" x14ac:dyDescent="0.2">
      <c r="A114" t="s">
        <v>234</v>
      </c>
      <c r="B114" t="s">
        <v>235</v>
      </c>
      <c r="C114" s="1">
        <v>45936</v>
      </c>
      <c r="D114" t="s">
        <v>213</v>
      </c>
      <c r="E114" t="s">
        <v>14</v>
      </c>
      <c r="F114" t="s">
        <v>31</v>
      </c>
      <c r="G114" t="s">
        <v>16</v>
      </c>
      <c r="H114">
        <v>2</v>
      </c>
      <c r="I114">
        <v>32.92</v>
      </c>
      <c r="J114" t="s">
        <v>17</v>
      </c>
      <c r="K114" t="s">
        <v>18</v>
      </c>
      <c r="L114">
        <f>WEEKDAY(Table1[[#This Row],[Transaction_Date]],2)</f>
        <v>1</v>
      </c>
      <c r="M114">
        <f>IF(Table1[[#This Row],[Sale_Type]]="Buffet",1,0)</f>
        <v>0</v>
      </c>
    </row>
    <row r="115" spans="1:13" x14ac:dyDescent="0.2">
      <c r="A115" t="s">
        <v>236</v>
      </c>
      <c r="B115" t="s">
        <v>33</v>
      </c>
      <c r="C115" s="1">
        <v>45936</v>
      </c>
      <c r="D115" t="s">
        <v>213</v>
      </c>
      <c r="E115" t="s">
        <v>14</v>
      </c>
      <c r="F115" t="s">
        <v>31</v>
      </c>
      <c r="G115" t="s">
        <v>16</v>
      </c>
      <c r="H115">
        <v>3</v>
      </c>
      <c r="I115">
        <v>60.09</v>
      </c>
      <c r="J115" t="s">
        <v>28</v>
      </c>
      <c r="K115" t="s">
        <v>18</v>
      </c>
      <c r="L115">
        <f>WEEKDAY(Table1[[#This Row],[Transaction_Date]],2)</f>
        <v>1</v>
      </c>
      <c r="M115">
        <f>IF(Table1[[#This Row],[Sale_Type]]="Buffet",1,0)</f>
        <v>0</v>
      </c>
    </row>
    <row r="116" spans="1:13" x14ac:dyDescent="0.2">
      <c r="A116" t="s">
        <v>237</v>
      </c>
      <c r="B116" t="s">
        <v>238</v>
      </c>
      <c r="C116" s="1">
        <v>45936</v>
      </c>
      <c r="D116" t="s">
        <v>213</v>
      </c>
      <c r="E116" t="s">
        <v>14</v>
      </c>
      <c r="F116" t="s">
        <v>31</v>
      </c>
      <c r="G116" t="s">
        <v>16</v>
      </c>
      <c r="H116">
        <v>2</v>
      </c>
      <c r="I116">
        <v>28.23</v>
      </c>
      <c r="J116" t="s">
        <v>28</v>
      </c>
      <c r="K116" t="s">
        <v>21</v>
      </c>
      <c r="L116">
        <f>WEEKDAY(Table1[[#This Row],[Transaction_Date]],2)</f>
        <v>1</v>
      </c>
      <c r="M116">
        <f>IF(Table1[[#This Row],[Sale_Type]]="Buffet",1,0)</f>
        <v>0</v>
      </c>
    </row>
    <row r="117" spans="1:13" x14ac:dyDescent="0.2">
      <c r="A117" t="s">
        <v>239</v>
      </c>
      <c r="B117" t="s">
        <v>170</v>
      </c>
      <c r="C117" s="1">
        <v>45936</v>
      </c>
      <c r="D117" t="s">
        <v>213</v>
      </c>
      <c r="E117" t="s">
        <v>14</v>
      </c>
      <c r="F117" t="s">
        <v>40</v>
      </c>
      <c r="G117" t="s">
        <v>16</v>
      </c>
      <c r="H117">
        <v>2</v>
      </c>
      <c r="I117">
        <v>73.63</v>
      </c>
      <c r="J117" t="s">
        <v>28</v>
      </c>
      <c r="K117" t="s">
        <v>18</v>
      </c>
      <c r="L117">
        <f>WEEKDAY(Table1[[#This Row],[Transaction_Date]],2)</f>
        <v>1</v>
      </c>
      <c r="M117">
        <f>IF(Table1[[#This Row],[Sale_Type]]="Buffet",1,0)</f>
        <v>0</v>
      </c>
    </row>
    <row r="118" spans="1:13" x14ac:dyDescent="0.2">
      <c r="A118" t="s">
        <v>240</v>
      </c>
      <c r="B118" t="s">
        <v>140</v>
      </c>
      <c r="C118" s="1">
        <v>45936</v>
      </c>
      <c r="D118" t="s">
        <v>213</v>
      </c>
      <c r="E118" t="s">
        <v>14</v>
      </c>
      <c r="F118" t="s">
        <v>40</v>
      </c>
      <c r="G118" t="s">
        <v>16</v>
      </c>
      <c r="H118">
        <v>3</v>
      </c>
      <c r="I118">
        <v>67.91</v>
      </c>
      <c r="J118" t="s">
        <v>17</v>
      </c>
      <c r="K118" t="s">
        <v>21</v>
      </c>
      <c r="L118">
        <f>WEEKDAY(Table1[[#This Row],[Transaction_Date]],2)</f>
        <v>1</v>
      </c>
      <c r="M118">
        <f>IF(Table1[[#This Row],[Sale_Type]]="Buffet",1,0)</f>
        <v>0</v>
      </c>
    </row>
    <row r="119" spans="1:13" x14ac:dyDescent="0.2">
      <c r="A119" t="s">
        <v>241</v>
      </c>
      <c r="B119" t="s">
        <v>242</v>
      </c>
      <c r="C119" s="1">
        <v>45936</v>
      </c>
      <c r="D119" t="s">
        <v>213</v>
      </c>
      <c r="E119" t="s">
        <v>43</v>
      </c>
      <c r="F119" t="s">
        <v>44</v>
      </c>
      <c r="G119" t="s">
        <v>16</v>
      </c>
      <c r="H119">
        <v>4</v>
      </c>
      <c r="I119">
        <v>85.18</v>
      </c>
      <c r="J119" t="s">
        <v>17</v>
      </c>
      <c r="K119" t="s">
        <v>21</v>
      </c>
      <c r="L119">
        <f>WEEKDAY(Table1[[#This Row],[Transaction_Date]],2)</f>
        <v>1</v>
      </c>
      <c r="M119">
        <f>IF(Table1[[#This Row],[Sale_Type]]="Buffet",1,0)</f>
        <v>0</v>
      </c>
    </row>
    <row r="120" spans="1:13" x14ac:dyDescent="0.2">
      <c r="A120" t="s">
        <v>243</v>
      </c>
      <c r="B120" t="s">
        <v>95</v>
      </c>
      <c r="C120" s="1">
        <v>45936</v>
      </c>
      <c r="D120" t="s">
        <v>213</v>
      </c>
      <c r="E120" t="s">
        <v>43</v>
      </c>
      <c r="F120" t="s">
        <v>50</v>
      </c>
      <c r="G120" t="s">
        <v>16</v>
      </c>
      <c r="H120">
        <v>5</v>
      </c>
      <c r="I120">
        <v>133.91999999999999</v>
      </c>
      <c r="J120" t="s">
        <v>17</v>
      </c>
      <c r="K120" t="s">
        <v>21</v>
      </c>
      <c r="L120">
        <f>WEEKDAY(Table1[[#This Row],[Transaction_Date]],2)</f>
        <v>1</v>
      </c>
      <c r="M120">
        <f>IF(Table1[[#This Row],[Sale_Type]]="Buffet",1,0)</f>
        <v>0</v>
      </c>
    </row>
    <row r="121" spans="1:13" x14ac:dyDescent="0.2">
      <c r="A121" t="s">
        <v>244</v>
      </c>
      <c r="B121" t="s">
        <v>245</v>
      </c>
      <c r="C121" s="1">
        <v>45936</v>
      </c>
      <c r="D121" t="s">
        <v>213</v>
      </c>
      <c r="E121" t="s">
        <v>43</v>
      </c>
      <c r="F121" t="s">
        <v>50</v>
      </c>
      <c r="G121" t="s">
        <v>16</v>
      </c>
      <c r="H121">
        <v>1</v>
      </c>
      <c r="I121">
        <v>22.22</v>
      </c>
      <c r="J121" t="s">
        <v>17</v>
      </c>
      <c r="K121" t="s">
        <v>18</v>
      </c>
      <c r="L121">
        <f>WEEKDAY(Table1[[#This Row],[Transaction_Date]],2)</f>
        <v>1</v>
      </c>
      <c r="M121">
        <f>IF(Table1[[#This Row],[Sale_Type]]="Buffet",1,0)</f>
        <v>0</v>
      </c>
    </row>
    <row r="122" spans="1:13" x14ac:dyDescent="0.2">
      <c r="A122" t="s">
        <v>246</v>
      </c>
      <c r="B122" t="s">
        <v>247</v>
      </c>
      <c r="C122" s="1">
        <v>45936</v>
      </c>
      <c r="D122" t="s">
        <v>213</v>
      </c>
      <c r="E122" t="s">
        <v>43</v>
      </c>
      <c r="F122" t="s">
        <v>50</v>
      </c>
      <c r="G122" t="s">
        <v>16</v>
      </c>
      <c r="H122">
        <v>3</v>
      </c>
      <c r="I122">
        <v>65.86</v>
      </c>
      <c r="J122" t="s">
        <v>17</v>
      </c>
      <c r="K122" t="s">
        <v>18</v>
      </c>
      <c r="L122">
        <f>WEEKDAY(Table1[[#This Row],[Transaction_Date]],2)</f>
        <v>1</v>
      </c>
      <c r="M122">
        <f>IF(Table1[[#This Row],[Sale_Type]]="Buffet",1,0)</f>
        <v>0</v>
      </c>
    </row>
    <row r="123" spans="1:13" x14ac:dyDescent="0.2">
      <c r="A123" t="s">
        <v>248</v>
      </c>
      <c r="B123" t="s">
        <v>249</v>
      </c>
      <c r="C123" s="1">
        <v>45937</v>
      </c>
      <c r="D123" t="s">
        <v>250</v>
      </c>
      <c r="E123" t="s">
        <v>14</v>
      </c>
      <c r="F123" t="s">
        <v>15</v>
      </c>
      <c r="G123" t="s">
        <v>16</v>
      </c>
      <c r="H123">
        <v>2</v>
      </c>
      <c r="I123">
        <v>33.07</v>
      </c>
      <c r="J123" t="s">
        <v>34</v>
      </c>
      <c r="K123" t="s">
        <v>18</v>
      </c>
      <c r="L123">
        <f>WEEKDAY(Table1[[#This Row],[Transaction_Date]],2)</f>
        <v>2</v>
      </c>
      <c r="M123">
        <f>IF(Table1[[#This Row],[Sale_Type]]="Buffet",1,0)</f>
        <v>0</v>
      </c>
    </row>
    <row r="124" spans="1:13" x14ac:dyDescent="0.2">
      <c r="A124" t="s">
        <v>251</v>
      </c>
      <c r="B124" t="s">
        <v>252</v>
      </c>
      <c r="C124" s="1">
        <v>45937</v>
      </c>
      <c r="D124" t="s">
        <v>250</v>
      </c>
      <c r="E124" t="s">
        <v>14</v>
      </c>
      <c r="F124" t="s">
        <v>15</v>
      </c>
      <c r="G124" t="s">
        <v>16</v>
      </c>
      <c r="H124">
        <v>1</v>
      </c>
      <c r="I124">
        <v>27.24</v>
      </c>
      <c r="J124" t="s">
        <v>28</v>
      </c>
      <c r="K124" t="s">
        <v>18</v>
      </c>
      <c r="L124">
        <f>WEEKDAY(Table1[[#This Row],[Transaction_Date]],2)</f>
        <v>2</v>
      </c>
      <c r="M124">
        <f>IF(Table1[[#This Row],[Sale_Type]]="Buffet",1,0)</f>
        <v>0</v>
      </c>
    </row>
    <row r="125" spans="1:13" x14ac:dyDescent="0.2">
      <c r="A125" t="s">
        <v>253</v>
      </c>
      <c r="B125" t="s">
        <v>254</v>
      </c>
      <c r="C125" s="1">
        <v>45937</v>
      </c>
      <c r="D125" t="s">
        <v>250</v>
      </c>
      <c r="E125" t="s">
        <v>14</v>
      </c>
      <c r="F125" t="s">
        <v>24</v>
      </c>
      <c r="G125" t="s">
        <v>16</v>
      </c>
      <c r="H125">
        <v>4</v>
      </c>
      <c r="I125">
        <v>135.86000000000001</v>
      </c>
      <c r="J125" t="s">
        <v>17</v>
      </c>
      <c r="K125" t="s">
        <v>18</v>
      </c>
      <c r="L125">
        <f>WEEKDAY(Table1[[#This Row],[Transaction_Date]],2)</f>
        <v>2</v>
      </c>
      <c r="M125">
        <f>IF(Table1[[#This Row],[Sale_Type]]="Buffet",1,0)</f>
        <v>0</v>
      </c>
    </row>
    <row r="126" spans="1:13" x14ac:dyDescent="0.2">
      <c r="A126" t="s">
        <v>255</v>
      </c>
      <c r="B126" t="s">
        <v>256</v>
      </c>
      <c r="C126" s="1">
        <v>45937</v>
      </c>
      <c r="D126" t="s">
        <v>250</v>
      </c>
      <c r="E126" t="s">
        <v>14</v>
      </c>
      <c r="F126" t="s">
        <v>24</v>
      </c>
      <c r="G126" t="s">
        <v>16</v>
      </c>
      <c r="H126">
        <v>5</v>
      </c>
      <c r="I126">
        <v>258.07</v>
      </c>
      <c r="J126" t="s">
        <v>17</v>
      </c>
      <c r="K126" t="s">
        <v>21</v>
      </c>
      <c r="L126">
        <f>WEEKDAY(Table1[[#This Row],[Transaction_Date]],2)</f>
        <v>2</v>
      </c>
      <c r="M126">
        <f>IF(Table1[[#This Row],[Sale_Type]]="Buffet",1,0)</f>
        <v>0</v>
      </c>
    </row>
    <row r="127" spans="1:13" x14ac:dyDescent="0.2">
      <c r="A127" t="s">
        <v>257</v>
      </c>
      <c r="B127" t="s">
        <v>258</v>
      </c>
      <c r="C127" s="1">
        <v>45937</v>
      </c>
      <c r="D127" t="s">
        <v>250</v>
      </c>
      <c r="E127" t="s">
        <v>14</v>
      </c>
      <c r="F127" t="s">
        <v>24</v>
      </c>
      <c r="G127" t="s">
        <v>16</v>
      </c>
      <c r="H127">
        <v>5</v>
      </c>
      <c r="I127">
        <v>150.82</v>
      </c>
      <c r="J127" t="s">
        <v>28</v>
      </c>
      <c r="K127" t="s">
        <v>18</v>
      </c>
      <c r="L127">
        <f>WEEKDAY(Table1[[#This Row],[Transaction_Date]],2)</f>
        <v>2</v>
      </c>
      <c r="M127">
        <f>IF(Table1[[#This Row],[Sale_Type]]="Buffet",1,0)</f>
        <v>0</v>
      </c>
    </row>
    <row r="128" spans="1:13" x14ac:dyDescent="0.2">
      <c r="A128" t="s">
        <v>259</v>
      </c>
      <c r="B128" t="s">
        <v>260</v>
      </c>
      <c r="C128" s="1">
        <v>45937</v>
      </c>
      <c r="D128" t="s">
        <v>250</v>
      </c>
      <c r="E128" t="s">
        <v>14</v>
      </c>
      <c r="F128" t="s">
        <v>24</v>
      </c>
      <c r="G128" t="s">
        <v>16</v>
      </c>
      <c r="H128">
        <v>4</v>
      </c>
      <c r="I128">
        <v>182.73</v>
      </c>
      <c r="J128" t="s">
        <v>17</v>
      </c>
      <c r="K128" t="s">
        <v>18</v>
      </c>
      <c r="L128">
        <f>WEEKDAY(Table1[[#This Row],[Transaction_Date]],2)</f>
        <v>2</v>
      </c>
      <c r="M128">
        <f>IF(Table1[[#This Row],[Sale_Type]]="Buffet",1,0)</f>
        <v>0</v>
      </c>
    </row>
    <row r="129" spans="1:13" x14ac:dyDescent="0.2">
      <c r="A129" t="s">
        <v>261</v>
      </c>
      <c r="B129" t="s">
        <v>262</v>
      </c>
      <c r="C129" s="1">
        <v>45937</v>
      </c>
      <c r="D129" t="s">
        <v>250</v>
      </c>
      <c r="E129" t="s">
        <v>14</v>
      </c>
      <c r="F129" t="s">
        <v>24</v>
      </c>
      <c r="G129" t="s">
        <v>16</v>
      </c>
      <c r="H129">
        <v>2</v>
      </c>
      <c r="I129">
        <v>50.83</v>
      </c>
      <c r="J129" t="s">
        <v>34</v>
      </c>
      <c r="K129" t="s">
        <v>18</v>
      </c>
      <c r="L129">
        <f>WEEKDAY(Table1[[#This Row],[Transaction_Date]],2)</f>
        <v>2</v>
      </c>
      <c r="M129">
        <f>IF(Table1[[#This Row],[Sale_Type]]="Buffet",1,0)</f>
        <v>0</v>
      </c>
    </row>
    <row r="130" spans="1:13" x14ac:dyDescent="0.2">
      <c r="A130" t="s">
        <v>263</v>
      </c>
      <c r="B130" t="s">
        <v>264</v>
      </c>
      <c r="C130" s="1">
        <v>45937</v>
      </c>
      <c r="D130" t="s">
        <v>250</v>
      </c>
      <c r="E130" t="s">
        <v>14</v>
      </c>
      <c r="F130" t="s">
        <v>24</v>
      </c>
      <c r="G130" t="s">
        <v>16</v>
      </c>
      <c r="H130">
        <v>1</v>
      </c>
      <c r="I130">
        <v>30.75</v>
      </c>
      <c r="J130" t="s">
        <v>28</v>
      </c>
      <c r="K130" t="s">
        <v>21</v>
      </c>
      <c r="L130">
        <f>WEEKDAY(Table1[[#This Row],[Transaction_Date]],2)</f>
        <v>2</v>
      </c>
      <c r="M130">
        <f>IF(Table1[[#This Row],[Sale_Type]]="Buffet",1,0)</f>
        <v>0</v>
      </c>
    </row>
    <row r="131" spans="1:13" x14ac:dyDescent="0.2">
      <c r="A131" t="s">
        <v>265</v>
      </c>
      <c r="B131" t="s">
        <v>266</v>
      </c>
      <c r="C131" s="1">
        <v>45937</v>
      </c>
      <c r="D131" t="s">
        <v>250</v>
      </c>
      <c r="E131" t="s">
        <v>14</v>
      </c>
      <c r="F131" t="s">
        <v>24</v>
      </c>
      <c r="G131" t="s">
        <v>16</v>
      </c>
      <c r="H131">
        <v>2</v>
      </c>
      <c r="I131">
        <v>116.4</v>
      </c>
      <c r="J131" t="s">
        <v>34</v>
      </c>
      <c r="K131" t="s">
        <v>21</v>
      </c>
      <c r="L131">
        <f>WEEKDAY(Table1[[#This Row],[Transaction_Date]],2)</f>
        <v>2</v>
      </c>
      <c r="M131">
        <f>IF(Table1[[#This Row],[Sale_Type]]="Buffet",1,0)</f>
        <v>0</v>
      </c>
    </row>
    <row r="132" spans="1:13" x14ac:dyDescent="0.2">
      <c r="A132" t="s">
        <v>267</v>
      </c>
      <c r="B132" t="s">
        <v>268</v>
      </c>
      <c r="C132" s="1">
        <v>45937</v>
      </c>
      <c r="D132" t="s">
        <v>250</v>
      </c>
      <c r="E132" t="s">
        <v>14</v>
      </c>
      <c r="F132" t="s">
        <v>27</v>
      </c>
      <c r="G132" t="s">
        <v>16</v>
      </c>
      <c r="H132">
        <v>3</v>
      </c>
      <c r="I132">
        <v>87.06</v>
      </c>
      <c r="J132" t="s">
        <v>34</v>
      </c>
      <c r="K132" t="s">
        <v>18</v>
      </c>
      <c r="L132">
        <f>WEEKDAY(Table1[[#This Row],[Transaction_Date]],2)</f>
        <v>2</v>
      </c>
      <c r="M132">
        <f>IF(Table1[[#This Row],[Sale_Type]]="Buffet",1,0)</f>
        <v>0</v>
      </c>
    </row>
    <row r="133" spans="1:13" x14ac:dyDescent="0.2">
      <c r="A133" t="s">
        <v>269</v>
      </c>
      <c r="B133" t="s">
        <v>270</v>
      </c>
      <c r="C133" s="1">
        <v>45937</v>
      </c>
      <c r="D133" t="s">
        <v>250</v>
      </c>
      <c r="E133" t="s">
        <v>14</v>
      </c>
      <c r="F133" t="s">
        <v>27</v>
      </c>
      <c r="G133" t="s">
        <v>16</v>
      </c>
      <c r="H133">
        <v>2</v>
      </c>
      <c r="I133">
        <v>94.99</v>
      </c>
      <c r="J133" t="s">
        <v>17</v>
      </c>
      <c r="K133" t="s">
        <v>18</v>
      </c>
      <c r="L133">
        <f>WEEKDAY(Table1[[#This Row],[Transaction_Date]],2)</f>
        <v>2</v>
      </c>
      <c r="M133">
        <f>IF(Table1[[#This Row],[Sale_Type]]="Buffet",1,0)</f>
        <v>0</v>
      </c>
    </row>
    <row r="134" spans="1:13" x14ac:dyDescent="0.2">
      <c r="A134" t="s">
        <v>271</v>
      </c>
      <c r="B134" t="s">
        <v>272</v>
      </c>
      <c r="C134" s="1">
        <v>45937</v>
      </c>
      <c r="D134" t="s">
        <v>250</v>
      </c>
      <c r="E134" t="s">
        <v>14</v>
      </c>
      <c r="F134" t="s">
        <v>27</v>
      </c>
      <c r="G134" t="s">
        <v>16</v>
      </c>
      <c r="H134">
        <v>3</v>
      </c>
      <c r="I134">
        <v>158.08000000000001</v>
      </c>
      <c r="J134" t="s">
        <v>28</v>
      </c>
      <c r="K134" t="s">
        <v>18</v>
      </c>
      <c r="L134">
        <f>WEEKDAY(Table1[[#This Row],[Transaction_Date]],2)</f>
        <v>2</v>
      </c>
      <c r="M134">
        <f>IF(Table1[[#This Row],[Sale_Type]]="Buffet",1,0)</f>
        <v>0</v>
      </c>
    </row>
    <row r="135" spans="1:13" x14ac:dyDescent="0.2">
      <c r="A135" t="s">
        <v>273</v>
      </c>
      <c r="B135" t="s">
        <v>274</v>
      </c>
      <c r="C135" s="1">
        <v>45937</v>
      </c>
      <c r="D135" t="s">
        <v>250</v>
      </c>
      <c r="E135" t="s">
        <v>14</v>
      </c>
      <c r="F135" t="s">
        <v>27</v>
      </c>
      <c r="G135" t="s">
        <v>16</v>
      </c>
      <c r="H135">
        <v>2</v>
      </c>
      <c r="I135">
        <v>49.95</v>
      </c>
      <c r="J135" t="s">
        <v>17</v>
      </c>
      <c r="K135" t="s">
        <v>18</v>
      </c>
      <c r="L135">
        <f>WEEKDAY(Table1[[#This Row],[Transaction_Date]],2)</f>
        <v>2</v>
      </c>
      <c r="M135">
        <f>IF(Table1[[#This Row],[Sale_Type]]="Buffet",1,0)</f>
        <v>0</v>
      </c>
    </row>
    <row r="136" spans="1:13" x14ac:dyDescent="0.2">
      <c r="A136" t="s">
        <v>275</v>
      </c>
      <c r="B136" t="s">
        <v>68</v>
      </c>
      <c r="C136" s="1">
        <v>45937</v>
      </c>
      <c r="D136" t="s">
        <v>250</v>
      </c>
      <c r="E136" t="s">
        <v>14</v>
      </c>
      <c r="F136" t="s">
        <v>27</v>
      </c>
      <c r="G136" t="s">
        <v>16</v>
      </c>
      <c r="H136">
        <v>3</v>
      </c>
      <c r="I136">
        <v>59.68</v>
      </c>
      <c r="J136" t="s">
        <v>17</v>
      </c>
      <c r="K136" t="s">
        <v>18</v>
      </c>
      <c r="L136">
        <f>WEEKDAY(Table1[[#This Row],[Transaction_Date]],2)</f>
        <v>2</v>
      </c>
      <c r="M136">
        <f>IF(Table1[[#This Row],[Sale_Type]]="Buffet",1,0)</f>
        <v>0</v>
      </c>
    </row>
    <row r="137" spans="1:13" x14ac:dyDescent="0.2">
      <c r="A137" t="s">
        <v>276</v>
      </c>
      <c r="B137" t="s">
        <v>165</v>
      </c>
      <c r="C137" s="1">
        <v>45937</v>
      </c>
      <c r="D137" t="s">
        <v>250</v>
      </c>
      <c r="E137" t="s">
        <v>14</v>
      </c>
      <c r="F137" t="s">
        <v>31</v>
      </c>
      <c r="G137" t="s">
        <v>16</v>
      </c>
      <c r="H137">
        <v>4</v>
      </c>
      <c r="I137">
        <v>89.23</v>
      </c>
      <c r="J137" t="s">
        <v>17</v>
      </c>
      <c r="K137" t="s">
        <v>21</v>
      </c>
      <c r="L137">
        <f>WEEKDAY(Table1[[#This Row],[Transaction_Date]],2)</f>
        <v>2</v>
      </c>
      <c r="M137">
        <f>IF(Table1[[#This Row],[Sale_Type]]="Buffet",1,0)</f>
        <v>0</v>
      </c>
    </row>
    <row r="138" spans="1:13" x14ac:dyDescent="0.2">
      <c r="A138" t="s">
        <v>277</v>
      </c>
      <c r="B138" t="s">
        <v>278</v>
      </c>
      <c r="C138" s="1">
        <v>45937</v>
      </c>
      <c r="D138" t="s">
        <v>250</v>
      </c>
      <c r="E138" t="s">
        <v>14</v>
      </c>
      <c r="F138" t="s">
        <v>31</v>
      </c>
      <c r="G138" t="s">
        <v>16</v>
      </c>
      <c r="H138">
        <v>4</v>
      </c>
      <c r="I138">
        <v>108.73</v>
      </c>
      <c r="J138" t="s">
        <v>34</v>
      </c>
      <c r="K138" t="s">
        <v>18</v>
      </c>
      <c r="L138">
        <f>WEEKDAY(Table1[[#This Row],[Transaction_Date]],2)</f>
        <v>2</v>
      </c>
      <c r="M138">
        <f>IF(Table1[[#This Row],[Sale_Type]]="Buffet",1,0)</f>
        <v>0</v>
      </c>
    </row>
    <row r="139" spans="1:13" x14ac:dyDescent="0.2">
      <c r="A139" t="s">
        <v>279</v>
      </c>
      <c r="B139" t="s">
        <v>66</v>
      </c>
      <c r="C139" s="1">
        <v>45937</v>
      </c>
      <c r="D139" t="s">
        <v>250</v>
      </c>
      <c r="E139" t="s">
        <v>14</v>
      </c>
      <c r="F139" t="s">
        <v>40</v>
      </c>
      <c r="G139" t="s">
        <v>16</v>
      </c>
      <c r="H139">
        <v>4</v>
      </c>
      <c r="I139">
        <v>157.19999999999999</v>
      </c>
      <c r="J139" t="s">
        <v>17</v>
      </c>
      <c r="K139" t="s">
        <v>21</v>
      </c>
      <c r="L139">
        <f>WEEKDAY(Table1[[#This Row],[Transaction_Date]],2)</f>
        <v>2</v>
      </c>
      <c r="M139">
        <f>IF(Table1[[#This Row],[Sale_Type]]="Buffet",1,0)</f>
        <v>0</v>
      </c>
    </row>
    <row r="140" spans="1:13" x14ac:dyDescent="0.2">
      <c r="A140" t="s">
        <v>280</v>
      </c>
      <c r="B140" t="s">
        <v>233</v>
      </c>
      <c r="C140" s="1">
        <v>45937</v>
      </c>
      <c r="D140" t="s">
        <v>250</v>
      </c>
      <c r="E140" t="s">
        <v>43</v>
      </c>
      <c r="F140" t="s">
        <v>44</v>
      </c>
      <c r="G140" t="s">
        <v>16</v>
      </c>
      <c r="H140">
        <v>2</v>
      </c>
      <c r="I140">
        <v>41.17</v>
      </c>
      <c r="J140" t="s">
        <v>34</v>
      </c>
      <c r="K140" t="s">
        <v>18</v>
      </c>
      <c r="L140">
        <f>WEEKDAY(Table1[[#This Row],[Transaction_Date]],2)</f>
        <v>2</v>
      </c>
      <c r="M140">
        <f>IF(Table1[[#This Row],[Sale_Type]]="Buffet",1,0)</f>
        <v>0</v>
      </c>
    </row>
    <row r="141" spans="1:13" x14ac:dyDescent="0.2">
      <c r="A141" t="s">
        <v>281</v>
      </c>
      <c r="B141" t="s">
        <v>70</v>
      </c>
      <c r="C141" s="1">
        <v>45937</v>
      </c>
      <c r="D141" t="s">
        <v>250</v>
      </c>
      <c r="E141" t="s">
        <v>43</v>
      </c>
      <c r="F141" t="s">
        <v>50</v>
      </c>
      <c r="G141" t="s">
        <v>16</v>
      </c>
      <c r="H141">
        <v>5</v>
      </c>
      <c r="I141">
        <v>87.71</v>
      </c>
      <c r="J141" t="s">
        <v>28</v>
      </c>
      <c r="K141" t="s">
        <v>18</v>
      </c>
      <c r="L141">
        <f>WEEKDAY(Table1[[#This Row],[Transaction_Date]],2)</f>
        <v>2</v>
      </c>
      <c r="M141">
        <f>IF(Table1[[#This Row],[Sale_Type]]="Buffet",1,0)</f>
        <v>0</v>
      </c>
    </row>
    <row r="142" spans="1:13" x14ac:dyDescent="0.2">
      <c r="A142" t="s">
        <v>282</v>
      </c>
      <c r="B142" t="s">
        <v>283</v>
      </c>
      <c r="C142" s="1">
        <v>45937</v>
      </c>
      <c r="D142" t="s">
        <v>250</v>
      </c>
      <c r="E142" t="s">
        <v>43</v>
      </c>
      <c r="F142" t="s">
        <v>50</v>
      </c>
      <c r="G142" t="s">
        <v>16</v>
      </c>
      <c r="H142">
        <v>3</v>
      </c>
      <c r="I142">
        <v>49.63</v>
      </c>
      <c r="J142" t="s">
        <v>34</v>
      </c>
      <c r="K142" t="s">
        <v>18</v>
      </c>
      <c r="L142">
        <f>WEEKDAY(Table1[[#This Row],[Transaction_Date]],2)</f>
        <v>2</v>
      </c>
      <c r="M142">
        <f>IF(Table1[[#This Row],[Sale_Type]]="Buffet",1,0)</f>
        <v>0</v>
      </c>
    </row>
    <row r="143" spans="1:13" x14ac:dyDescent="0.2">
      <c r="A143" t="s">
        <v>284</v>
      </c>
      <c r="B143" t="s">
        <v>30</v>
      </c>
      <c r="C143" s="1">
        <v>45937</v>
      </c>
      <c r="D143" t="s">
        <v>250</v>
      </c>
      <c r="E143" t="s">
        <v>43</v>
      </c>
      <c r="F143" t="s">
        <v>57</v>
      </c>
      <c r="G143" t="s">
        <v>16</v>
      </c>
      <c r="H143">
        <v>4</v>
      </c>
      <c r="I143">
        <v>66.290000000000006</v>
      </c>
      <c r="J143" t="s">
        <v>34</v>
      </c>
      <c r="K143" t="s">
        <v>18</v>
      </c>
      <c r="L143">
        <f>WEEKDAY(Table1[[#This Row],[Transaction_Date]],2)</f>
        <v>2</v>
      </c>
      <c r="M143">
        <f>IF(Table1[[#This Row],[Sale_Type]]="Buffet",1,0)</f>
        <v>0</v>
      </c>
    </row>
    <row r="144" spans="1:13" x14ac:dyDescent="0.2">
      <c r="A144" t="s">
        <v>285</v>
      </c>
      <c r="B144" t="s">
        <v>79</v>
      </c>
      <c r="C144" s="1">
        <v>45938</v>
      </c>
      <c r="D144" t="s">
        <v>13</v>
      </c>
      <c r="E144" t="s">
        <v>14</v>
      </c>
      <c r="F144" t="s">
        <v>15</v>
      </c>
      <c r="G144" t="s">
        <v>16</v>
      </c>
      <c r="H144">
        <v>2</v>
      </c>
      <c r="I144">
        <v>124.12</v>
      </c>
      <c r="J144" t="s">
        <v>17</v>
      </c>
      <c r="K144" t="s">
        <v>18</v>
      </c>
      <c r="L144">
        <f>WEEKDAY(Table1[[#This Row],[Transaction_Date]],2)</f>
        <v>3</v>
      </c>
      <c r="M144">
        <f>IF(Table1[[#This Row],[Sale_Type]]="Buffet",1,0)</f>
        <v>0</v>
      </c>
    </row>
    <row r="145" spans="1:13" x14ac:dyDescent="0.2">
      <c r="A145" t="s">
        <v>286</v>
      </c>
      <c r="B145" t="s">
        <v>226</v>
      </c>
      <c r="C145" s="1">
        <v>45938</v>
      </c>
      <c r="D145" t="s">
        <v>13</v>
      </c>
      <c r="E145" t="s">
        <v>14</v>
      </c>
      <c r="F145" t="s">
        <v>24</v>
      </c>
      <c r="G145" t="s">
        <v>16</v>
      </c>
      <c r="H145">
        <v>3</v>
      </c>
      <c r="I145">
        <v>160.88</v>
      </c>
      <c r="J145" t="s">
        <v>17</v>
      </c>
      <c r="K145" t="s">
        <v>18</v>
      </c>
      <c r="L145">
        <f>WEEKDAY(Table1[[#This Row],[Transaction_Date]],2)</f>
        <v>3</v>
      </c>
      <c r="M145">
        <f>IF(Table1[[#This Row],[Sale_Type]]="Buffet",1,0)</f>
        <v>0</v>
      </c>
    </row>
    <row r="146" spans="1:13" x14ac:dyDescent="0.2">
      <c r="A146" t="s">
        <v>287</v>
      </c>
      <c r="B146" t="s">
        <v>288</v>
      </c>
      <c r="C146" s="1">
        <v>45938</v>
      </c>
      <c r="D146" t="s">
        <v>13</v>
      </c>
      <c r="E146" t="s">
        <v>14</v>
      </c>
      <c r="F146" t="s">
        <v>24</v>
      </c>
      <c r="G146" t="s">
        <v>16</v>
      </c>
      <c r="H146">
        <v>2</v>
      </c>
      <c r="I146">
        <v>44.05</v>
      </c>
      <c r="J146" t="s">
        <v>17</v>
      </c>
      <c r="K146" t="s">
        <v>18</v>
      </c>
      <c r="L146">
        <f>WEEKDAY(Table1[[#This Row],[Transaction_Date]],2)</f>
        <v>3</v>
      </c>
      <c r="M146">
        <f>IF(Table1[[#This Row],[Sale_Type]]="Buffet",1,0)</f>
        <v>0</v>
      </c>
    </row>
    <row r="147" spans="1:13" x14ac:dyDescent="0.2">
      <c r="A147" t="s">
        <v>289</v>
      </c>
      <c r="B147" t="s">
        <v>208</v>
      </c>
      <c r="C147" s="1">
        <v>45938</v>
      </c>
      <c r="D147" t="s">
        <v>13</v>
      </c>
      <c r="E147" t="s">
        <v>14</v>
      </c>
      <c r="F147" t="s">
        <v>27</v>
      </c>
      <c r="G147" t="s">
        <v>16</v>
      </c>
      <c r="H147">
        <v>1</v>
      </c>
      <c r="I147">
        <v>19.55</v>
      </c>
      <c r="J147" t="s">
        <v>17</v>
      </c>
      <c r="K147" t="s">
        <v>18</v>
      </c>
      <c r="L147">
        <f>WEEKDAY(Table1[[#This Row],[Transaction_Date]],2)</f>
        <v>3</v>
      </c>
      <c r="M147">
        <f>IF(Table1[[#This Row],[Sale_Type]]="Buffet",1,0)</f>
        <v>0</v>
      </c>
    </row>
    <row r="148" spans="1:13" x14ac:dyDescent="0.2">
      <c r="A148" t="s">
        <v>290</v>
      </c>
      <c r="B148" t="s">
        <v>49</v>
      </c>
      <c r="C148" s="1">
        <v>45938</v>
      </c>
      <c r="D148" t="s">
        <v>13</v>
      </c>
      <c r="E148" t="s">
        <v>14</v>
      </c>
      <c r="F148" t="s">
        <v>27</v>
      </c>
      <c r="G148" t="s">
        <v>16</v>
      </c>
      <c r="H148">
        <v>1</v>
      </c>
      <c r="I148">
        <v>31.77</v>
      </c>
      <c r="J148" t="s">
        <v>28</v>
      </c>
      <c r="K148" t="s">
        <v>21</v>
      </c>
      <c r="L148">
        <f>WEEKDAY(Table1[[#This Row],[Transaction_Date]],2)</f>
        <v>3</v>
      </c>
      <c r="M148">
        <f>IF(Table1[[#This Row],[Sale_Type]]="Buffet",1,0)</f>
        <v>0</v>
      </c>
    </row>
    <row r="149" spans="1:13" x14ac:dyDescent="0.2">
      <c r="A149" t="s">
        <v>291</v>
      </c>
      <c r="B149" t="s">
        <v>180</v>
      </c>
      <c r="C149" s="1">
        <v>45938</v>
      </c>
      <c r="D149" t="s">
        <v>13</v>
      </c>
      <c r="E149" t="s">
        <v>14</v>
      </c>
      <c r="F149" t="s">
        <v>31</v>
      </c>
      <c r="G149" t="s">
        <v>16</v>
      </c>
      <c r="H149">
        <v>2</v>
      </c>
      <c r="I149">
        <v>65.52</v>
      </c>
      <c r="J149" t="s">
        <v>17</v>
      </c>
      <c r="K149" t="s">
        <v>18</v>
      </c>
      <c r="L149">
        <f>WEEKDAY(Table1[[#This Row],[Transaction_Date]],2)</f>
        <v>3</v>
      </c>
      <c r="M149">
        <f>IF(Table1[[#This Row],[Sale_Type]]="Buffet",1,0)</f>
        <v>0</v>
      </c>
    </row>
    <row r="150" spans="1:13" x14ac:dyDescent="0.2">
      <c r="A150" t="s">
        <v>292</v>
      </c>
      <c r="B150" t="s">
        <v>293</v>
      </c>
      <c r="C150" s="1">
        <v>45938</v>
      </c>
      <c r="D150" t="s">
        <v>13</v>
      </c>
      <c r="E150" t="s">
        <v>14</v>
      </c>
      <c r="F150" t="s">
        <v>31</v>
      </c>
      <c r="G150" t="s">
        <v>16</v>
      </c>
      <c r="H150">
        <v>3</v>
      </c>
      <c r="I150">
        <v>62.15</v>
      </c>
      <c r="J150" t="s">
        <v>17</v>
      </c>
      <c r="K150" t="s">
        <v>18</v>
      </c>
      <c r="L150">
        <f>WEEKDAY(Table1[[#This Row],[Transaction_Date]],2)</f>
        <v>3</v>
      </c>
      <c r="M150">
        <f>IF(Table1[[#This Row],[Sale_Type]]="Buffet",1,0)</f>
        <v>0</v>
      </c>
    </row>
    <row r="151" spans="1:13" x14ac:dyDescent="0.2">
      <c r="A151" t="s">
        <v>294</v>
      </c>
      <c r="B151" t="s">
        <v>295</v>
      </c>
      <c r="C151" s="1">
        <v>45938</v>
      </c>
      <c r="D151" t="s">
        <v>13</v>
      </c>
      <c r="E151" t="s">
        <v>14</v>
      </c>
      <c r="F151" t="s">
        <v>40</v>
      </c>
      <c r="G151" t="s">
        <v>16</v>
      </c>
      <c r="H151">
        <v>5</v>
      </c>
      <c r="I151">
        <v>99.83</v>
      </c>
      <c r="J151" t="s">
        <v>17</v>
      </c>
      <c r="K151" t="s">
        <v>18</v>
      </c>
      <c r="L151">
        <f>WEEKDAY(Table1[[#This Row],[Transaction_Date]],2)</f>
        <v>3</v>
      </c>
      <c r="M151">
        <f>IF(Table1[[#This Row],[Sale_Type]]="Buffet",1,0)</f>
        <v>0</v>
      </c>
    </row>
    <row r="152" spans="1:13" x14ac:dyDescent="0.2">
      <c r="A152" t="s">
        <v>296</v>
      </c>
      <c r="B152" t="s">
        <v>91</v>
      </c>
      <c r="C152" s="1">
        <v>45938</v>
      </c>
      <c r="D152" t="s">
        <v>13</v>
      </c>
      <c r="E152" t="s">
        <v>43</v>
      </c>
      <c r="F152" t="s">
        <v>44</v>
      </c>
      <c r="G152" t="s">
        <v>45</v>
      </c>
      <c r="H152">
        <v>2</v>
      </c>
      <c r="I152">
        <v>40</v>
      </c>
      <c r="J152" t="s">
        <v>28</v>
      </c>
      <c r="K152" t="s">
        <v>18</v>
      </c>
      <c r="L152">
        <f>WEEKDAY(Table1[[#This Row],[Transaction_Date]],2)</f>
        <v>3</v>
      </c>
      <c r="M152">
        <f>IF(Table1[[#This Row],[Sale_Type]]="Buffet",1,0)</f>
        <v>1</v>
      </c>
    </row>
    <row r="153" spans="1:13" x14ac:dyDescent="0.2">
      <c r="A153" t="s">
        <v>297</v>
      </c>
      <c r="B153" t="s">
        <v>111</v>
      </c>
      <c r="C153" s="1">
        <v>45938</v>
      </c>
      <c r="D153" t="s">
        <v>13</v>
      </c>
      <c r="E153" t="s">
        <v>43</v>
      </c>
      <c r="F153" t="s">
        <v>44</v>
      </c>
      <c r="G153" t="s">
        <v>45</v>
      </c>
      <c r="H153">
        <v>3</v>
      </c>
      <c r="I153">
        <v>60</v>
      </c>
      <c r="J153" t="s">
        <v>17</v>
      </c>
      <c r="K153" t="s">
        <v>21</v>
      </c>
      <c r="L153">
        <f>WEEKDAY(Table1[[#This Row],[Transaction_Date]],2)</f>
        <v>3</v>
      </c>
      <c r="M153">
        <f>IF(Table1[[#This Row],[Sale_Type]]="Buffet",1,0)</f>
        <v>1</v>
      </c>
    </row>
    <row r="154" spans="1:13" x14ac:dyDescent="0.2">
      <c r="A154" t="s">
        <v>298</v>
      </c>
      <c r="B154" t="s">
        <v>283</v>
      </c>
      <c r="C154" s="1">
        <v>45938</v>
      </c>
      <c r="D154" t="s">
        <v>13</v>
      </c>
      <c r="E154" t="s">
        <v>43</v>
      </c>
      <c r="F154" t="s">
        <v>44</v>
      </c>
      <c r="G154" t="s">
        <v>45</v>
      </c>
      <c r="H154">
        <v>4</v>
      </c>
      <c r="I154">
        <v>84.5</v>
      </c>
      <c r="J154" t="s">
        <v>17</v>
      </c>
      <c r="K154" t="s">
        <v>18</v>
      </c>
      <c r="L154">
        <f>WEEKDAY(Table1[[#This Row],[Transaction_Date]],2)</f>
        <v>3</v>
      </c>
      <c r="M154">
        <f>IF(Table1[[#This Row],[Sale_Type]]="Buffet",1,0)</f>
        <v>1</v>
      </c>
    </row>
    <row r="155" spans="1:13" x14ac:dyDescent="0.2">
      <c r="A155" t="s">
        <v>299</v>
      </c>
      <c r="B155" t="s">
        <v>300</v>
      </c>
      <c r="C155" s="1">
        <v>45938</v>
      </c>
      <c r="D155" t="s">
        <v>13</v>
      </c>
      <c r="E155" t="s">
        <v>43</v>
      </c>
      <c r="F155" t="s">
        <v>44</v>
      </c>
      <c r="G155" t="s">
        <v>16</v>
      </c>
      <c r="H155">
        <v>2</v>
      </c>
      <c r="I155">
        <v>43.47</v>
      </c>
      <c r="J155" t="s">
        <v>17</v>
      </c>
      <c r="K155" t="s">
        <v>18</v>
      </c>
      <c r="L155">
        <f>WEEKDAY(Table1[[#This Row],[Transaction_Date]],2)</f>
        <v>3</v>
      </c>
      <c r="M155">
        <f>IF(Table1[[#This Row],[Sale_Type]]="Buffet",1,0)</f>
        <v>0</v>
      </c>
    </row>
    <row r="156" spans="1:13" x14ac:dyDescent="0.2">
      <c r="A156" t="s">
        <v>301</v>
      </c>
      <c r="B156" t="s">
        <v>109</v>
      </c>
      <c r="C156" s="1">
        <v>45938</v>
      </c>
      <c r="D156" t="s">
        <v>13</v>
      </c>
      <c r="E156" t="s">
        <v>43</v>
      </c>
      <c r="F156" t="s">
        <v>44</v>
      </c>
      <c r="G156" t="s">
        <v>45</v>
      </c>
      <c r="H156">
        <v>7</v>
      </c>
      <c r="I156">
        <v>149</v>
      </c>
      <c r="J156" t="s">
        <v>34</v>
      </c>
      <c r="K156" t="s">
        <v>18</v>
      </c>
      <c r="L156">
        <f>WEEKDAY(Table1[[#This Row],[Transaction_Date]],2)</f>
        <v>3</v>
      </c>
      <c r="M156">
        <f>IF(Table1[[#This Row],[Sale_Type]]="Buffet",1,0)</f>
        <v>1</v>
      </c>
    </row>
    <row r="157" spans="1:13" x14ac:dyDescent="0.2">
      <c r="A157" t="s">
        <v>302</v>
      </c>
      <c r="B157" t="s">
        <v>258</v>
      </c>
      <c r="C157" s="1">
        <v>45938</v>
      </c>
      <c r="D157" t="s">
        <v>13</v>
      </c>
      <c r="E157" t="s">
        <v>43</v>
      </c>
      <c r="F157" t="s">
        <v>44</v>
      </c>
      <c r="G157" t="s">
        <v>45</v>
      </c>
      <c r="H157">
        <v>3</v>
      </c>
      <c r="I157">
        <v>69</v>
      </c>
      <c r="J157" t="s">
        <v>17</v>
      </c>
      <c r="K157" t="s">
        <v>18</v>
      </c>
      <c r="L157">
        <f>WEEKDAY(Table1[[#This Row],[Transaction_Date]],2)</f>
        <v>3</v>
      </c>
      <c r="M157">
        <f>IF(Table1[[#This Row],[Sale_Type]]="Buffet",1,0)</f>
        <v>1</v>
      </c>
    </row>
    <row r="158" spans="1:13" x14ac:dyDescent="0.2">
      <c r="A158" t="s">
        <v>303</v>
      </c>
      <c r="B158" t="s">
        <v>304</v>
      </c>
      <c r="C158" s="1">
        <v>45938</v>
      </c>
      <c r="D158" t="s">
        <v>13</v>
      </c>
      <c r="E158" t="s">
        <v>43</v>
      </c>
      <c r="F158" t="s">
        <v>44</v>
      </c>
      <c r="G158" t="s">
        <v>45</v>
      </c>
      <c r="H158">
        <v>3</v>
      </c>
      <c r="I158">
        <v>64.5</v>
      </c>
      <c r="J158" t="s">
        <v>17</v>
      </c>
      <c r="K158" t="s">
        <v>18</v>
      </c>
      <c r="L158">
        <f>WEEKDAY(Table1[[#This Row],[Transaction_Date]],2)</f>
        <v>3</v>
      </c>
      <c r="M158">
        <f>IF(Table1[[#This Row],[Sale_Type]]="Buffet",1,0)</f>
        <v>1</v>
      </c>
    </row>
    <row r="159" spans="1:13" x14ac:dyDescent="0.2">
      <c r="A159" t="s">
        <v>305</v>
      </c>
      <c r="B159" t="s">
        <v>131</v>
      </c>
      <c r="C159" s="1">
        <v>45938</v>
      </c>
      <c r="D159" t="s">
        <v>13</v>
      </c>
      <c r="E159" t="s">
        <v>43</v>
      </c>
      <c r="F159" t="s">
        <v>44</v>
      </c>
      <c r="G159" t="s">
        <v>45</v>
      </c>
      <c r="H159">
        <v>6</v>
      </c>
      <c r="I159">
        <v>133.5</v>
      </c>
      <c r="J159" t="s">
        <v>34</v>
      </c>
      <c r="K159" t="s">
        <v>18</v>
      </c>
      <c r="L159">
        <f>WEEKDAY(Table1[[#This Row],[Transaction_Date]],2)</f>
        <v>3</v>
      </c>
      <c r="M159">
        <f>IF(Table1[[#This Row],[Sale_Type]]="Buffet",1,0)</f>
        <v>1</v>
      </c>
    </row>
    <row r="160" spans="1:13" x14ac:dyDescent="0.2">
      <c r="A160" t="s">
        <v>306</v>
      </c>
      <c r="B160" t="s">
        <v>47</v>
      </c>
      <c r="C160" s="1">
        <v>45938</v>
      </c>
      <c r="D160" t="s">
        <v>13</v>
      </c>
      <c r="E160" t="s">
        <v>43</v>
      </c>
      <c r="F160" t="s">
        <v>50</v>
      </c>
      <c r="G160" t="s">
        <v>45</v>
      </c>
      <c r="H160">
        <v>3</v>
      </c>
      <c r="I160">
        <v>64.5</v>
      </c>
      <c r="J160" t="s">
        <v>28</v>
      </c>
      <c r="K160" t="s">
        <v>18</v>
      </c>
      <c r="L160">
        <f>WEEKDAY(Table1[[#This Row],[Transaction_Date]],2)</f>
        <v>3</v>
      </c>
      <c r="M160">
        <f>IF(Table1[[#This Row],[Sale_Type]]="Buffet",1,0)</f>
        <v>1</v>
      </c>
    </row>
    <row r="161" spans="1:13" x14ac:dyDescent="0.2">
      <c r="A161" t="s">
        <v>307</v>
      </c>
      <c r="B161" t="s">
        <v>254</v>
      </c>
      <c r="C161" s="1">
        <v>45938</v>
      </c>
      <c r="D161" t="s">
        <v>13</v>
      </c>
      <c r="E161" t="s">
        <v>43</v>
      </c>
      <c r="F161" t="s">
        <v>53</v>
      </c>
      <c r="G161" t="s">
        <v>16</v>
      </c>
      <c r="H161">
        <v>2</v>
      </c>
      <c r="I161">
        <v>39.840000000000003</v>
      </c>
      <c r="J161" t="s">
        <v>17</v>
      </c>
      <c r="K161" t="s">
        <v>18</v>
      </c>
      <c r="L161">
        <f>WEEKDAY(Table1[[#This Row],[Transaction_Date]],2)</f>
        <v>3</v>
      </c>
      <c r="M161">
        <f>IF(Table1[[#This Row],[Sale_Type]]="Buffet",1,0)</f>
        <v>0</v>
      </c>
    </row>
    <row r="162" spans="1:13" x14ac:dyDescent="0.2">
      <c r="A162" t="s">
        <v>308</v>
      </c>
      <c r="B162" t="s">
        <v>309</v>
      </c>
      <c r="C162" s="1">
        <v>45938</v>
      </c>
      <c r="D162" t="s">
        <v>13</v>
      </c>
      <c r="E162" t="s">
        <v>43</v>
      </c>
      <c r="F162" t="s">
        <v>53</v>
      </c>
      <c r="G162" t="s">
        <v>45</v>
      </c>
      <c r="H162">
        <v>1</v>
      </c>
      <c r="I162">
        <v>20</v>
      </c>
      <c r="J162" t="s">
        <v>17</v>
      </c>
      <c r="K162" t="s">
        <v>18</v>
      </c>
      <c r="L162">
        <f>WEEKDAY(Table1[[#This Row],[Transaction_Date]],2)</f>
        <v>3</v>
      </c>
      <c r="M162">
        <f>IF(Table1[[#This Row],[Sale_Type]]="Buffet",1,0)</f>
        <v>1</v>
      </c>
    </row>
    <row r="163" spans="1:13" x14ac:dyDescent="0.2">
      <c r="A163" t="s">
        <v>310</v>
      </c>
      <c r="B163" t="s">
        <v>185</v>
      </c>
      <c r="C163" s="1">
        <v>45938</v>
      </c>
      <c r="D163" t="s">
        <v>13</v>
      </c>
      <c r="E163" t="s">
        <v>43</v>
      </c>
      <c r="F163" t="s">
        <v>53</v>
      </c>
      <c r="G163" t="s">
        <v>45</v>
      </c>
      <c r="H163">
        <v>3</v>
      </c>
      <c r="I163">
        <v>69</v>
      </c>
      <c r="J163" t="s">
        <v>28</v>
      </c>
      <c r="K163" t="s">
        <v>18</v>
      </c>
      <c r="L163">
        <f>WEEKDAY(Table1[[#This Row],[Transaction_Date]],2)</f>
        <v>3</v>
      </c>
      <c r="M163">
        <f>IF(Table1[[#This Row],[Sale_Type]]="Buffet",1,0)</f>
        <v>1</v>
      </c>
    </row>
    <row r="164" spans="1:13" x14ac:dyDescent="0.2">
      <c r="A164" t="s">
        <v>311</v>
      </c>
      <c r="B164" t="s">
        <v>64</v>
      </c>
      <c r="C164" s="1">
        <v>45938</v>
      </c>
      <c r="D164" t="s">
        <v>13</v>
      </c>
      <c r="E164" t="s">
        <v>43</v>
      </c>
      <c r="F164" t="s">
        <v>53</v>
      </c>
      <c r="G164" t="s">
        <v>45</v>
      </c>
      <c r="H164">
        <v>2</v>
      </c>
      <c r="I164">
        <v>44.5</v>
      </c>
      <c r="J164" t="s">
        <v>17</v>
      </c>
      <c r="K164" t="s">
        <v>21</v>
      </c>
      <c r="L164">
        <f>WEEKDAY(Table1[[#This Row],[Transaction_Date]],2)</f>
        <v>3</v>
      </c>
      <c r="M164">
        <f>IF(Table1[[#This Row],[Sale_Type]]="Buffet",1,0)</f>
        <v>1</v>
      </c>
    </row>
    <row r="165" spans="1:13" x14ac:dyDescent="0.2">
      <c r="A165" t="s">
        <v>312</v>
      </c>
      <c r="B165" t="s">
        <v>313</v>
      </c>
      <c r="C165" s="1">
        <v>45938</v>
      </c>
      <c r="D165" t="s">
        <v>13</v>
      </c>
      <c r="E165" t="s">
        <v>43</v>
      </c>
      <c r="F165" t="s">
        <v>57</v>
      </c>
      <c r="G165" t="s">
        <v>16</v>
      </c>
      <c r="H165">
        <v>5</v>
      </c>
      <c r="I165">
        <v>108.68</v>
      </c>
      <c r="J165" t="s">
        <v>28</v>
      </c>
      <c r="K165" t="s">
        <v>21</v>
      </c>
      <c r="L165">
        <f>WEEKDAY(Table1[[#This Row],[Transaction_Date]],2)</f>
        <v>3</v>
      </c>
      <c r="M165">
        <f>IF(Table1[[#This Row],[Sale_Type]]="Buffet",1,0)</f>
        <v>0</v>
      </c>
    </row>
    <row r="166" spans="1:13" x14ac:dyDescent="0.2">
      <c r="A166" t="s">
        <v>314</v>
      </c>
      <c r="B166" t="s">
        <v>315</v>
      </c>
      <c r="C166" s="1">
        <v>45939</v>
      </c>
      <c r="D166" t="s">
        <v>62</v>
      </c>
      <c r="E166" t="s">
        <v>14</v>
      </c>
      <c r="F166" t="s">
        <v>15</v>
      </c>
      <c r="G166" t="s">
        <v>16</v>
      </c>
      <c r="H166">
        <v>2</v>
      </c>
      <c r="I166">
        <v>72.900000000000006</v>
      </c>
      <c r="J166" t="s">
        <v>17</v>
      </c>
      <c r="K166" t="s">
        <v>18</v>
      </c>
      <c r="L166">
        <f>WEEKDAY(Table1[[#This Row],[Transaction_Date]],2)</f>
        <v>4</v>
      </c>
      <c r="M166">
        <f>IF(Table1[[#This Row],[Sale_Type]]="Buffet",1,0)</f>
        <v>0</v>
      </c>
    </row>
    <row r="167" spans="1:13" x14ac:dyDescent="0.2">
      <c r="A167" t="s">
        <v>316</v>
      </c>
      <c r="B167" t="s">
        <v>152</v>
      </c>
      <c r="C167" s="1">
        <v>45939</v>
      </c>
      <c r="D167" t="s">
        <v>62</v>
      </c>
      <c r="E167" t="s">
        <v>14</v>
      </c>
      <c r="F167" t="s">
        <v>15</v>
      </c>
      <c r="G167" t="s">
        <v>16</v>
      </c>
      <c r="H167">
        <v>3</v>
      </c>
      <c r="I167">
        <v>65.290000000000006</v>
      </c>
      <c r="J167" t="s">
        <v>28</v>
      </c>
      <c r="K167" t="s">
        <v>18</v>
      </c>
      <c r="L167">
        <f>WEEKDAY(Table1[[#This Row],[Transaction_Date]],2)</f>
        <v>4</v>
      </c>
      <c r="M167">
        <f>IF(Table1[[#This Row],[Sale_Type]]="Buffet",1,0)</f>
        <v>0</v>
      </c>
    </row>
    <row r="168" spans="1:13" x14ac:dyDescent="0.2">
      <c r="A168" t="s">
        <v>317</v>
      </c>
      <c r="B168" t="s">
        <v>318</v>
      </c>
      <c r="C168" s="1">
        <v>45939</v>
      </c>
      <c r="D168" t="s">
        <v>62</v>
      </c>
      <c r="E168" t="s">
        <v>14</v>
      </c>
      <c r="F168" t="s">
        <v>24</v>
      </c>
      <c r="G168" t="s">
        <v>16</v>
      </c>
      <c r="H168">
        <v>3</v>
      </c>
      <c r="I168">
        <v>51.43</v>
      </c>
      <c r="J168" t="s">
        <v>17</v>
      </c>
      <c r="K168" t="s">
        <v>18</v>
      </c>
      <c r="L168">
        <f>WEEKDAY(Table1[[#This Row],[Transaction_Date]],2)</f>
        <v>4</v>
      </c>
      <c r="M168">
        <f>IF(Table1[[#This Row],[Sale_Type]]="Buffet",1,0)</f>
        <v>0</v>
      </c>
    </row>
    <row r="169" spans="1:13" x14ac:dyDescent="0.2">
      <c r="A169" t="s">
        <v>319</v>
      </c>
      <c r="B169" t="s">
        <v>66</v>
      </c>
      <c r="C169" s="1">
        <v>45939</v>
      </c>
      <c r="D169" t="s">
        <v>62</v>
      </c>
      <c r="E169" t="s">
        <v>14</v>
      </c>
      <c r="F169" t="s">
        <v>24</v>
      </c>
      <c r="G169" t="s">
        <v>16</v>
      </c>
      <c r="H169">
        <v>4</v>
      </c>
      <c r="I169">
        <v>174.59</v>
      </c>
      <c r="J169" t="s">
        <v>17</v>
      </c>
      <c r="K169" t="s">
        <v>21</v>
      </c>
      <c r="L169">
        <f>WEEKDAY(Table1[[#This Row],[Transaction_Date]],2)</f>
        <v>4</v>
      </c>
      <c r="M169">
        <f>IF(Table1[[#This Row],[Sale_Type]]="Buffet",1,0)</f>
        <v>0</v>
      </c>
    </row>
    <row r="170" spans="1:13" x14ac:dyDescent="0.2">
      <c r="A170" t="s">
        <v>320</v>
      </c>
      <c r="B170" t="s">
        <v>87</v>
      </c>
      <c r="C170" s="1">
        <v>45939</v>
      </c>
      <c r="D170" t="s">
        <v>62</v>
      </c>
      <c r="E170" t="s">
        <v>14</v>
      </c>
      <c r="F170" t="s">
        <v>24</v>
      </c>
      <c r="G170" t="s">
        <v>16</v>
      </c>
      <c r="H170">
        <v>2</v>
      </c>
      <c r="I170">
        <v>56.66</v>
      </c>
      <c r="J170" t="s">
        <v>17</v>
      </c>
      <c r="K170" t="s">
        <v>18</v>
      </c>
      <c r="L170">
        <f>WEEKDAY(Table1[[#This Row],[Transaction_Date]],2)</f>
        <v>4</v>
      </c>
      <c r="M170">
        <f>IF(Table1[[#This Row],[Sale_Type]]="Buffet",1,0)</f>
        <v>0</v>
      </c>
    </row>
    <row r="171" spans="1:13" x14ac:dyDescent="0.2">
      <c r="A171" t="s">
        <v>321</v>
      </c>
      <c r="B171" t="s">
        <v>260</v>
      </c>
      <c r="C171" s="1">
        <v>45939</v>
      </c>
      <c r="D171" t="s">
        <v>62</v>
      </c>
      <c r="E171" t="s">
        <v>14</v>
      </c>
      <c r="F171" t="s">
        <v>27</v>
      </c>
      <c r="G171" t="s">
        <v>16</v>
      </c>
      <c r="H171">
        <v>2</v>
      </c>
      <c r="I171">
        <v>60.73</v>
      </c>
      <c r="J171" t="s">
        <v>17</v>
      </c>
      <c r="K171" t="s">
        <v>18</v>
      </c>
      <c r="L171">
        <f>WEEKDAY(Table1[[#This Row],[Transaction_Date]],2)</f>
        <v>4</v>
      </c>
      <c r="M171">
        <f>IF(Table1[[#This Row],[Sale_Type]]="Buffet",1,0)</f>
        <v>0</v>
      </c>
    </row>
    <row r="172" spans="1:13" x14ac:dyDescent="0.2">
      <c r="A172" t="s">
        <v>322</v>
      </c>
      <c r="B172" t="s">
        <v>323</v>
      </c>
      <c r="C172" s="1">
        <v>45939</v>
      </c>
      <c r="D172" t="s">
        <v>62</v>
      </c>
      <c r="E172" t="s">
        <v>14</v>
      </c>
      <c r="F172" t="s">
        <v>27</v>
      </c>
      <c r="G172" t="s">
        <v>16</v>
      </c>
      <c r="H172">
        <v>3</v>
      </c>
      <c r="I172">
        <v>121.85</v>
      </c>
      <c r="J172" t="s">
        <v>34</v>
      </c>
      <c r="K172" t="s">
        <v>18</v>
      </c>
      <c r="L172">
        <f>WEEKDAY(Table1[[#This Row],[Transaction_Date]],2)</f>
        <v>4</v>
      </c>
      <c r="M172">
        <f>IF(Table1[[#This Row],[Sale_Type]]="Buffet",1,0)</f>
        <v>0</v>
      </c>
    </row>
    <row r="173" spans="1:13" x14ac:dyDescent="0.2">
      <c r="A173" t="s">
        <v>324</v>
      </c>
      <c r="B173" t="s">
        <v>64</v>
      </c>
      <c r="C173" s="1">
        <v>45939</v>
      </c>
      <c r="D173" t="s">
        <v>62</v>
      </c>
      <c r="E173" t="s">
        <v>14</v>
      </c>
      <c r="F173" t="s">
        <v>31</v>
      </c>
      <c r="G173" t="s">
        <v>16</v>
      </c>
      <c r="H173">
        <v>5</v>
      </c>
      <c r="I173">
        <v>178.95</v>
      </c>
      <c r="J173" t="s">
        <v>17</v>
      </c>
      <c r="K173" t="s">
        <v>18</v>
      </c>
      <c r="L173">
        <f>WEEKDAY(Table1[[#This Row],[Transaction_Date]],2)</f>
        <v>4</v>
      </c>
      <c r="M173">
        <f>IF(Table1[[#This Row],[Sale_Type]]="Buffet",1,0)</f>
        <v>0</v>
      </c>
    </row>
    <row r="174" spans="1:13" x14ac:dyDescent="0.2">
      <c r="A174" t="s">
        <v>325</v>
      </c>
      <c r="B174" t="s">
        <v>326</v>
      </c>
      <c r="C174" s="1">
        <v>45939</v>
      </c>
      <c r="D174" t="s">
        <v>62</v>
      </c>
      <c r="E174" t="s">
        <v>14</v>
      </c>
      <c r="F174" t="s">
        <v>40</v>
      </c>
      <c r="G174" t="s">
        <v>16</v>
      </c>
      <c r="H174">
        <v>3</v>
      </c>
      <c r="I174">
        <v>77.989999999999995</v>
      </c>
      <c r="J174" t="s">
        <v>17</v>
      </c>
      <c r="K174" t="s">
        <v>18</v>
      </c>
      <c r="L174">
        <f>WEEKDAY(Table1[[#This Row],[Transaction_Date]],2)</f>
        <v>4</v>
      </c>
      <c r="M174">
        <f>IF(Table1[[#This Row],[Sale_Type]]="Buffet",1,0)</f>
        <v>0</v>
      </c>
    </row>
    <row r="175" spans="1:13" x14ac:dyDescent="0.2">
      <c r="A175" t="s">
        <v>327</v>
      </c>
      <c r="B175" t="s">
        <v>146</v>
      </c>
      <c r="C175" s="1">
        <v>45939</v>
      </c>
      <c r="D175" t="s">
        <v>62</v>
      </c>
      <c r="E175" t="s">
        <v>14</v>
      </c>
      <c r="F175" t="s">
        <v>40</v>
      </c>
      <c r="G175" t="s">
        <v>16</v>
      </c>
      <c r="H175">
        <v>2</v>
      </c>
      <c r="I175">
        <v>44.95</v>
      </c>
      <c r="J175" t="s">
        <v>17</v>
      </c>
      <c r="K175" t="s">
        <v>18</v>
      </c>
      <c r="L175">
        <f>WEEKDAY(Table1[[#This Row],[Transaction_Date]],2)</f>
        <v>4</v>
      </c>
      <c r="M175">
        <f>IF(Table1[[#This Row],[Sale_Type]]="Buffet",1,0)</f>
        <v>0</v>
      </c>
    </row>
    <row r="176" spans="1:13" x14ac:dyDescent="0.2">
      <c r="A176" t="s">
        <v>328</v>
      </c>
      <c r="B176" t="s">
        <v>329</v>
      </c>
      <c r="C176" s="1">
        <v>45939</v>
      </c>
      <c r="D176" t="s">
        <v>62</v>
      </c>
      <c r="E176" t="s">
        <v>43</v>
      </c>
      <c r="F176" t="s">
        <v>44</v>
      </c>
      <c r="G176" t="s">
        <v>16</v>
      </c>
      <c r="H176">
        <v>2</v>
      </c>
      <c r="I176">
        <v>32.82</v>
      </c>
      <c r="J176" t="s">
        <v>17</v>
      </c>
      <c r="K176" t="s">
        <v>18</v>
      </c>
      <c r="L176">
        <f>WEEKDAY(Table1[[#This Row],[Transaction_Date]],2)</f>
        <v>4</v>
      </c>
      <c r="M176">
        <f>IF(Table1[[#This Row],[Sale_Type]]="Buffet",1,0)</f>
        <v>0</v>
      </c>
    </row>
    <row r="177" spans="1:13" x14ac:dyDescent="0.2">
      <c r="A177" t="s">
        <v>330</v>
      </c>
      <c r="B177" t="s">
        <v>215</v>
      </c>
      <c r="C177" s="1">
        <v>45939</v>
      </c>
      <c r="D177" t="s">
        <v>62</v>
      </c>
      <c r="E177" t="s">
        <v>43</v>
      </c>
      <c r="F177" t="s">
        <v>44</v>
      </c>
      <c r="G177" t="s">
        <v>16</v>
      </c>
      <c r="H177">
        <v>4</v>
      </c>
      <c r="I177">
        <v>74.510000000000005</v>
      </c>
      <c r="J177" t="s">
        <v>17</v>
      </c>
      <c r="K177" t="s">
        <v>18</v>
      </c>
      <c r="L177">
        <f>WEEKDAY(Table1[[#This Row],[Transaction_Date]],2)</f>
        <v>4</v>
      </c>
      <c r="M177">
        <f>IF(Table1[[#This Row],[Sale_Type]]="Buffet",1,0)</f>
        <v>0</v>
      </c>
    </row>
    <row r="178" spans="1:13" x14ac:dyDescent="0.2">
      <c r="A178" t="s">
        <v>331</v>
      </c>
      <c r="B178" t="s">
        <v>332</v>
      </c>
      <c r="C178" s="1">
        <v>45939</v>
      </c>
      <c r="D178" t="s">
        <v>62</v>
      </c>
      <c r="E178" t="s">
        <v>43</v>
      </c>
      <c r="F178" t="s">
        <v>44</v>
      </c>
      <c r="G178" t="s">
        <v>45</v>
      </c>
      <c r="H178">
        <v>2</v>
      </c>
      <c r="I178">
        <v>40</v>
      </c>
      <c r="J178" t="s">
        <v>17</v>
      </c>
      <c r="K178" t="s">
        <v>18</v>
      </c>
      <c r="L178">
        <f>WEEKDAY(Table1[[#This Row],[Transaction_Date]],2)</f>
        <v>4</v>
      </c>
      <c r="M178">
        <f>IF(Table1[[#This Row],[Sale_Type]]="Buffet",1,0)</f>
        <v>1</v>
      </c>
    </row>
    <row r="179" spans="1:13" x14ac:dyDescent="0.2">
      <c r="A179" t="s">
        <v>333</v>
      </c>
      <c r="B179" t="s">
        <v>334</v>
      </c>
      <c r="C179" s="1">
        <v>45939</v>
      </c>
      <c r="D179" t="s">
        <v>62</v>
      </c>
      <c r="E179" t="s">
        <v>43</v>
      </c>
      <c r="F179" t="s">
        <v>50</v>
      </c>
      <c r="G179" t="s">
        <v>45</v>
      </c>
      <c r="H179">
        <v>3</v>
      </c>
      <c r="I179">
        <v>64.5</v>
      </c>
      <c r="J179" t="s">
        <v>28</v>
      </c>
      <c r="K179" t="s">
        <v>18</v>
      </c>
      <c r="L179">
        <f>WEEKDAY(Table1[[#This Row],[Transaction_Date]],2)</f>
        <v>4</v>
      </c>
      <c r="M179">
        <f>IF(Table1[[#This Row],[Sale_Type]]="Buffet",1,0)</f>
        <v>1</v>
      </c>
    </row>
    <row r="180" spans="1:13" x14ac:dyDescent="0.2">
      <c r="A180" t="s">
        <v>335</v>
      </c>
      <c r="B180" t="s">
        <v>52</v>
      </c>
      <c r="C180" s="1">
        <v>45939</v>
      </c>
      <c r="D180" t="s">
        <v>62</v>
      </c>
      <c r="E180" t="s">
        <v>43</v>
      </c>
      <c r="F180" t="s">
        <v>50</v>
      </c>
      <c r="G180" t="s">
        <v>45</v>
      </c>
      <c r="H180">
        <v>2</v>
      </c>
      <c r="I180">
        <v>40</v>
      </c>
      <c r="J180" t="s">
        <v>17</v>
      </c>
      <c r="K180" t="s">
        <v>21</v>
      </c>
      <c r="L180">
        <f>WEEKDAY(Table1[[#This Row],[Transaction_Date]],2)</f>
        <v>4</v>
      </c>
      <c r="M180">
        <f>IF(Table1[[#This Row],[Sale_Type]]="Buffet",1,0)</f>
        <v>1</v>
      </c>
    </row>
    <row r="181" spans="1:13" x14ac:dyDescent="0.2">
      <c r="A181" t="s">
        <v>336</v>
      </c>
      <c r="B181" t="s">
        <v>337</v>
      </c>
      <c r="C181" s="1">
        <v>45939</v>
      </c>
      <c r="D181" t="s">
        <v>62</v>
      </c>
      <c r="E181" t="s">
        <v>43</v>
      </c>
      <c r="F181" t="s">
        <v>50</v>
      </c>
      <c r="G181" t="s">
        <v>45</v>
      </c>
      <c r="H181">
        <v>5</v>
      </c>
      <c r="I181">
        <v>113.5</v>
      </c>
      <c r="J181" t="s">
        <v>17</v>
      </c>
      <c r="K181" t="s">
        <v>21</v>
      </c>
      <c r="L181">
        <f>WEEKDAY(Table1[[#This Row],[Transaction_Date]],2)</f>
        <v>4</v>
      </c>
      <c r="M181">
        <f>IF(Table1[[#This Row],[Sale_Type]]="Buffet",1,0)</f>
        <v>1</v>
      </c>
    </row>
    <row r="182" spans="1:13" x14ac:dyDescent="0.2">
      <c r="A182" t="s">
        <v>338</v>
      </c>
      <c r="B182" t="s">
        <v>231</v>
      </c>
      <c r="C182" s="1">
        <v>45939</v>
      </c>
      <c r="D182" t="s">
        <v>62</v>
      </c>
      <c r="E182" t="s">
        <v>43</v>
      </c>
      <c r="F182" t="s">
        <v>50</v>
      </c>
      <c r="G182" t="s">
        <v>16</v>
      </c>
      <c r="H182">
        <v>2</v>
      </c>
      <c r="I182">
        <v>49.65</v>
      </c>
      <c r="J182" t="s">
        <v>28</v>
      </c>
      <c r="K182" t="s">
        <v>21</v>
      </c>
      <c r="L182">
        <f>WEEKDAY(Table1[[#This Row],[Transaction_Date]],2)</f>
        <v>4</v>
      </c>
      <c r="M182">
        <f>IF(Table1[[#This Row],[Sale_Type]]="Buffet",1,0)</f>
        <v>0</v>
      </c>
    </row>
    <row r="183" spans="1:13" x14ac:dyDescent="0.2">
      <c r="A183" t="s">
        <v>339</v>
      </c>
      <c r="B183" t="s">
        <v>247</v>
      </c>
      <c r="C183" s="1">
        <v>45939</v>
      </c>
      <c r="D183" t="s">
        <v>62</v>
      </c>
      <c r="E183" t="s">
        <v>43</v>
      </c>
      <c r="F183" t="s">
        <v>50</v>
      </c>
      <c r="G183" t="s">
        <v>45</v>
      </c>
      <c r="H183">
        <v>3</v>
      </c>
      <c r="I183">
        <v>60</v>
      </c>
      <c r="J183" t="s">
        <v>17</v>
      </c>
      <c r="K183" t="s">
        <v>18</v>
      </c>
      <c r="L183">
        <f>WEEKDAY(Table1[[#This Row],[Transaction_Date]],2)</f>
        <v>4</v>
      </c>
      <c r="M183">
        <f>IF(Table1[[#This Row],[Sale_Type]]="Buffet",1,0)</f>
        <v>1</v>
      </c>
    </row>
    <row r="184" spans="1:13" x14ac:dyDescent="0.2">
      <c r="A184" t="s">
        <v>340</v>
      </c>
      <c r="B184" t="s">
        <v>341</v>
      </c>
      <c r="C184" s="1">
        <v>45939</v>
      </c>
      <c r="D184" t="s">
        <v>62</v>
      </c>
      <c r="E184" t="s">
        <v>43</v>
      </c>
      <c r="F184" t="s">
        <v>53</v>
      </c>
      <c r="G184" t="s">
        <v>16</v>
      </c>
      <c r="H184">
        <v>3</v>
      </c>
      <c r="I184">
        <v>81.78</v>
      </c>
      <c r="J184" t="s">
        <v>17</v>
      </c>
      <c r="K184" t="s">
        <v>18</v>
      </c>
      <c r="L184">
        <f>WEEKDAY(Table1[[#This Row],[Transaction_Date]],2)</f>
        <v>4</v>
      </c>
      <c r="M184">
        <f>IF(Table1[[#This Row],[Sale_Type]]="Buffet",1,0)</f>
        <v>0</v>
      </c>
    </row>
    <row r="185" spans="1:13" x14ac:dyDescent="0.2">
      <c r="A185" t="s">
        <v>342</v>
      </c>
      <c r="B185" t="s">
        <v>180</v>
      </c>
      <c r="C185" s="1">
        <v>45939</v>
      </c>
      <c r="D185" t="s">
        <v>62</v>
      </c>
      <c r="E185" t="s">
        <v>43</v>
      </c>
      <c r="F185" t="s">
        <v>57</v>
      </c>
      <c r="G185" t="s">
        <v>45</v>
      </c>
      <c r="H185">
        <v>4</v>
      </c>
      <c r="I185">
        <v>84.5</v>
      </c>
      <c r="J185" t="s">
        <v>34</v>
      </c>
      <c r="K185" t="s">
        <v>18</v>
      </c>
      <c r="L185">
        <f>WEEKDAY(Table1[[#This Row],[Transaction_Date]],2)</f>
        <v>4</v>
      </c>
      <c r="M185">
        <f>IF(Table1[[#This Row],[Sale_Type]]="Buffet",1,0)</f>
        <v>1</v>
      </c>
    </row>
    <row r="186" spans="1:13" x14ac:dyDescent="0.2">
      <c r="A186" t="s">
        <v>343</v>
      </c>
      <c r="B186" t="s">
        <v>272</v>
      </c>
      <c r="C186" s="1">
        <v>45940</v>
      </c>
      <c r="D186" t="s">
        <v>96</v>
      </c>
      <c r="E186" t="s">
        <v>14</v>
      </c>
      <c r="F186" t="s">
        <v>15</v>
      </c>
      <c r="G186" t="s">
        <v>16</v>
      </c>
      <c r="H186">
        <v>1</v>
      </c>
      <c r="I186">
        <v>13.7</v>
      </c>
      <c r="J186" t="s">
        <v>34</v>
      </c>
      <c r="K186" t="s">
        <v>18</v>
      </c>
      <c r="L186">
        <f>WEEKDAY(Table1[[#This Row],[Transaction_Date]],2)</f>
        <v>5</v>
      </c>
      <c r="M186">
        <f>IF(Table1[[#This Row],[Sale_Type]]="Buffet",1,0)</f>
        <v>0</v>
      </c>
    </row>
    <row r="187" spans="1:13" x14ac:dyDescent="0.2">
      <c r="A187" t="s">
        <v>344</v>
      </c>
      <c r="B187" t="s">
        <v>288</v>
      </c>
      <c r="C187" s="1">
        <v>45940</v>
      </c>
      <c r="D187" t="s">
        <v>96</v>
      </c>
      <c r="E187" t="s">
        <v>14</v>
      </c>
      <c r="F187" t="s">
        <v>24</v>
      </c>
      <c r="G187" t="s">
        <v>16</v>
      </c>
      <c r="H187">
        <v>2</v>
      </c>
      <c r="I187">
        <v>29.75</v>
      </c>
      <c r="J187" t="s">
        <v>17</v>
      </c>
      <c r="K187" t="s">
        <v>18</v>
      </c>
      <c r="L187">
        <f>WEEKDAY(Table1[[#This Row],[Transaction_Date]],2)</f>
        <v>5</v>
      </c>
      <c r="M187">
        <f>IF(Table1[[#This Row],[Sale_Type]]="Buffet",1,0)</f>
        <v>0</v>
      </c>
    </row>
    <row r="188" spans="1:13" x14ac:dyDescent="0.2">
      <c r="A188" t="s">
        <v>345</v>
      </c>
      <c r="B188" t="s">
        <v>346</v>
      </c>
      <c r="C188" s="1">
        <v>45940</v>
      </c>
      <c r="D188" t="s">
        <v>96</v>
      </c>
      <c r="E188" t="s">
        <v>14</v>
      </c>
      <c r="F188" t="s">
        <v>27</v>
      </c>
      <c r="G188" t="s">
        <v>16</v>
      </c>
      <c r="H188">
        <v>3</v>
      </c>
      <c r="I188">
        <v>114.35</v>
      </c>
      <c r="J188" t="s">
        <v>34</v>
      </c>
      <c r="K188" t="s">
        <v>18</v>
      </c>
      <c r="L188">
        <f>WEEKDAY(Table1[[#This Row],[Transaction_Date]],2)</f>
        <v>5</v>
      </c>
      <c r="M188">
        <f>IF(Table1[[#This Row],[Sale_Type]]="Buffet",1,0)</f>
        <v>0</v>
      </c>
    </row>
    <row r="189" spans="1:13" x14ac:dyDescent="0.2">
      <c r="A189" t="s">
        <v>347</v>
      </c>
      <c r="B189" t="s">
        <v>348</v>
      </c>
      <c r="C189" s="1">
        <v>45940</v>
      </c>
      <c r="D189" t="s">
        <v>96</v>
      </c>
      <c r="E189" t="s">
        <v>14</v>
      </c>
      <c r="F189" t="s">
        <v>27</v>
      </c>
      <c r="G189" t="s">
        <v>16</v>
      </c>
      <c r="H189">
        <v>3</v>
      </c>
      <c r="I189">
        <v>77.28</v>
      </c>
      <c r="J189" t="s">
        <v>17</v>
      </c>
      <c r="K189" t="s">
        <v>18</v>
      </c>
      <c r="L189">
        <f>WEEKDAY(Table1[[#This Row],[Transaction_Date]],2)</f>
        <v>5</v>
      </c>
      <c r="M189">
        <f>IF(Table1[[#This Row],[Sale_Type]]="Buffet",1,0)</f>
        <v>0</v>
      </c>
    </row>
    <row r="190" spans="1:13" x14ac:dyDescent="0.2">
      <c r="A190" t="s">
        <v>349</v>
      </c>
      <c r="B190" t="s">
        <v>288</v>
      </c>
      <c r="C190" s="1">
        <v>45940</v>
      </c>
      <c r="D190" t="s">
        <v>96</v>
      </c>
      <c r="E190" t="s">
        <v>14</v>
      </c>
      <c r="F190" t="s">
        <v>27</v>
      </c>
      <c r="G190" t="s">
        <v>16</v>
      </c>
      <c r="H190">
        <v>2</v>
      </c>
      <c r="I190">
        <v>57.03</v>
      </c>
      <c r="J190" t="s">
        <v>34</v>
      </c>
      <c r="K190" t="s">
        <v>18</v>
      </c>
      <c r="L190">
        <f>WEEKDAY(Table1[[#This Row],[Transaction_Date]],2)</f>
        <v>5</v>
      </c>
      <c r="M190">
        <f>IF(Table1[[#This Row],[Sale_Type]]="Buffet",1,0)</f>
        <v>0</v>
      </c>
    </row>
    <row r="191" spans="1:13" x14ac:dyDescent="0.2">
      <c r="A191" t="s">
        <v>350</v>
      </c>
      <c r="B191" t="s">
        <v>351</v>
      </c>
      <c r="C191" s="1">
        <v>45940</v>
      </c>
      <c r="D191" t="s">
        <v>96</v>
      </c>
      <c r="E191" t="s">
        <v>14</v>
      </c>
      <c r="F191" t="s">
        <v>31</v>
      </c>
      <c r="G191" t="s">
        <v>16</v>
      </c>
      <c r="H191">
        <v>4</v>
      </c>
      <c r="I191">
        <v>137.61000000000001</v>
      </c>
      <c r="J191" t="s">
        <v>17</v>
      </c>
      <c r="K191" t="s">
        <v>21</v>
      </c>
      <c r="L191">
        <f>WEEKDAY(Table1[[#This Row],[Transaction_Date]],2)</f>
        <v>5</v>
      </c>
      <c r="M191">
        <f>IF(Table1[[#This Row],[Sale_Type]]="Buffet",1,0)</f>
        <v>0</v>
      </c>
    </row>
    <row r="192" spans="1:13" x14ac:dyDescent="0.2">
      <c r="A192" t="s">
        <v>352</v>
      </c>
      <c r="B192" t="s">
        <v>226</v>
      </c>
      <c r="C192" s="1">
        <v>45940</v>
      </c>
      <c r="D192" t="s">
        <v>96</v>
      </c>
      <c r="E192" t="s">
        <v>14</v>
      </c>
      <c r="F192" t="s">
        <v>40</v>
      </c>
      <c r="G192" t="s">
        <v>16</v>
      </c>
      <c r="H192">
        <v>3</v>
      </c>
      <c r="I192">
        <v>62.5</v>
      </c>
      <c r="J192" t="s">
        <v>17</v>
      </c>
      <c r="K192" t="s">
        <v>18</v>
      </c>
      <c r="L192">
        <f>WEEKDAY(Table1[[#This Row],[Transaction_Date]],2)</f>
        <v>5</v>
      </c>
      <c r="M192">
        <f>IF(Table1[[#This Row],[Sale_Type]]="Buffet",1,0)</f>
        <v>0</v>
      </c>
    </row>
    <row r="193" spans="1:13" x14ac:dyDescent="0.2">
      <c r="A193" t="s">
        <v>353</v>
      </c>
      <c r="B193" t="s">
        <v>270</v>
      </c>
      <c r="C193" s="1">
        <v>45940</v>
      </c>
      <c r="D193" t="s">
        <v>96</v>
      </c>
      <c r="E193" t="s">
        <v>14</v>
      </c>
      <c r="F193" t="s">
        <v>40</v>
      </c>
      <c r="G193" t="s">
        <v>16</v>
      </c>
      <c r="H193">
        <v>3</v>
      </c>
      <c r="I193">
        <v>89.31</v>
      </c>
      <c r="J193" t="s">
        <v>17</v>
      </c>
      <c r="K193" t="s">
        <v>18</v>
      </c>
      <c r="L193">
        <f>WEEKDAY(Table1[[#This Row],[Transaction_Date]],2)</f>
        <v>5</v>
      </c>
      <c r="M193">
        <f>IF(Table1[[#This Row],[Sale_Type]]="Buffet",1,0)</f>
        <v>0</v>
      </c>
    </row>
    <row r="194" spans="1:13" x14ac:dyDescent="0.2">
      <c r="A194" t="s">
        <v>354</v>
      </c>
      <c r="B194" t="s">
        <v>222</v>
      </c>
      <c r="C194" s="1">
        <v>45940</v>
      </c>
      <c r="D194" t="s">
        <v>96</v>
      </c>
      <c r="E194" t="s">
        <v>43</v>
      </c>
      <c r="F194" t="s">
        <v>44</v>
      </c>
      <c r="G194" t="s">
        <v>45</v>
      </c>
      <c r="H194">
        <v>1</v>
      </c>
      <c r="I194">
        <v>20</v>
      </c>
      <c r="J194" t="s">
        <v>28</v>
      </c>
      <c r="K194" t="s">
        <v>21</v>
      </c>
      <c r="L194">
        <f>WEEKDAY(Table1[[#This Row],[Transaction_Date]],2)</f>
        <v>5</v>
      </c>
      <c r="M194">
        <f>IF(Table1[[#This Row],[Sale_Type]]="Buffet",1,0)</f>
        <v>1</v>
      </c>
    </row>
    <row r="195" spans="1:13" x14ac:dyDescent="0.2">
      <c r="A195" t="s">
        <v>355</v>
      </c>
      <c r="B195" t="s">
        <v>356</v>
      </c>
      <c r="C195" s="1">
        <v>45940</v>
      </c>
      <c r="D195" t="s">
        <v>96</v>
      </c>
      <c r="E195" t="s">
        <v>43</v>
      </c>
      <c r="F195" t="s">
        <v>44</v>
      </c>
      <c r="G195" t="s">
        <v>45</v>
      </c>
      <c r="H195">
        <v>2</v>
      </c>
      <c r="I195">
        <v>44.5</v>
      </c>
      <c r="J195" t="s">
        <v>28</v>
      </c>
      <c r="K195" t="s">
        <v>18</v>
      </c>
      <c r="L195">
        <f>WEEKDAY(Table1[[#This Row],[Transaction_Date]],2)</f>
        <v>5</v>
      </c>
      <c r="M195">
        <f>IF(Table1[[#This Row],[Sale_Type]]="Buffet",1,0)</f>
        <v>1</v>
      </c>
    </row>
    <row r="196" spans="1:13" x14ac:dyDescent="0.2">
      <c r="A196" t="s">
        <v>357</v>
      </c>
      <c r="B196" t="s">
        <v>341</v>
      </c>
      <c r="C196" s="1">
        <v>45940</v>
      </c>
      <c r="D196" t="s">
        <v>96</v>
      </c>
      <c r="E196" t="s">
        <v>43</v>
      </c>
      <c r="F196" t="s">
        <v>44</v>
      </c>
      <c r="G196" t="s">
        <v>45</v>
      </c>
      <c r="H196">
        <v>3</v>
      </c>
      <c r="I196">
        <v>60</v>
      </c>
      <c r="J196" t="s">
        <v>17</v>
      </c>
      <c r="K196" t="s">
        <v>18</v>
      </c>
      <c r="L196">
        <f>WEEKDAY(Table1[[#This Row],[Transaction_Date]],2)</f>
        <v>5</v>
      </c>
      <c r="M196">
        <f>IF(Table1[[#This Row],[Sale_Type]]="Buffet",1,0)</f>
        <v>1</v>
      </c>
    </row>
    <row r="197" spans="1:13" x14ac:dyDescent="0.2">
      <c r="A197" t="s">
        <v>358</v>
      </c>
      <c r="B197" t="s">
        <v>356</v>
      </c>
      <c r="C197" s="1">
        <v>45940</v>
      </c>
      <c r="D197" t="s">
        <v>96</v>
      </c>
      <c r="E197" t="s">
        <v>43</v>
      </c>
      <c r="F197" t="s">
        <v>44</v>
      </c>
      <c r="G197" t="s">
        <v>16</v>
      </c>
      <c r="H197">
        <v>3</v>
      </c>
      <c r="I197">
        <v>104.72</v>
      </c>
      <c r="J197" t="s">
        <v>28</v>
      </c>
      <c r="K197" t="s">
        <v>18</v>
      </c>
      <c r="L197">
        <f>WEEKDAY(Table1[[#This Row],[Transaction_Date]],2)</f>
        <v>5</v>
      </c>
      <c r="M197">
        <f>IF(Table1[[#This Row],[Sale_Type]]="Buffet",1,0)</f>
        <v>0</v>
      </c>
    </row>
    <row r="198" spans="1:13" x14ac:dyDescent="0.2">
      <c r="A198" t="s">
        <v>359</v>
      </c>
      <c r="B198" t="s">
        <v>111</v>
      </c>
      <c r="C198" s="1">
        <v>45940</v>
      </c>
      <c r="D198" t="s">
        <v>96</v>
      </c>
      <c r="E198" t="s">
        <v>43</v>
      </c>
      <c r="F198" t="s">
        <v>50</v>
      </c>
      <c r="G198" t="s">
        <v>16</v>
      </c>
      <c r="H198">
        <v>1</v>
      </c>
      <c r="I198">
        <v>19.72</v>
      </c>
      <c r="J198" t="s">
        <v>28</v>
      </c>
      <c r="K198" t="s">
        <v>21</v>
      </c>
      <c r="L198">
        <f>WEEKDAY(Table1[[#This Row],[Transaction_Date]],2)</f>
        <v>5</v>
      </c>
      <c r="M198">
        <f>IF(Table1[[#This Row],[Sale_Type]]="Buffet",1,0)</f>
        <v>0</v>
      </c>
    </row>
    <row r="199" spans="1:13" x14ac:dyDescent="0.2">
      <c r="A199" t="s">
        <v>360</v>
      </c>
      <c r="B199" t="s">
        <v>361</v>
      </c>
      <c r="C199" s="1">
        <v>45940</v>
      </c>
      <c r="D199" t="s">
        <v>96</v>
      </c>
      <c r="E199" t="s">
        <v>43</v>
      </c>
      <c r="F199" t="s">
        <v>53</v>
      </c>
      <c r="G199" t="s">
        <v>16</v>
      </c>
      <c r="H199">
        <v>3</v>
      </c>
      <c r="I199">
        <v>29.86</v>
      </c>
      <c r="J199" t="s">
        <v>34</v>
      </c>
      <c r="K199" t="s">
        <v>18</v>
      </c>
      <c r="L199">
        <f>WEEKDAY(Table1[[#This Row],[Transaction_Date]],2)</f>
        <v>5</v>
      </c>
      <c r="M199">
        <f>IF(Table1[[#This Row],[Sale_Type]]="Buffet",1,0)</f>
        <v>0</v>
      </c>
    </row>
    <row r="200" spans="1:13" x14ac:dyDescent="0.2">
      <c r="A200" t="s">
        <v>362</v>
      </c>
      <c r="B200" t="s">
        <v>363</v>
      </c>
      <c r="C200" s="1">
        <v>45940</v>
      </c>
      <c r="D200" t="s">
        <v>96</v>
      </c>
      <c r="E200" t="s">
        <v>43</v>
      </c>
      <c r="F200" t="s">
        <v>53</v>
      </c>
      <c r="G200" t="s">
        <v>45</v>
      </c>
      <c r="H200">
        <v>3</v>
      </c>
      <c r="I200">
        <v>64.5</v>
      </c>
      <c r="J200" t="s">
        <v>28</v>
      </c>
      <c r="K200" t="s">
        <v>18</v>
      </c>
      <c r="L200">
        <f>WEEKDAY(Table1[[#This Row],[Transaction_Date]],2)</f>
        <v>5</v>
      </c>
      <c r="M200">
        <f>IF(Table1[[#This Row],[Sale_Type]]="Buffet",1,0)</f>
        <v>1</v>
      </c>
    </row>
    <row r="201" spans="1:13" x14ac:dyDescent="0.2">
      <c r="A201" t="s">
        <v>364</v>
      </c>
      <c r="B201" t="s">
        <v>56</v>
      </c>
      <c r="C201" s="1">
        <v>45940</v>
      </c>
      <c r="D201" t="s">
        <v>96</v>
      </c>
      <c r="E201" t="s">
        <v>43</v>
      </c>
      <c r="F201" t="s">
        <v>53</v>
      </c>
      <c r="G201" t="s">
        <v>45</v>
      </c>
      <c r="H201">
        <v>2</v>
      </c>
      <c r="I201">
        <v>44.5</v>
      </c>
      <c r="J201" t="s">
        <v>17</v>
      </c>
      <c r="K201" t="s">
        <v>18</v>
      </c>
      <c r="L201">
        <f>WEEKDAY(Table1[[#This Row],[Transaction_Date]],2)</f>
        <v>5</v>
      </c>
      <c r="M201">
        <f>IF(Table1[[#This Row],[Sale_Type]]="Buffet",1,0)</f>
        <v>1</v>
      </c>
    </row>
    <row r="202" spans="1:13" x14ac:dyDescent="0.2">
      <c r="A202" t="s">
        <v>365</v>
      </c>
      <c r="B202" t="s">
        <v>66</v>
      </c>
      <c r="C202" s="1">
        <v>45940</v>
      </c>
      <c r="D202" t="s">
        <v>96</v>
      </c>
      <c r="E202" t="s">
        <v>43</v>
      </c>
      <c r="F202" t="s">
        <v>53</v>
      </c>
      <c r="G202" t="s">
        <v>45</v>
      </c>
      <c r="H202">
        <v>5</v>
      </c>
      <c r="I202">
        <v>109</v>
      </c>
      <c r="J202" t="s">
        <v>28</v>
      </c>
      <c r="K202" t="s">
        <v>18</v>
      </c>
      <c r="L202">
        <f>WEEKDAY(Table1[[#This Row],[Transaction_Date]],2)</f>
        <v>5</v>
      </c>
      <c r="M202">
        <f>IF(Table1[[#This Row],[Sale_Type]]="Buffet",1,0)</f>
        <v>1</v>
      </c>
    </row>
    <row r="203" spans="1:13" x14ac:dyDescent="0.2">
      <c r="A203" t="s">
        <v>366</v>
      </c>
      <c r="B203" t="s">
        <v>231</v>
      </c>
      <c r="C203" s="1">
        <v>45940</v>
      </c>
      <c r="D203" t="s">
        <v>96</v>
      </c>
      <c r="E203" t="s">
        <v>43</v>
      </c>
      <c r="F203" t="s">
        <v>57</v>
      </c>
      <c r="G203" t="s">
        <v>16</v>
      </c>
      <c r="H203">
        <v>2</v>
      </c>
      <c r="I203">
        <v>62.9</v>
      </c>
      <c r="J203" t="s">
        <v>34</v>
      </c>
      <c r="K203" t="s">
        <v>18</v>
      </c>
      <c r="L203">
        <f>WEEKDAY(Table1[[#This Row],[Transaction_Date]],2)</f>
        <v>5</v>
      </c>
      <c r="M203">
        <f>IF(Table1[[#This Row],[Sale_Type]]="Buffet",1,0)</f>
        <v>0</v>
      </c>
    </row>
    <row r="204" spans="1:13" x14ac:dyDescent="0.2">
      <c r="A204" t="s">
        <v>367</v>
      </c>
      <c r="B204" t="s">
        <v>242</v>
      </c>
      <c r="C204" s="1">
        <v>45940</v>
      </c>
      <c r="D204" t="s">
        <v>96</v>
      </c>
      <c r="E204" t="s">
        <v>43</v>
      </c>
      <c r="F204" t="s">
        <v>57</v>
      </c>
      <c r="G204" t="s">
        <v>45</v>
      </c>
      <c r="H204">
        <v>2</v>
      </c>
      <c r="I204">
        <v>44.5</v>
      </c>
      <c r="J204" t="s">
        <v>28</v>
      </c>
      <c r="K204" t="s">
        <v>18</v>
      </c>
      <c r="L204">
        <f>WEEKDAY(Table1[[#This Row],[Transaction_Date]],2)</f>
        <v>5</v>
      </c>
      <c r="M204">
        <f>IF(Table1[[#This Row],[Sale_Type]]="Buffet",1,0)</f>
        <v>1</v>
      </c>
    </row>
    <row r="205" spans="1:13" x14ac:dyDescent="0.2">
      <c r="A205" t="s">
        <v>368</v>
      </c>
      <c r="B205" t="s">
        <v>369</v>
      </c>
      <c r="C205" s="1">
        <v>45940</v>
      </c>
      <c r="D205" t="s">
        <v>96</v>
      </c>
      <c r="E205" t="s">
        <v>43</v>
      </c>
      <c r="F205" t="s">
        <v>57</v>
      </c>
      <c r="G205" t="s">
        <v>45</v>
      </c>
      <c r="H205">
        <v>2</v>
      </c>
      <c r="I205">
        <v>44.5</v>
      </c>
      <c r="J205" t="s">
        <v>34</v>
      </c>
      <c r="K205" t="s">
        <v>18</v>
      </c>
      <c r="L205">
        <f>WEEKDAY(Table1[[#This Row],[Transaction_Date]],2)</f>
        <v>5</v>
      </c>
      <c r="M205">
        <f>IF(Table1[[#This Row],[Sale_Type]]="Buffet",1,0)</f>
        <v>1</v>
      </c>
    </row>
    <row r="206" spans="1:13" x14ac:dyDescent="0.2">
      <c r="A206" t="s">
        <v>370</v>
      </c>
      <c r="B206" t="s">
        <v>167</v>
      </c>
      <c r="C206" s="1">
        <v>45941</v>
      </c>
      <c r="D206" t="s">
        <v>127</v>
      </c>
      <c r="E206" t="s">
        <v>14</v>
      </c>
      <c r="F206" t="s">
        <v>15</v>
      </c>
      <c r="G206" t="s">
        <v>16</v>
      </c>
      <c r="H206">
        <v>5</v>
      </c>
      <c r="I206">
        <v>124.92</v>
      </c>
      <c r="J206" t="s">
        <v>28</v>
      </c>
      <c r="K206" t="s">
        <v>18</v>
      </c>
      <c r="L206">
        <f>WEEKDAY(Table1[[#This Row],[Transaction_Date]],2)</f>
        <v>6</v>
      </c>
      <c r="M206">
        <f>IF(Table1[[#This Row],[Sale_Type]]="Buffet",1,0)</f>
        <v>0</v>
      </c>
    </row>
    <row r="207" spans="1:13" x14ac:dyDescent="0.2">
      <c r="A207" t="s">
        <v>371</v>
      </c>
      <c r="B207" t="s">
        <v>372</v>
      </c>
      <c r="C207" s="1">
        <v>45941</v>
      </c>
      <c r="D207" t="s">
        <v>127</v>
      </c>
      <c r="E207" t="s">
        <v>14</v>
      </c>
      <c r="F207" t="s">
        <v>24</v>
      </c>
      <c r="G207" t="s">
        <v>16</v>
      </c>
      <c r="H207">
        <v>2</v>
      </c>
      <c r="I207">
        <v>40.1</v>
      </c>
      <c r="J207" t="s">
        <v>28</v>
      </c>
      <c r="K207" t="s">
        <v>18</v>
      </c>
      <c r="L207">
        <f>WEEKDAY(Table1[[#This Row],[Transaction_Date]],2)</f>
        <v>6</v>
      </c>
      <c r="M207">
        <f>IF(Table1[[#This Row],[Sale_Type]]="Buffet",1,0)</f>
        <v>0</v>
      </c>
    </row>
    <row r="208" spans="1:13" x14ac:dyDescent="0.2">
      <c r="A208" t="s">
        <v>373</v>
      </c>
      <c r="B208" t="s">
        <v>200</v>
      </c>
      <c r="C208" s="1">
        <v>45941</v>
      </c>
      <c r="D208" t="s">
        <v>127</v>
      </c>
      <c r="E208" t="s">
        <v>14</v>
      </c>
      <c r="F208" t="s">
        <v>24</v>
      </c>
      <c r="G208" t="s">
        <v>16</v>
      </c>
      <c r="H208">
        <v>3</v>
      </c>
      <c r="I208">
        <v>55.43</v>
      </c>
      <c r="J208" t="s">
        <v>34</v>
      </c>
      <c r="K208" t="s">
        <v>18</v>
      </c>
      <c r="L208">
        <f>WEEKDAY(Table1[[#This Row],[Transaction_Date]],2)</f>
        <v>6</v>
      </c>
      <c r="M208">
        <f>IF(Table1[[#This Row],[Sale_Type]]="Buffet",1,0)</f>
        <v>0</v>
      </c>
    </row>
    <row r="209" spans="1:13" x14ac:dyDescent="0.2">
      <c r="A209" t="s">
        <v>374</v>
      </c>
      <c r="B209" t="s">
        <v>318</v>
      </c>
      <c r="C209" s="1">
        <v>45941</v>
      </c>
      <c r="D209" t="s">
        <v>127</v>
      </c>
      <c r="E209" t="s">
        <v>14</v>
      </c>
      <c r="F209" t="s">
        <v>24</v>
      </c>
      <c r="G209" t="s">
        <v>16</v>
      </c>
      <c r="H209">
        <v>2</v>
      </c>
      <c r="I209">
        <v>60.22</v>
      </c>
      <c r="J209" t="s">
        <v>17</v>
      </c>
      <c r="K209" t="s">
        <v>18</v>
      </c>
      <c r="L209">
        <f>WEEKDAY(Table1[[#This Row],[Transaction_Date]],2)</f>
        <v>6</v>
      </c>
      <c r="M209">
        <f>IF(Table1[[#This Row],[Sale_Type]]="Buffet",1,0)</f>
        <v>0</v>
      </c>
    </row>
    <row r="210" spans="1:13" x14ac:dyDescent="0.2">
      <c r="A210" t="s">
        <v>375</v>
      </c>
      <c r="B210" t="s">
        <v>278</v>
      </c>
      <c r="C210" s="1">
        <v>45941</v>
      </c>
      <c r="D210" t="s">
        <v>127</v>
      </c>
      <c r="E210" t="s">
        <v>14</v>
      </c>
      <c r="F210" t="s">
        <v>27</v>
      </c>
      <c r="G210" t="s">
        <v>16</v>
      </c>
      <c r="H210">
        <v>6</v>
      </c>
      <c r="I210">
        <v>251.35</v>
      </c>
      <c r="J210" t="s">
        <v>17</v>
      </c>
      <c r="K210" t="s">
        <v>18</v>
      </c>
      <c r="L210">
        <f>WEEKDAY(Table1[[#This Row],[Transaction_Date]],2)</f>
        <v>6</v>
      </c>
      <c r="M210">
        <f>IF(Table1[[#This Row],[Sale_Type]]="Buffet",1,0)</f>
        <v>0</v>
      </c>
    </row>
    <row r="211" spans="1:13" x14ac:dyDescent="0.2">
      <c r="A211" t="s">
        <v>376</v>
      </c>
      <c r="B211" t="s">
        <v>377</v>
      </c>
      <c r="C211" s="1">
        <v>45941</v>
      </c>
      <c r="D211" t="s">
        <v>127</v>
      </c>
      <c r="E211" t="s">
        <v>14</v>
      </c>
      <c r="F211" t="s">
        <v>27</v>
      </c>
      <c r="G211" t="s">
        <v>16</v>
      </c>
      <c r="H211">
        <v>1</v>
      </c>
      <c r="I211">
        <v>39.43</v>
      </c>
      <c r="J211" t="s">
        <v>28</v>
      </c>
      <c r="K211" t="s">
        <v>18</v>
      </c>
      <c r="L211">
        <f>WEEKDAY(Table1[[#This Row],[Transaction_Date]],2)</f>
        <v>6</v>
      </c>
      <c r="M211">
        <f>IF(Table1[[#This Row],[Sale_Type]]="Buffet",1,0)</f>
        <v>0</v>
      </c>
    </row>
    <row r="212" spans="1:13" x14ac:dyDescent="0.2">
      <c r="A212" t="s">
        <v>378</v>
      </c>
      <c r="B212" t="s">
        <v>379</v>
      </c>
      <c r="C212" s="1">
        <v>45941</v>
      </c>
      <c r="D212" t="s">
        <v>127</v>
      </c>
      <c r="E212" t="s">
        <v>14</v>
      </c>
      <c r="F212" t="s">
        <v>27</v>
      </c>
      <c r="G212" t="s">
        <v>16</v>
      </c>
      <c r="H212">
        <v>2</v>
      </c>
      <c r="I212">
        <v>59.34</v>
      </c>
      <c r="J212" t="s">
        <v>17</v>
      </c>
      <c r="K212" t="s">
        <v>18</v>
      </c>
      <c r="L212">
        <f>WEEKDAY(Table1[[#This Row],[Transaction_Date]],2)</f>
        <v>6</v>
      </c>
      <c r="M212">
        <f>IF(Table1[[#This Row],[Sale_Type]]="Buffet",1,0)</f>
        <v>0</v>
      </c>
    </row>
    <row r="213" spans="1:13" x14ac:dyDescent="0.2">
      <c r="A213" t="s">
        <v>380</v>
      </c>
      <c r="B213" t="s">
        <v>381</v>
      </c>
      <c r="C213" s="1">
        <v>45941</v>
      </c>
      <c r="D213" t="s">
        <v>127</v>
      </c>
      <c r="E213" t="s">
        <v>14</v>
      </c>
      <c r="F213" t="s">
        <v>31</v>
      </c>
      <c r="G213" t="s">
        <v>16</v>
      </c>
      <c r="H213">
        <v>3</v>
      </c>
      <c r="I213">
        <v>68.56</v>
      </c>
      <c r="J213" t="s">
        <v>17</v>
      </c>
      <c r="K213" t="s">
        <v>21</v>
      </c>
      <c r="L213">
        <f>WEEKDAY(Table1[[#This Row],[Transaction_Date]],2)</f>
        <v>6</v>
      </c>
      <c r="M213">
        <f>IF(Table1[[#This Row],[Sale_Type]]="Buffet",1,0)</f>
        <v>0</v>
      </c>
    </row>
    <row r="214" spans="1:13" x14ac:dyDescent="0.2">
      <c r="A214" t="s">
        <v>382</v>
      </c>
      <c r="B214" t="s">
        <v>383</v>
      </c>
      <c r="C214" s="1">
        <v>45941</v>
      </c>
      <c r="D214" t="s">
        <v>127</v>
      </c>
      <c r="E214" t="s">
        <v>14</v>
      </c>
      <c r="F214" t="s">
        <v>31</v>
      </c>
      <c r="G214" t="s">
        <v>16</v>
      </c>
      <c r="H214">
        <v>2</v>
      </c>
      <c r="I214">
        <v>41.6</v>
      </c>
      <c r="J214" t="s">
        <v>17</v>
      </c>
      <c r="K214" t="s">
        <v>18</v>
      </c>
      <c r="L214">
        <f>WEEKDAY(Table1[[#This Row],[Transaction_Date]],2)</f>
        <v>6</v>
      </c>
      <c r="M214">
        <f>IF(Table1[[#This Row],[Sale_Type]]="Buffet",1,0)</f>
        <v>0</v>
      </c>
    </row>
    <row r="215" spans="1:13" x14ac:dyDescent="0.2">
      <c r="A215" t="s">
        <v>384</v>
      </c>
      <c r="B215" t="s">
        <v>385</v>
      </c>
      <c r="C215" s="1">
        <v>45941</v>
      </c>
      <c r="D215" t="s">
        <v>127</v>
      </c>
      <c r="E215" t="s">
        <v>14</v>
      </c>
      <c r="F215" t="s">
        <v>31</v>
      </c>
      <c r="G215" t="s">
        <v>16</v>
      </c>
      <c r="H215">
        <v>4</v>
      </c>
      <c r="I215">
        <v>194.28</v>
      </c>
      <c r="J215" t="s">
        <v>17</v>
      </c>
      <c r="K215" t="s">
        <v>18</v>
      </c>
      <c r="L215">
        <f>WEEKDAY(Table1[[#This Row],[Transaction_Date]],2)</f>
        <v>6</v>
      </c>
      <c r="M215">
        <f>IF(Table1[[#This Row],[Sale_Type]]="Buffet",1,0)</f>
        <v>0</v>
      </c>
    </row>
    <row r="216" spans="1:13" x14ac:dyDescent="0.2">
      <c r="A216" t="s">
        <v>386</v>
      </c>
      <c r="B216" t="s">
        <v>66</v>
      </c>
      <c r="C216" s="1">
        <v>45941</v>
      </c>
      <c r="D216" t="s">
        <v>127</v>
      </c>
      <c r="E216" t="s">
        <v>14</v>
      </c>
      <c r="F216" t="s">
        <v>31</v>
      </c>
      <c r="G216" t="s">
        <v>16</v>
      </c>
      <c r="H216">
        <v>4</v>
      </c>
      <c r="I216">
        <v>126.08</v>
      </c>
      <c r="J216" t="s">
        <v>34</v>
      </c>
      <c r="K216" t="s">
        <v>21</v>
      </c>
      <c r="L216">
        <f>WEEKDAY(Table1[[#This Row],[Transaction_Date]],2)</f>
        <v>6</v>
      </c>
      <c r="M216">
        <f>IF(Table1[[#This Row],[Sale_Type]]="Buffet",1,0)</f>
        <v>0</v>
      </c>
    </row>
    <row r="217" spans="1:13" x14ac:dyDescent="0.2">
      <c r="A217" t="s">
        <v>387</v>
      </c>
      <c r="B217" t="s">
        <v>122</v>
      </c>
      <c r="C217" s="1">
        <v>45941</v>
      </c>
      <c r="D217" t="s">
        <v>127</v>
      </c>
      <c r="E217" t="s">
        <v>14</v>
      </c>
      <c r="F217" t="s">
        <v>31</v>
      </c>
      <c r="G217" t="s">
        <v>16</v>
      </c>
      <c r="H217">
        <v>4</v>
      </c>
      <c r="I217">
        <v>223.53</v>
      </c>
      <c r="J217" t="s">
        <v>17</v>
      </c>
      <c r="K217" t="s">
        <v>18</v>
      </c>
      <c r="L217">
        <f>WEEKDAY(Table1[[#This Row],[Transaction_Date]],2)</f>
        <v>6</v>
      </c>
      <c r="M217">
        <f>IF(Table1[[#This Row],[Sale_Type]]="Buffet",1,0)</f>
        <v>0</v>
      </c>
    </row>
    <row r="218" spans="1:13" x14ac:dyDescent="0.2">
      <c r="A218" t="s">
        <v>388</v>
      </c>
      <c r="B218" t="s">
        <v>188</v>
      </c>
      <c r="C218" s="1">
        <v>45941</v>
      </c>
      <c r="D218" t="s">
        <v>127</v>
      </c>
      <c r="E218" t="s">
        <v>14</v>
      </c>
      <c r="F218" t="s">
        <v>40</v>
      </c>
      <c r="G218" t="s">
        <v>16</v>
      </c>
      <c r="H218">
        <v>4</v>
      </c>
      <c r="I218">
        <v>151.87</v>
      </c>
      <c r="J218" t="s">
        <v>17</v>
      </c>
      <c r="K218" t="s">
        <v>18</v>
      </c>
      <c r="L218">
        <f>WEEKDAY(Table1[[#This Row],[Transaction_Date]],2)</f>
        <v>6</v>
      </c>
      <c r="M218">
        <f>IF(Table1[[#This Row],[Sale_Type]]="Buffet",1,0)</f>
        <v>0</v>
      </c>
    </row>
    <row r="219" spans="1:13" x14ac:dyDescent="0.2">
      <c r="A219" t="s">
        <v>389</v>
      </c>
      <c r="B219" t="s">
        <v>390</v>
      </c>
      <c r="C219" s="1">
        <v>45941</v>
      </c>
      <c r="D219" t="s">
        <v>127</v>
      </c>
      <c r="E219" t="s">
        <v>14</v>
      </c>
      <c r="F219" t="s">
        <v>40</v>
      </c>
      <c r="G219" t="s">
        <v>16</v>
      </c>
      <c r="H219">
        <v>2</v>
      </c>
      <c r="I219">
        <v>48.5</v>
      </c>
      <c r="J219" t="s">
        <v>17</v>
      </c>
      <c r="K219" t="s">
        <v>18</v>
      </c>
      <c r="L219">
        <f>WEEKDAY(Table1[[#This Row],[Transaction_Date]],2)</f>
        <v>6</v>
      </c>
      <c r="M219">
        <f>IF(Table1[[#This Row],[Sale_Type]]="Buffet",1,0)</f>
        <v>0</v>
      </c>
    </row>
    <row r="220" spans="1:13" x14ac:dyDescent="0.2">
      <c r="A220" t="s">
        <v>391</v>
      </c>
      <c r="B220" t="s">
        <v>392</v>
      </c>
      <c r="C220" s="1">
        <v>45941</v>
      </c>
      <c r="D220" t="s">
        <v>127</v>
      </c>
      <c r="E220" t="s">
        <v>43</v>
      </c>
      <c r="F220" t="s">
        <v>44</v>
      </c>
      <c r="G220" t="s">
        <v>16</v>
      </c>
      <c r="H220">
        <v>3</v>
      </c>
      <c r="I220">
        <v>48.6</v>
      </c>
      <c r="J220" t="s">
        <v>34</v>
      </c>
      <c r="K220" t="s">
        <v>21</v>
      </c>
      <c r="L220">
        <f>WEEKDAY(Table1[[#This Row],[Transaction_Date]],2)</f>
        <v>6</v>
      </c>
      <c r="M220">
        <f>IF(Table1[[#This Row],[Sale_Type]]="Buffet",1,0)</f>
        <v>0</v>
      </c>
    </row>
    <row r="221" spans="1:13" x14ac:dyDescent="0.2">
      <c r="A221" t="s">
        <v>393</v>
      </c>
      <c r="B221" t="s">
        <v>394</v>
      </c>
      <c r="C221" s="1">
        <v>45941</v>
      </c>
      <c r="D221" t="s">
        <v>127</v>
      </c>
      <c r="E221" t="s">
        <v>43</v>
      </c>
      <c r="F221" t="s">
        <v>53</v>
      </c>
      <c r="G221" t="s">
        <v>16</v>
      </c>
      <c r="H221">
        <v>3</v>
      </c>
      <c r="I221">
        <v>54.21</v>
      </c>
      <c r="J221" t="s">
        <v>17</v>
      </c>
      <c r="K221" t="s">
        <v>18</v>
      </c>
      <c r="L221">
        <f>WEEKDAY(Table1[[#This Row],[Transaction_Date]],2)</f>
        <v>6</v>
      </c>
      <c r="M221">
        <f>IF(Table1[[#This Row],[Sale_Type]]="Buffet",1,0)</f>
        <v>0</v>
      </c>
    </row>
    <row r="222" spans="1:13" x14ac:dyDescent="0.2">
      <c r="A222" t="s">
        <v>395</v>
      </c>
      <c r="B222" t="s">
        <v>120</v>
      </c>
      <c r="C222" s="1">
        <v>45941</v>
      </c>
      <c r="D222" t="s">
        <v>127</v>
      </c>
      <c r="E222" t="s">
        <v>43</v>
      </c>
      <c r="F222" t="s">
        <v>53</v>
      </c>
      <c r="G222" t="s">
        <v>16</v>
      </c>
      <c r="H222">
        <v>2</v>
      </c>
      <c r="I222">
        <v>31.5</v>
      </c>
      <c r="J222" t="s">
        <v>17</v>
      </c>
      <c r="K222" t="s">
        <v>18</v>
      </c>
      <c r="L222">
        <f>WEEKDAY(Table1[[#This Row],[Transaction_Date]],2)</f>
        <v>6</v>
      </c>
      <c r="M222">
        <f>IF(Table1[[#This Row],[Sale_Type]]="Buffet",1,0)</f>
        <v>0</v>
      </c>
    </row>
    <row r="223" spans="1:13" x14ac:dyDescent="0.2">
      <c r="A223" t="s">
        <v>396</v>
      </c>
      <c r="B223" t="s">
        <v>356</v>
      </c>
      <c r="C223" s="1">
        <v>45941</v>
      </c>
      <c r="D223" t="s">
        <v>127</v>
      </c>
      <c r="E223" t="s">
        <v>43</v>
      </c>
      <c r="F223" t="s">
        <v>53</v>
      </c>
      <c r="G223" t="s">
        <v>16</v>
      </c>
      <c r="H223">
        <v>4</v>
      </c>
      <c r="I223">
        <v>58.12</v>
      </c>
      <c r="J223" t="s">
        <v>17</v>
      </c>
      <c r="K223" t="s">
        <v>18</v>
      </c>
      <c r="L223">
        <f>WEEKDAY(Table1[[#This Row],[Transaction_Date]],2)</f>
        <v>6</v>
      </c>
      <c r="M223">
        <f>IF(Table1[[#This Row],[Sale_Type]]="Buffet",1,0)</f>
        <v>0</v>
      </c>
    </row>
    <row r="224" spans="1:13" x14ac:dyDescent="0.2">
      <c r="A224" t="s">
        <v>397</v>
      </c>
      <c r="B224" t="s">
        <v>398</v>
      </c>
      <c r="C224" s="1">
        <v>45941</v>
      </c>
      <c r="D224" t="s">
        <v>127</v>
      </c>
      <c r="E224" t="s">
        <v>43</v>
      </c>
      <c r="F224" t="s">
        <v>57</v>
      </c>
      <c r="G224" t="s">
        <v>16</v>
      </c>
      <c r="H224">
        <v>3</v>
      </c>
      <c r="I224">
        <v>29.94</v>
      </c>
      <c r="J224" t="s">
        <v>17</v>
      </c>
      <c r="K224" t="s">
        <v>21</v>
      </c>
      <c r="L224">
        <f>WEEKDAY(Table1[[#This Row],[Transaction_Date]],2)</f>
        <v>6</v>
      </c>
      <c r="M224">
        <f>IF(Table1[[#This Row],[Sale_Type]]="Buffet",1,0)</f>
        <v>0</v>
      </c>
    </row>
    <row r="225" spans="1:13" x14ac:dyDescent="0.2">
      <c r="A225" t="s">
        <v>399</v>
      </c>
      <c r="B225" t="s">
        <v>400</v>
      </c>
      <c r="C225" s="1">
        <v>45942</v>
      </c>
      <c r="D225" t="s">
        <v>171</v>
      </c>
      <c r="E225" t="s">
        <v>14</v>
      </c>
      <c r="F225" t="s">
        <v>15</v>
      </c>
      <c r="G225" t="s">
        <v>16</v>
      </c>
      <c r="H225">
        <v>5</v>
      </c>
      <c r="I225">
        <v>113.19</v>
      </c>
      <c r="J225" t="s">
        <v>28</v>
      </c>
      <c r="K225" t="s">
        <v>21</v>
      </c>
      <c r="L225">
        <f>WEEKDAY(Table1[[#This Row],[Transaction_Date]],2)</f>
        <v>7</v>
      </c>
      <c r="M225">
        <f>IF(Table1[[#This Row],[Sale_Type]]="Buffet",1,0)</f>
        <v>0</v>
      </c>
    </row>
    <row r="226" spans="1:13" x14ac:dyDescent="0.2">
      <c r="A226" t="s">
        <v>401</v>
      </c>
      <c r="B226" t="s">
        <v>402</v>
      </c>
      <c r="C226" s="1">
        <v>45942</v>
      </c>
      <c r="D226" t="s">
        <v>171</v>
      </c>
      <c r="E226" t="s">
        <v>14</v>
      </c>
      <c r="F226" t="s">
        <v>24</v>
      </c>
      <c r="G226" t="s">
        <v>16</v>
      </c>
      <c r="H226">
        <v>5</v>
      </c>
      <c r="I226">
        <v>98.43</v>
      </c>
      <c r="J226" t="s">
        <v>17</v>
      </c>
      <c r="K226" t="s">
        <v>21</v>
      </c>
      <c r="L226">
        <f>WEEKDAY(Table1[[#This Row],[Transaction_Date]],2)</f>
        <v>7</v>
      </c>
      <c r="M226">
        <f>IF(Table1[[#This Row],[Sale_Type]]="Buffet",1,0)</f>
        <v>0</v>
      </c>
    </row>
    <row r="227" spans="1:13" x14ac:dyDescent="0.2">
      <c r="A227" t="s">
        <v>403</v>
      </c>
      <c r="B227" t="s">
        <v>404</v>
      </c>
      <c r="C227" s="1">
        <v>45942</v>
      </c>
      <c r="D227" t="s">
        <v>171</v>
      </c>
      <c r="E227" t="s">
        <v>14</v>
      </c>
      <c r="F227" t="s">
        <v>24</v>
      </c>
      <c r="G227" t="s">
        <v>16</v>
      </c>
      <c r="H227">
        <v>5</v>
      </c>
      <c r="I227">
        <v>105.17</v>
      </c>
      <c r="J227" t="s">
        <v>34</v>
      </c>
      <c r="K227" t="s">
        <v>18</v>
      </c>
      <c r="L227">
        <f>WEEKDAY(Table1[[#This Row],[Transaction_Date]],2)</f>
        <v>7</v>
      </c>
      <c r="M227">
        <f>IF(Table1[[#This Row],[Sale_Type]]="Buffet",1,0)</f>
        <v>0</v>
      </c>
    </row>
    <row r="228" spans="1:13" x14ac:dyDescent="0.2">
      <c r="A228" t="s">
        <v>405</v>
      </c>
      <c r="B228" t="s">
        <v>142</v>
      </c>
      <c r="C228" s="1">
        <v>45942</v>
      </c>
      <c r="D228" t="s">
        <v>171</v>
      </c>
      <c r="E228" t="s">
        <v>14</v>
      </c>
      <c r="F228" t="s">
        <v>27</v>
      </c>
      <c r="G228" t="s">
        <v>16</v>
      </c>
      <c r="H228">
        <v>5</v>
      </c>
      <c r="I228">
        <v>104.35</v>
      </c>
      <c r="J228" t="s">
        <v>28</v>
      </c>
      <c r="K228" t="s">
        <v>18</v>
      </c>
      <c r="L228">
        <f>WEEKDAY(Table1[[#This Row],[Transaction_Date]],2)</f>
        <v>7</v>
      </c>
      <c r="M228">
        <f>IF(Table1[[#This Row],[Sale_Type]]="Buffet",1,0)</f>
        <v>0</v>
      </c>
    </row>
    <row r="229" spans="1:13" x14ac:dyDescent="0.2">
      <c r="A229" t="s">
        <v>406</v>
      </c>
      <c r="B229" t="s">
        <v>200</v>
      </c>
      <c r="C229" s="1">
        <v>45942</v>
      </c>
      <c r="D229" t="s">
        <v>171</v>
      </c>
      <c r="E229" t="s">
        <v>14</v>
      </c>
      <c r="F229" t="s">
        <v>27</v>
      </c>
      <c r="G229" t="s">
        <v>16</v>
      </c>
      <c r="H229">
        <v>3</v>
      </c>
      <c r="I229">
        <v>62.45</v>
      </c>
      <c r="J229" t="s">
        <v>34</v>
      </c>
      <c r="K229" t="s">
        <v>18</v>
      </c>
      <c r="L229">
        <f>WEEKDAY(Table1[[#This Row],[Transaction_Date]],2)</f>
        <v>7</v>
      </c>
      <c r="M229">
        <f>IF(Table1[[#This Row],[Sale_Type]]="Buffet",1,0)</f>
        <v>0</v>
      </c>
    </row>
    <row r="230" spans="1:13" x14ac:dyDescent="0.2">
      <c r="A230" t="s">
        <v>407</v>
      </c>
      <c r="B230" t="s">
        <v>163</v>
      </c>
      <c r="C230" s="1">
        <v>45942</v>
      </c>
      <c r="D230" t="s">
        <v>171</v>
      </c>
      <c r="E230" t="s">
        <v>14</v>
      </c>
      <c r="F230" t="s">
        <v>27</v>
      </c>
      <c r="G230" t="s">
        <v>16</v>
      </c>
      <c r="H230">
        <v>4</v>
      </c>
      <c r="I230">
        <v>134.81</v>
      </c>
      <c r="J230" t="s">
        <v>28</v>
      </c>
      <c r="K230" t="s">
        <v>21</v>
      </c>
      <c r="L230">
        <f>WEEKDAY(Table1[[#This Row],[Transaction_Date]],2)</f>
        <v>7</v>
      </c>
      <c r="M230">
        <f>IF(Table1[[#This Row],[Sale_Type]]="Buffet",1,0)</f>
        <v>0</v>
      </c>
    </row>
    <row r="231" spans="1:13" x14ac:dyDescent="0.2">
      <c r="A231" t="s">
        <v>408</v>
      </c>
      <c r="B231" t="s">
        <v>392</v>
      </c>
      <c r="C231" s="1">
        <v>45942</v>
      </c>
      <c r="D231" t="s">
        <v>171</v>
      </c>
      <c r="E231" t="s">
        <v>14</v>
      </c>
      <c r="F231" t="s">
        <v>27</v>
      </c>
      <c r="G231" t="s">
        <v>16</v>
      </c>
      <c r="H231">
        <v>3</v>
      </c>
      <c r="I231">
        <v>89.6</v>
      </c>
      <c r="J231" t="s">
        <v>17</v>
      </c>
      <c r="K231" t="s">
        <v>18</v>
      </c>
      <c r="L231">
        <f>WEEKDAY(Table1[[#This Row],[Transaction_Date]],2)</f>
        <v>7</v>
      </c>
      <c r="M231">
        <f>IF(Table1[[#This Row],[Sale_Type]]="Buffet",1,0)</f>
        <v>0</v>
      </c>
    </row>
    <row r="232" spans="1:13" x14ac:dyDescent="0.2">
      <c r="A232" t="s">
        <v>409</v>
      </c>
      <c r="B232" t="s">
        <v>410</v>
      </c>
      <c r="C232" s="1">
        <v>45942</v>
      </c>
      <c r="D232" t="s">
        <v>171</v>
      </c>
      <c r="E232" t="s">
        <v>14</v>
      </c>
      <c r="F232" t="s">
        <v>27</v>
      </c>
      <c r="G232" t="s">
        <v>16</v>
      </c>
      <c r="H232">
        <v>1</v>
      </c>
      <c r="I232">
        <v>32.619999999999997</v>
      </c>
      <c r="J232" t="s">
        <v>17</v>
      </c>
      <c r="K232" t="s">
        <v>21</v>
      </c>
      <c r="L232">
        <f>WEEKDAY(Table1[[#This Row],[Transaction_Date]],2)</f>
        <v>7</v>
      </c>
      <c r="M232">
        <f>IF(Table1[[#This Row],[Sale_Type]]="Buffet",1,0)</f>
        <v>0</v>
      </c>
    </row>
    <row r="233" spans="1:13" x14ac:dyDescent="0.2">
      <c r="A233" t="s">
        <v>411</v>
      </c>
      <c r="B233" t="s">
        <v>412</v>
      </c>
      <c r="C233" s="1">
        <v>45942</v>
      </c>
      <c r="D233" t="s">
        <v>171</v>
      </c>
      <c r="E233" t="s">
        <v>14</v>
      </c>
      <c r="F233" t="s">
        <v>27</v>
      </c>
      <c r="G233" t="s">
        <v>16</v>
      </c>
      <c r="H233">
        <v>6</v>
      </c>
      <c r="I233">
        <v>150.34</v>
      </c>
      <c r="J233" t="s">
        <v>17</v>
      </c>
      <c r="K233" t="s">
        <v>18</v>
      </c>
      <c r="L233">
        <f>WEEKDAY(Table1[[#This Row],[Transaction_Date]],2)</f>
        <v>7</v>
      </c>
      <c r="M233">
        <f>IF(Table1[[#This Row],[Sale_Type]]="Buffet",1,0)</f>
        <v>0</v>
      </c>
    </row>
    <row r="234" spans="1:13" x14ac:dyDescent="0.2">
      <c r="A234" t="s">
        <v>413</v>
      </c>
      <c r="B234" t="s">
        <v>379</v>
      </c>
      <c r="C234" s="1">
        <v>45942</v>
      </c>
      <c r="D234" t="s">
        <v>171</v>
      </c>
      <c r="E234" t="s">
        <v>14</v>
      </c>
      <c r="F234" t="s">
        <v>31</v>
      </c>
      <c r="G234" t="s">
        <v>16</v>
      </c>
      <c r="H234">
        <v>3</v>
      </c>
      <c r="I234">
        <v>61.85</v>
      </c>
      <c r="J234" t="s">
        <v>17</v>
      </c>
      <c r="K234" t="s">
        <v>18</v>
      </c>
      <c r="L234">
        <f>WEEKDAY(Table1[[#This Row],[Transaction_Date]],2)</f>
        <v>7</v>
      </c>
      <c r="M234">
        <f>IF(Table1[[#This Row],[Sale_Type]]="Buffet",1,0)</f>
        <v>0</v>
      </c>
    </row>
    <row r="235" spans="1:13" x14ac:dyDescent="0.2">
      <c r="A235" t="s">
        <v>414</v>
      </c>
      <c r="B235" t="s">
        <v>415</v>
      </c>
      <c r="C235" s="1">
        <v>45942</v>
      </c>
      <c r="D235" t="s">
        <v>171</v>
      </c>
      <c r="E235" t="s">
        <v>14</v>
      </c>
      <c r="F235" t="s">
        <v>31</v>
      </c>
      <c r="G235" t="s">
        <v>16</v>
      </c>
      <c r="H235">
        <v>4</v>
      </c>
      <c r="I235">
        <v>187.53</v>
      </c>
      <c r="J235" t="s">
        <v>28</v>
      </c>
      <c r="K235" t="s">
        <v>21</v>
      </c>
      <c r="L235">
        <f>WEEKDAY(Table1[[#This Row],[Transaction_Date]],2)</f>
        <v>7</v>
      </c>
      <c r="M235">
        <f>IF(Table1[[#This Row],[Sale_Type]]="Buffet",1,0)</f>
        <v>0</v>
      </c>
    </row>
    <row r="236" spans="1:13" x14ac:dyDescent="0.2">
      <c r="A236" t="s">
        <v>416</v>
      </c>
      <c r="B236" t="s">
        <v>412</v>
      </c>
      <c r="C236" s="1">
        <v>45942</v>
      </c>
      <c r="D236" t="s">
        <v>171</v>
      </c>
      <c r="E236" t="s">
        <v>14</v>
      </c>
      <c r="F236" t="s">
        <v>31</v>
      </c>
      <c r="G236" t="s">
        <v>16</v>
      </c>
      <c r="H236">
        <v>7</v>
      </c>
      <c r="I236">
        <v>106.54</v>
      </c>
      <c r="J236" t="s">
        <v>17</v>
      </c>
      <c r="K236" t="s">
        <v>21</v>
      </c>
      <c r="L236">
        <f>WEEKDAY(Table1[[#This Row],[Transaction_Date]],2)</f>
        <v>7</v>
      </c>
      <c r="M236">
        <f>IF(Table1[[#This Row],[Sale_Type]]="Buffet",1,0)</f>
        <v>0</v>
      </c>
    </row>
    <row r="237" spans="1:13" x14ac:dyDescent="0.2">
      <c r="A237" t="s">
        <v>417</v>
      </c>
      <c r="B237" t="s">
        <v>256</v>
      </c>
      <c r="C237" s="1">
        <v>45942</v>
      </c>
      <c r="D237" t="s">
        <v>171</v>
      </c>
      <c r="E237" t="s">
        <v>14</v>
      </c>
      <c r="F237" t="s">
        <v>40</v>
      </c>
      <c r="G237" t="s">
        <v>16</v>
      </c>
      <c r="H237">
        <v>4</v>
      </c>
      <c r="I237">
        <v>85.15</v>
      </c>
      <c r="J237" t="s">
        <v>17</v>
      </c>
      <c r="K237" t="s">
        <v>18</v>
      </c>
      <c r="L237">
        <f>WEEKDAY(Table1[[#This Row],[Transaction_Date]],2)</f>
        <v>7</v>
      </c>
      <c r="M237">
        <f>IF(Table1[[#This Row],[Sale_Type]]="Buffet",1,0)</f>
        <v>0</v>
      </c>
    </row>
    <row r="238" spans="1:13" x14ac:dyDescent="0.2">
      <c r="A238" t="s">
        <v>418</v>
      </c>
      <c r="B238" t="s">
        <v>419</v>
      </c>
      <c r="C238" s="1">
        <v>45942</v>
      </c>
      <c r="D238" t="s">
        <v>171</v>
      </c>
      <c r="E238" t="s">
        <v>14</v>
      </c>
      <c r="F238" t="s">
        <v>40</v>
      </c>
      <c r="G238" t="s">
        <v>16</v>
      </c>
      <c r="H238">
        <v>2</v>
      </c>
      <c r="I238">
        <v>66.510000000000005</v>
      </c>
      <c r="J238" t="s">
        <v>17</v>
      </c>
      <c r="K238" t="s">
        <v>18</v>
      </c>
      <c r="L238">
        <f>WEEKDAY(Table1[[#This Row],[Transaction_Date]],2)</f>
        <v>7</v>
      </c>
      <c r="M238">
        <f>IF(Table1[[#This Row],[Sale_Type]]="Buffet",1,0)</f>
        <v>0</v>
      </c>
    </row>
    <row r="239" spans="1:13" x14ac:dyDescent="0.2">
      <c r="A239" t="s">
        <v>420</v>
      </c>
      <c r="B239" t="s">
        <v>68</v>
      </c>
      <c r="C239" s="1">
        <v>45942</v>
      </c>
      <c r="D239" t="s">
        <v>171</v>
      </c>
      <c r="E239" t="s">
        <v>14</v>
      </c>
      <c r="F239" t="s">
        <v>40</v>
      </c>
      <c r="G239" t="s">
        <v>16</v>
      </c>
      <c r="H239">
        <v>4</v>
      </c>
      <c r="I239">
        <v>217.58</v>
      </c>
      <c r="J239" t="s">
        <v>17</v>
      </c>
      <c r="K239" t="s">
        <v>18</v>
      </c>
      <c r="L239">
        <f>WEEKDAY(Table1[[#This Row],[Transaction_Date]],2)</f>
        <v>7</v>
      </c>
      <c r="M239">
        <f>IF(Table1[[#This Row],[Sale_Type]]="Buffet",1,0)</f>
        <v>0</v>
      </c>
    </row>
    <row r="240" spans="1:13" x14ac:dyDescent="0.2">
      <c r="A240" t="s">
        <v>421</v>
      </c>
      <c r="B240" t="s">
        <v>165</v>
      </c>
      <c r="C240" s="1">
        <v>45942</v>
      </c>
      <c r="D240" t="s">
        <v>171</v>
      </c>
      <c r="E240" t="s">
        <v>43</v>
      </c>
      <c r="F240" t="s">
        <v>50</v>
      </c>
      <c r="G240" t="s">
        <v>16</v>
      </c>
      <c r="H240">
        <v>3</v>
      </c>
      <c r="I240">
        <v>54.04</v>
      </c>
      <c r="J240" t="s">
        <v>34</v>
      </c>
      <c r="K240" t="s">
        <v>18</v>
      </c>
      <c r="L240">
        <f>WEEKDAY(Table1[[#This Row],[Transaction_Date]],2)</f>
        <v>7</v>
      </c>
      <c r="M240">
        <f>IF(Table1[[#This Row],[Sale_Type]]="Buffet",1,0)</f>
        <v>0</v>
      </c>
    </row>
    <row r="241" spans="1:13" x14ac:dyDescent="0.2">
      <c r="A241" t="s">
        <v>422</v>
      </c>
      <c r="B241" t="s">
        <v>423</v>
      </c>
      <c r="C241" s="1">
        <v>45942</v>
      </c>
      <c r="D241" t="s">
        <v>171</v>
      </c>
      <c r="E241" t="s">
        <v>43</v>
      </c>
      <c r="F241" t="s">
        <v>50</v>
      </c>
      <c r="G241" t="s">
        <v>16</v>
      </c>
      <c r="H241">
        <v>1</v>
      </c>
      <c r="I241">
        <v>11.31</v>
      </c>
      <c r="J241" t="s">
        <v>34</v>
      </c>
      <c r="K241" t="s">
        <v>18</v>
      </c>
      <c r="L241">
        <f>WEEKDAY(Table1[[#This Row],[Transaction_Date]],2)</f>
        <v>7</v>
      </c>
      <c r="M241">
        <f>IF(Table1[[#This Row],[Sale_Type]]="Buffet",1,0)</f>
        <v>0</v>
      </c>
    </row>
    <row r="242" spans="1:13" x14ac:dyDescent="0.2">
      <c r="A242" t="s">
        <v>424</v>
      </c>
      <c r="B242" t="s">
        <v>228</v>
      </c>
      <c r="C242" s="1">
        <v>45942</v>
      </c>
      <c r="D242" t="s">
        <v>171</v>
      </c>
      <c r="E242" t="s">
        <v>43</v>
      </c>
      <c r="F242" t="s">
        <v>53</v>
      </c>
      <c r="G242" t="s">
        <v>16</v>
      </c>
      <c r="H242">
        <v>3</v>
      </c>
      <c r="I242">
        <v>29.08</v>
      </c>
      <c r="J242" t="s">
        <v>34</v>
      </c>
      <c r="K242" t="s">
        <v>21</v>
      </c>
      <c r="L242">
        <f>WEEKDAY(Table1[[#This Row],[Transaction_Date]],2)</f>
        <v>7</v>
      </c>
      <c r="M242">
        <f>IF(Table1[[#This Row],[Sale_Type]]="Buffet",1,0)</f>
        <v>0</v>
      </c>
    </row>
    <row r="243" spans="1:13" x14ac:dyDescent="0.2">
      <c r="A243" t="s">
        <v>425</v>
      </c>
      <c r="B243" t="s">
        <v>56</v>
      </c>
      <c r="C243" s="1">
        <v>45942</v>
      </c>
      <c r="D243" t="s">
        <v>171</v>
      </c>
      <c r="E243" t="s">
        <v>43</v>
      </c>
      <c r="F243" t="s">
        <v>53</v>
      </c>
      <c r="G243" t="s">
        <v>16</v>
      </c>
      <c r="H243">
        <v>2</v>
      </c>
      <c r="I243">
        <v>41.25</v>
      </c>
      <c r="J243" t="s">
        <v>17</v>
      </c>
      <c r="K243" t="s">
        <v>18</v>
      </c>
      <c r="L243">
        <f>WEEKDAY(Table1[[#This Row],[Transaction_Date]],2)</f>
        <v>7</v>
      </c>
      <c r="M243">
        <f>IF(Table1[[#This Row],[Sale_Type]]="Buffet",1,0)</f>
        <v>0</v>
      </c>
    </row>
    <row r="244" spans="1:13" x14ac:dyDescent="0.2">
      <c r="A244" t="s">
        <v>426</v>
      </c>
      <c r="B244" t="s">
        <v>427</v>
      </c>
      <c r="C244" s="1">
        <v>45943</v>
      </c>
      <c r="D244" t="s">
        <v>213</v>
      </c>
      <c r="E244" t="s">
        <v>14</v>
      </c>
      <c r="F244" t="s">
        <v>15</v>
      </c>
      <c r="G244" t="s">
        <v>16</v>
      </c>
      <c r="H244">
        <v>6</v>
      </c>
      <c r="I244">
        <v>241.48</v>
      </c>
      <c r="J244" t="s">
        <v>17</v>
      </c>
      <c r="K244" t="s">
        <v>21</v>
      </c>
      <c r="L244">
        <f>WEEKDAY(Table1[[#This Row],[Transaction_Date]],2)</f>
        <v>1</v>
      </c>
      <c r="M244">
        <f>IF(Table1[[#This Row],[Sale_Type]]="Buffet",1,0)</f>
        <v>0</v>
      </c>
    </row>
    <row r="245" spans="1:13" x14ac:dyDescent="0.2">
      <c r="A245" t="s">
        <v>428</v>
      </c>
      <c r="B245" t="s">
        <v>429</v>
      </c>
      <c r="C245" s="1">
        <v>45943</v>
      </c>
      <c r="D245" t="s">
        <v>213</v>
      </c>
      <c r="E245" t="s">
        <v>14</v>
      </c>
      <c r="F245" t="s">
        <v>15</v>
      </c>
      <c r="G245" t="s">
        <v>16</v>
      </c>
      <c r="H245">
        <v>4</v>
      </c>
      <c r="I245">
        <v>119.91</v>
      </c>
      <c r="J245" t="s">
        <v>17</v>
      </c>
      <c r="K245" t="s">
        <v>18</v>
      </c>
      <c r="L245">
        <f>WEEKDAY(Table1[[#This Row],[Transaction_Date]],2)</f>
        <v>1</v>
      </c>
      <c r="M245">
        <f>IF(Table1[[#This Row],[Sale_Type]]="Buffet",1,0)</f>
        <v>0</v>
      </c>
    </row>
    <row r="246" spans="1:13" x14ac:dyDescent="0.2">
      <c r="A246" t="s">
        <v>430</v>
      </c>
      <c r="B246" t="s">
        <v>278</v>
      </c>
      <c r="C246" s="1">
        <v>45943</v>
      </c>
      <c r="D246" t="s">
        <v>213</v>
      </c>
      <c r="E246" t="s">
        <v>14</v>
      </c>
      <c r="F246" t="s">
        <v>24</v>
      </c>
      <c r="G246" t="s">
        <v>16</v>
      </c>
      <c r="H246">
        <v>3</v>
      </c>
      <c r="I246">
        <v>60.79</v>
      </c>
      <c r="J246" t="s">
        <v>17</v>
      </c>
      <c r="K246" t="s">
        <v>18</v>
      </c>
      <c r="L246">
        <f>WEEKDAY(Table1[[#This Row],[Transaction_Date]],2)</f>
        <v>1</v>
      </c>
      <c r="M246">
        <f>IF(Table1[[#This Row],[Sale_Type]]="Buffet",1,0)</f>
        <v>0</v>
      </c>
    </row>
    <row r="247" spans="1:13" x14ac:dyDescent="0.2">
      <c r="A247" t="s">
        <v>431</v>
      </c>
      <c r="B247" t="s">
        <v>318</v>
      </c>
      <c r="C247" s="1">
        <v>45943</v>
      </c>
      <c r="D247" t="s">
        <v>213</v>
      </c>
      <c r="E247" t="s">
        <v>14</v>
      </c>
      <c r="F247" t="s">
        <v>24</v>
      </c>
      <c r="G247" t="s">
        <v>16</v>
      </c>
      <c r="H247">
        <v>2</v>
      </c>
      <c r="I247">
        <v>50.28</v>
      </c>
      <c r="J247" t="s">
        <v>17</v>
      </c>
      <c r="K247" t="s">
        <v>21</v>
      </c>
      <c r="L247">
        <f>WEEKDAY(Table1[[#This Row],[Transaction_Date]],2)</f>
        <v>1</v>
      </c>
      <c r="M247">
        <f>IF(Table1[[#This Row],[Sale_Type]]="Buffet",1,0)</f>
        <v>0</v>
      </c>
    </row>
    <row r="248" spans="1:13" x14ac:dyDescent="0.2">
      <c r="A248" t="s">
        <v>432</v>
      </c>
      <c r="B248" t="s">
        <v>433</v>
      </c>
      <c r="C248" s="1">
        <v>45943</v>
      </c>
      <c r="D248" t="s">
        <v>213</v>
      </c>
      <c r="E248" t="s">
        <v>14</v>
      </c>
      <c r="F248" t="s">
        <v>24</v>
      </c>
      <c r="G248" t="s">
        <v>16</v>
      </c>
      <c r="H248">
        <v>6</v>
      </c>
      <c r="I248">
        <v>266.77999999999997</v>
      </c>
      <c r="J248" t="s">
        <v>17</v>
      </c>
      <c r="K248" t="s">
        <v>21</v>
      </c>
      <c r="L248">
        <f>WEEKDAY(Table1[[#This Row],[Transaction_Date]],2)</f>
        <v>1</v>
      </c>
      <c r="M248">
        <f>IF(Table1[[#This Row],[Sale_Type]]="Buffet",1,0)</f>
        <v>0</v>
      </c>
    </row>
    <row r="249" spans="1:13" x14ac:dyDescent="0.2">
      <c r="A249" t="s">
        <v>434</v>
      </c>
      <c r="B249" t="s">
        <v>419</v>
      </c>
      <c r="C249" s="1">
        <v>45943</v>
      </c>
      <c r="D249" t="s">
        <v>213</v>
      </c>
      <c r="E249" t="s">
        <v>14</v>
      </c>
      <c r="F249" t="s">
        <v>24</v>
      </c>
      <c r="G249" t="s">
        <v>16</v>
      </c>
      <c r="H249">
        <v>3</v>
      </c>
      <c r="I249">
        <v>86.17</v>
      </c>
      <c r="J249" t="s">
        <v>34</v>
      </c>
      <c r="K249" t="s">
        <v>18</v>
      </c>
      <c r="L249">
        <f>WEEKDAY(Table1[[#This Row],[Transaction_Date]],2)</f>
        <v>1</v>
      </c>
      <c r="M249">
        <f>IF(Table1[[#This Row],[Sale_Type]]="Buffet",1,0)</f>
        <v>0</v>
      </c>
    </row>
    <row r="250" spans="1:13" x14ac:dyDescent="0.2">
      <c r="A250" t="s">
        <v>435</v>
      </c>
      <c r="B250" t="s">
        <v>87</v>
      </c>
      <c r="C250" s="1">
        <v>45943</v>
      </c>
      <c r="D250" t="s">
        <v>213</v>
      </c>
      <c r="E250" t="s">
        <v>14</v>
      </c>
      <c r="F250" t="s">
        <v>24</v>
      </c>
      <c r="G250" t="s">
        <v>16</v>
      </c>
      <c r="H250">
        <v>4</v>
      </c>
      <c r="I250">
        <v>113.33</v>
      </c>
      <c r="J250" t="s">
        <v>34</v>
      </c>
      <c r="K250" t="s">
        <v>18</v>
      </c>
      <c r="L250">
        <f>WEEKDAY(Table1[[#This Row],[Transaction_Date]],2)</f>
        <v>1</v>
      </c>
      <c r="M250">
        <f>IF(Table1[[#This Row],[Sale_Type]]="Buffet",1,0)</f>
        <v>0</v>
      </c>
    </row>
    <row r="251" spans="1:13" x14ac:dyDescent="0.2">
      <c r="A251" t="s">
        <v>436</v>
      </c>
      <c r="B251" t="s">
        <v>140</v>
      </c>
      <c r="C251" s="1">
        <v>45943</v>
      </c>
      <c r="D251" t="s">
        <v>213</v>
      </c>
      <c r="E251" t="s">
        <v>14</v>
      </c>
      <c r="F251" t="s">
        <v>27</v>
      </c>
      <c r="G251" t="s">
        <v>16</v>
      </c>
      <c r="H251">
        <v>4</v>
      </c>
      <c r="I251">
        <v>60.52</v>
      </c>
      <c r="J251" t="s">
        <v>34</v>
      </c>
      <c r="K251" t="s">
        <v>18</v>
      </c>
      <c r="L251">
        <f>WEEKDAY(Table1[[#This Row],[Transaction_Date]],2)</f>
        <v>1</v>
      </c>
      <c r="M251">
        <f>IF(Table1[[#This Row],[Sale_Type]]="Buffet",1,0)</f>
        <v>0</v>
      </c>
    </row>
    <row r="252" spans="1:13" x14ac:dyDescent="0.2">
      <c r="A252" t="s">
        <v>437</v>
      </c>
      <c r="B252" t="s">
        <v>438</v>
      </c>
      <c r="C252" s="1">
        <v>45943</v>
      </c>
      <c r="D252" t="s">
        <v>213</v>
      </c>
      <c r="E252" t="s">
        <v>14</v>
      </c>
      <c r="F252" t="s">
        <v>31</v>
      </c>
      <c r="G252" t="s">
        <v>16</v>
      </c>
      <c r="H252">
        <v>2</v>
      </c>
      <c r="I252">
        <v>42.09</v>
      </c>
      <c r="J252" t="s">
        <v>17</v>
      </c>
      <c r="K252" t="s">
        <v>18</v>
      </c>
      <c r="L252">
        <f>WEEKDAY(Table1[[#This Row],[Transaction_Date]],2)</f>
        <v>1</v>
      </c>
      <c r="M252">
        <f>IF(Table1[[#This Row],[Sale_Type]]="Buffet",1,0)</f>
        <v>0</v>
      </c>
    </row>
    <row r="253" spans="1:13" x14ac:dyDescent="0.2">
      <c r="A253" t="s">
        <v>439</v>
      </c>
      <c r="B253" t="s">
        <v>440</v>
      </c>
      <c r="C253" s="1">
        <v>45943</v>
      </c>
      <c r="D253" t="s">
        <v>213</v>
      </c>
      <c r="E253" t="s">
        <v>14</v>
      </c>
      <c r="F253" t="s">
        <v>31</v>
      </c>
      <c r="G253" t="s">
        <v>16</v>
      </c>
      <c r="H253">
        <v>1</v>
      </c>
      <c r="I253">
        <v>30.62</v>
      </c>
      <c r="J253" t="s">
        <v>34</v>
      </c>
      <c r="K253" t="s">
        <v>21</v>
      </c>
      <c r="L253">
        <f>WEEKDAY(Table1[[#This Row],[Transaction_Date]],2)</f>
        <v>1</v>
      </c>
      <c r="M253">
        <f>IF(Table1[[#This Row],[Sale_Type]]="Buffet",1,0)</f>
        <v>0</v>
      </c>
    </row>
    <row r="254" spans="1:13" x14ac:dyDescent="0.2">
      <c r="A254" t="s">
        <v>441</v>
      </c>
      <c r="B254" t="s">
        <v>138</v>
      </c>
      <c r="C254" s="1">
        <v>45943</v>
      </c>
      <c r="D254" t="s">
        <v>213</v>
      </c>
      <c r="E254" t="s">
        <v>14</v>
      </c>
      <c r="F254" t="s">
        <v>31</v>
      </c>
      <c r="G254" t="s">
        <v>16</v>
      </c>
      <c r="H254">
        <v>4</v>
      </c>
      <c r="I254">
        <v>91.45</v>
      </c>
      <c r="J254" t="s">
        <v>34</v>
      </c>
      <c r="K254" t="s">
        <v>18</v>
      </c>
      <c r="L254">
        <f>WEEKDAY(Table1[[#This Row],[Transaction_Date]],2)</f>
        <v>1</v>
      </c>
      <c r="M254">
        <f>IF(Table1[[#This Row],[Sale_Type]]="Buffet",1,0)</f>
        <v>0</v>
      </c>
    </row>
    <row r="255" spans="1:13" x14ac:dyDescent="0.2">
      <c r="A255" t="s">
        <v>442</v>
      </c>
      <c r="B255" t="s">
        <v>443</v>
      </c>
      <c r="C255" s="1">
        <v>45943</v>
      </c>
      <c r="D255" t="s">
        <v>213</v>
      </c>
      <c r="E255" t="s">
        <v>14</v>
      </c>
      <c r="F255" t="s">
        <v>31</v>
      </c>
      <c r="G255" t="s">
        <v>16</v>
      </c>
      <c r="H255">
        <v>3</v>
      </c>
      <c r="I255">
        <v>74.11</v>
      </c>
      <c r="J255" t="s">
        <v>17</v>
      </c>
      <c r="K255" t="s">
        <v>18</v>
      </c>
      <c r="L255">
        <f>WEEKDAY(Table1[[#This Row],[Transaction_Date]],2)</f>
        <v>1</v>
      </c>
      <c r="M255">
        <f>IF(Table1[[#This Row],[Sale_Type]]="Buffet",1,0)</f>
        <v>0</v>
      </c>
    </row>
    <row r="256" spans="1:13" x14ac:dyDescent="0.2">
      <c r="A256" t="s">
        <v>444</v>
      </c>
      <c r="B256" t="s">
        <v>445</v>
      </c>
      <c r="C256" s="1">
        <v>45943</v>
      </c>
      <c r="D256" t="s">
        <v>213</v>
      </c>
      <c r="E256" t="s">
        <v>14</v>
      </c>
      <c r="F256" t="s">
        <v>40</v>
      </c>
      <c r="G256" t="s">
        <v>16</v>
      </c>
      <c r="H256">
        <v>3</v>
      </c>
      <c r="I256">
        <v>95.93</v>
      </c>
      <c r="J256" t="s">
        <v>17</v>
      </c>
      <c r="K256" t="s">
        <v>18</v>
      </c>
      <c r="L256">
        <f>WEEKDAY(Table1[[#This Row],[Transaction_Date]],2)</f>
        <v>1</v>
      </c>
      <c r="M256">
        <f>IF(Table1[[#This Row],[Sale_Type]]="Buffet",1,0)</f>
        <v>0</v>
      </c>
    </row>
    <row r="257" spans="1:13" x14ac:dyDescent="0.2">
      <c r="A257" t="s">
        <v>446</v>
      </c>
      <c r="B257" t="s">
        <v>447</v>
      </c>
      <c r="C257" s="1">
        <v>45943</v>
      </c>
      <c r="D257" t="s">
        <v>213</v>
      </c>
      <c r="E257" t="s">
        <v>14</v>
      </c>
      <c r="F257" t="s">
        <v>40</v>
      </c>
      <c r="G257" t="s">
        <v>16</v>
      </c>
      <c r="H257">
        <v>4</v>
      </c>
      <c r="I257">
        <v>71.08</v>
      </c>
      <c r="J257" t="s">
        <v>28</v>
      </c>
      <c r="K257" t="s">
        <v>21</v>
      </c>
      <c r="L257">
        <f>WEEKDAY(Table1[[#This Row],[Transaction_Date]],2)</f>
        <v>1</v>
      </c>
      <c r="M257">
        <f>IF(Table1[[#This Row],[Sale_Type]]="Buffet",1,0)</f>
        <v>0</v>
      </c>
    </row>
    <row r="258" spans="1:13" x14ac:dyDescent="0.2">
      <c r="A258" t="s">
        <v>448</v>
      </c>
      <c r="B258" t="s">
        <v>379</v>
      </c>
      <c r="C258" s="1">
        <v>45943</v>
      </c>
      <c r="D258" t="s">
        <v>213</v>
      </c>
      <c r="E258" t="s">
        <v>14</v>
      </c>
      <c r="F258" t="s">
        <v>40</v>
      </c>
      <c r="G258" t="s">
        <v>16</v>
      </c>
      <c r="H258">
        <v>3</v>
      </c>
      <c r="I258">
        <v>67.86</v>
      </c>
      <c r="J258" t="s">
        <v>34</v>
      </c>
      <c r="K258" t="s">
        <v>18</v>
      </c>
      <c r="L258">
        <f>WEEKDAY(Table1[[#This Row],[Transaction_Date]],2)</f>
        <v>1</v>
      </c>
      <c r="M258">
        <f>IF(Table1[[#This Row],[Sale_Type]]="Buffet",1,0)</f>
        <v>0</v>
      </c>
    </row>
    <row r="259" spans="1:13" x14ac:dyDescent="0.2">
      <c r="A259" t="s">
        <v>449</v>
      </c>
      <c r="B259" t="s">
        <v>326</v>
      </c>
      <c r="C259" s="1">
        <v>45943</v>
      </c>
      <c r="D259" t="s">
        <v>213</v>
      </c>
      <c r="E259" t="s">
        <v>14</v>
      </c>
      <c r="F259" t="s">
        <v>40</v>
      </c>
      <c r="G259" t="s">
        <v>16</v>
      </c>
      <c r="H259">
        <v>2</v>
      </c>
      <c r="I259">
        <v>34.81</v>
      </c>
      <c r="J259" t="s">
        <v>34</v>
      </c>
      <c r="K259" t="s">
        <v>18</v>
      </c>
      <c r="L259">
        <f>WEEKDAY(Table1[[#This Row],[Transaction_Date]],2)</f>
        <v>1</v>
      </c>
      <c r="M259">
        <f>IF(Table1[[#This Row],[Sale_Type]]="Buffet",1,0)</f>
        <v>0</v>
      </c>
    </row>
    <row r="260" spans="1:13" x14ac:dyDescent="0.2">
      <c r="A260" t="s">
        <v>450</v>
      </c>
      <c r="B260" t="s">
        <v>142</v>
      </c>
      <c r="C260" s="1">
        <v>45943</v>
      </c>
      <c r="D260" t="s">
        <v>213</v>
      </c>
      <c r="E260" t="s">
        <v>14</v>
      </c>
      <c r="F260" t="s">
        <v>40</v>
      </c>
      <c r="G260" t="s">
        <v>16</v>
      </c>
      <c r="H260">
        <v>2</v>
      </c>
      <c r="I260">
        <v>40.29</v>
      </c>
      <c r="J260" t="s">
        <v>17</v>
      </c>
      <c r="K260" t="s">
        <v>18</v>
      </c>
      <c r="L260">
        <f>WEEKDAY(Table1[[#This Row],[Transaction_Date]],2)</f>
        <v>1</v>
      </c>
      <c r="M260">
        <f>IF(Table1[[#This Row],[Sale_Type]]="Buffet",1,0)</f>
        <v>0</v>
      </c>
    </row>
    <row r="261" spans="1:13" x14ac:dyDescent="0.2">
      <c r="A261" t="s">
        <v>451</v>
      </c>
      <c r="B261" t="s">
        <v>68</v>
      </c>
      <c r="C261" s="1">
        <v>45943</v>
      </c>
      <c r="D261" t="s">
        <v>213</v>
      </c>
      <c r="E261" t="s">
        <v>14</v>
      </c>
      <c r="F261" t="s">
        <v>40</v>
      </c>
      <c r="G261" t="s">
        <v>16</v>
      </c>
      <c r="H261">
        <v>5</v>
      </c>
      <c r="I261">
        <v>180.65</v>
      </c>
      <c r="J261" t="s">
        <v>28</v>
      </c>
      <c r="K261" t="s">
        <v>18</v>
      </c>
      <c r="L261">
        <f>WEEKDAY(Table1[[#This Row],[Transaction_Date]],2)</f>
        <v>1</v>
      </c>
      <c r="M261">
        <f>IF(Table1[[#This Row],[Sale_Type]]="Buffet",1,0)</f>
        <v>0</v>
      </c>
    </row>
    <row r="262" spans="1:13" x14ac:dyDescent="0.2">
      <c r="A262" t="s">
        <v>452</v>
      </c>
      <c r="B262" t="s">
        <v>138</v>
      </c>
      <c r="C262" s="1">
        <v>45943</v>
      </c>
      <c r="D262" t="s">
        <v>213</v>
      </c>
      <c r="E262" t="s">
        <v>43</v>
      </c>
      <c r="F262" t="s">
        <v>44</v>
      </c>
      <c r="G262" t="s">
        <v>16</v>
      </c>
      <c r="H262">
        <v>2</v>
      </c>
      <c r="I262">
        <v>28.03</v>
      </c>
      <c r="J262" t="s">
        <v>34</v>
      </c>
      <c r="K262" t="s">
        <v>21</v>
      </c>
      <c r="L262">
        <f>WEEKDAY(Table1[[#This Row],[Transaction_Date]],2)</f>
        <v>1</v>
      </c>
      <c r="M262">
        <f>IF(Table1[[#This Row],[Sale_Type]]="Buffet",1,0)</f>
        <v>0</v>
      </c>
    </row>
    <row r="263" spans="1:13" x14ac:dyDescent="0.2">
      <c r="A263" t="s">
        <v>453</v>
      </c>
      <c r="B263" t="s">
        <v>454</v>
      </c>
      <c r="C263" s="1">
        <v>45943</v>
      </c>
      <c r="D263" t="s">
        <v>213</v>
      </c>
      <c r="E263" t="s">
        <v>43</v>
      </c>
      <c r="F263" t="s">
        <v>57</v>
      </c>
      <c r="G263" t="s">
        <v>16</v>
      </c>
      <c r="H263">
        <v>1</v>
      </c>
      <c r="I263">
        <v>33.75</v>
      </c>
      <c r="J263" t="s">
        <v>34</v>
      </c>
      <c r="K263" t="s">
        <v>21</v>
      </c>
      <c r="L263">
        <f>WEEKDAY(Table1[[#This Row],[Transaction_Date]],2)</f>
        <v>1</v>
      </c>
      <c r="M263">
        <f>IF(Table1[[#This Row],[Sale_Type]]="Buffet",1,0)</f>
        <v>0</v>
      </c>
    </row>
    <row r="264" spans="1:13" x14ac:dyDescent="0.2">
      <c r="A264" t="s">
        <v>455</v>
      </c>
      <c r="B264" t="s">
        <v>456</v>
      </c>
      <c r="C264" s="1">
        <v>45943</v>
      </c>
      <c r="D264" t="s">
        <v>213</v>
      </c>
      <c r="E264" t="s">
        <v>43</v>
      </c>
      <c r="F264" t="s">
        <v>57</v>
      </c>
      <c r="G264" t="s">
        <v>16</v>
      </c>
      <c r="H264">
        <v>2</v>
      </c>
      <c r="I264">
        <v>35.85</v>
      </c>
      <c r="J264" t="s">
        <v>17</v>
      </c>
      <c r="K264" t="s">
        <v>18</v>
      </c>
      <c r="L264">
        <f>WEEKDAY(Table1[[#This Row],[Transaction_Date]],2)</f>
        <v>1</v>
      </c>
      <c r="M264">
        <f>IF(Table1[[#This Row],[Sale_Type]]="Buffet",1,0)</f>
        <v>0</v>
      </c>
    </row>
    <row r="265" spans="1:13" x14ac:dyDescent="0.2">
      <c r="A265" t="s">
        <v>457</v>
      </c>
      <c r="B265" t="s">
        <v>196</v>
      </c>
      <c r="C265" s="1">
        <v>45944</v>
      </c>
      <c r="D265" t="s">
        <v>250</v>
      </c>
      <c r="E265" t="s">
        <v>14</v>
      </c>
      <c r="F265" t="s">
        <v>15</v>
      </c>
      <c r="G265" t="s">
        <v>16</v>
      </c>
      <c r="H265">
        <v>2</v>
      </c>
      <c r="I265">
        <v>64.83</v>
      </c>
      <c r="J265" t="s">
        <v>34</v>
      </c>
      <c r="K265" t="s">
        <v>18</v>
      </c>
      <c r="L265">
        <f>WEEKDAY(Table1[[#This Row],[Transaction_Date]],2)</f>
        <v>2</v>
      </c>
      <c r="M265">
        <f>IF(Table1[[#This Row],[Sale_Type]]="Buffet",1,0)</f>
        <v>0</v>
      </c>
    </row>
    <row r="266" spans="1:13" x14ac:dyDescent="0.2">
      <c r="A266" t="s">
        <v>458</v>
      </c>
      <c r="B266" t="s">
        <v>459</v>
      </c>
      <c r="C266" s="1">
        <v>45944</v>
      </c>
      <c r="D266" t="s">
        <v>250</v>
      </c>
      <c r="E266" t="s">
        <v>14</v>
      </c>
      <c r="F266" t="s">
        <v>15</v>
      </c>
      <c r="G266" t="s">
        <v>16</v>
      </c>
      <c r="H266">
        <v>4</v>
      </c>
      <c r="I266">
        <v>121.1</v>
      </c>
      <c r="J266" t="s">
        <v>34</v>
      </c>
      <c r="K266" t="s">
        <v>18</v>
      </c>
      <c r="L266">
        <f>WEEKDAY(Table1[[#This Row],[Transaction_Date]],2)</f>
        <v>2</v>
      </c>
      <c r="M266">
        <f>IF(Table1[[#This Row],[Sale_Type]]="Buffet",1,0)</f>
        <v>0</v>
      </c>
    </row>
    <row r="267" spans="1:13" x14ac:dyDescent="0.2">
      <c r="A267" t="s">
        <v>460</v>
      </c>
      <c r="B267" t="s">
        <v>156</v>
      </c>
      <c r="C267" s="1">
        <v>45944</v>
      </c>
      <c r="D267" t="s">
        <v>250</v>
      </c>
      <c r="E267" t="s">
        <v>14</v>
      </c>
      <c r="F267" t="s">
        <v>24</v>
      </c>
      <c r="G267" t="s">
        <v>16</v>
      </c>
      <c r="H267">
        <v>3</v>
      </c>
      <c r="I267">
        <v>69.66</v>
      </c>
      <c r="J267" t="s">
        <v>17</v>
      </c>
      <c r="K267" t="s">
        <v>18</v>
      </c>
      <c r="L267">
        <f>WEEKDAY(Table1[[#This Row],[Transaction_Date]],2)</f>
        <v>2</v>
      </c>
      <c r="M267">
        <f>IF(Table1[[#This Row],[Sale_Type]]="Buffet",1,0)</f>
        <v>0</v>
      </c>
    </row>
    <row r="268" spans="1:13" x14ac:dyDescent="0.2">
      <c r="A268" t="s">
        <v>461</v>
      </c>
      <c r="B268" t="s">
        <v>256</v>
      </c>
      <c r="C268" s="1">
        <v>45944</v>
      </c>
      <c r="D268" t="s">
        <v>250</v>
      </c>
      <c r="E268" t="s">
        <v>14</v>
      </c>
      <c r="F268" t="s">
        <v>24</v>
      </c>
      <c r="G268" t="s">
        <v>16</v>
      </c>
      <c r="H268">
        <v>6</v>
      </c>
      <c r="I268">
        <v>140.69999999999999</v>
      </c>
      <c r="J268" t="s">
        <v>34</v>
      </c>
      <c r="K268" t="s">
        <v>21</v>
      </c>
      <c r="L268">
        <f>WEEKDAY(Table1[[#This Row],[Transaction_Date]],2)</f>
        <v>2</v>
      </c>
      <c r="M268">
        <f>IF(Table1[[#This Row],[Sale_Type]]="Buffet",1,0)</f>
        <v>0</v>
      </c>
    </row>
    <row r="269" spans="1:13" x14ac:dyDescent="0.2">
      <c r="A269" t="s">
        <v>462</v>
      </c>
      <c r="B269" t="s">
        <v>304</v>
      </c>
      <c r="C269" s="1">
        <v>45944</v>
      </c>
      <c r="D269" t="s">
        <v>250</v>
      </c>
      <c r="E269" t="s">
        <v>14</v>
      </c>
      <c r="F269" t="s">
        <v>24</v>
      </c>
      <c r="G269" t="s">
        <v>16</v>
      </c>
      <c r="H269">
        <v>5</v>
      </c>
      <c r="I269">
        <v>151.30000000000001</v>
      </c>
      <c r="J269" t="s">
        <v>17</v>
      </c>
      <c r="K269" t="s">
        <v>18</v>
      </c>
      <c r="L269">
        <f>WEEKDAY(Table1[[#This Row],[Transaction_Date]],2)</f>
        <v>2</v>
      </c>
      <c r="M269">
        <f>IF(Table1[[#This Row],[Sale_Type]]="Buffet",1,0)</f>
        <v>0</v>
      </c>
    </row>
    <row r="270" spans="1:13" x14ac:dyDescent="0.2">
      <c r="A270" t="s">
        <v>463</v>
      </c>
      <c r="B270" t="s">
        <v>156</v>
      </c>
      <c r="C270" s="1">
        <v>45944</v>
      </c>
      <c r="D270" t="s">
        <v>250</v>
      </c>
      <c r="E270" t="s">
        <v>14</v>
      </c>
      <c r="F270" t="s">
        <v>27</v>
      </c>
      <c r="G270" t="s">
        <v>16</v>
      </c>
      <c r="H270">
        <v>3</v>
      </c>
      <c r="I270">
        <v>61.6</v>
      </c>
      <c r="J270" t="s">
        <v>28</v>
      </c>
      <c r="K270" t="s">
        <v>18</v>
      </c>
      <c r="L270">
        <f>WEEKDAY(Table1[[#This Row],[Transaction_Date]],2)</f>
        <v>2</v>
      </c>
      <c r="M270">
        <f>IF(Table1[[#This Row],[Sale_Type]]="Buffet",1,0)</f>
        <v>0</v>
      </c>
    </row>
    <row r="271" spans="1:13" x14ac:dyDescent="0.2">
      <c r="A271" t="s">
        <v>464</v>
      </c>
      <c r="B271" t="s">
        <v>410</v>
      </c>
      <c r="C271" s="1">
        <v>45944</v>
      </c>
      <c r="D271" t="s">
        <v>250</v>
      </c>
      <c r="E271" t="s">
        <v>14</v>
      </c>
      <c r="F271" t="s">
        <v>27</v>
      </c>
      <c r="G271" t="s">
        <v>16</v>
      </c>
      <c r="H271">
        <v>2</v>
      </c>
      <c r="I271">
        <v>41.81</v>
      </c>
      <c r="J271" t="s">
        <v>28</v>
      </c>
      <c r="K271" t="s">
        <v>21</v>
      </c>
      <c r="L271">
        <f>WEEKDAY(Table1[[#This Row],[Transaction_Date]],2)</f>
        <v>2</v>
      </c>
      <c r="M271">
        <f>IF(Table1[[#This Row],[Sale_Type]]="Buffet",1,0)</f>
        <v>0</v>
      </c>
    </row>
    <row r="272" spans="1:13" x14ac:dyDescent="0.2">
      <c r="A272" t="s">
        <v>465</v>
      </c>
      <c r="B272" t="s">
        <v>351</v>
      </c>
      <c r="C272" s="1">
        <v>45944</v>
      </c>
      <c r="D272" t="s">
        <v>250</v>
      </c>
      <c r="E272" t="s">
        <v>14</v>
      </c>
      <c r="F272" t="s">
        <v>27</v>
      </c>
      <c r="G272" t="s">
        <v>16</v>
      </c>
      <c r="H272">
        <v>1</v>
      </c>
      <c r="I272">
        <v>47.56</v>
      </c>
      <c r="J272" t="s">
        <v>17</v>
      </c>
      <c r="K272" t="s">
        <v>21</v>
      </c>
      <c r="L272">
        <f>WEEKDAY(Table1[[#This Row],[Transaction_Date]],2)</f>
        <v>2</v>
      </c>
      <c r="M272">
        <f>IF(Table1[[#This Row],[Sale_Type]]="Buffet",1,0)</f>
        <v>0</v>
      </c>
    </row>
    <row r="273" spans="1:13" x14ac:dyDescent="0.2">
      <c r="A273" t="s">
        <v>466</v>
      </c>
      <c r="B273" t="s">
        <v>467</v>
      </c>
      <c r="C273" s="1">
        <v>45944</v>
      </c>
      <c r="D273" t="s">
        <v>250</v>
      </c>
      <c r="E273" t="s">
        <v>14</v>
      </c>
      <c r="F273" t="s">
        <v>31</v>
      </c>
      <c r="G273" t="s">
        <v>16</v>
      </c>
      <c r="H273">
        <v>4</v>
      </c>
      <c r="I273">
        <v>88.48</v>
      </c>
      <c r="J273" t="s">
        <v>17</v>
      </c>
      <c r="K273" t="s">
        <v>18</v>
      </c>
      <c r="L273">
        <f>WEEKDAY(Table1[[#This Row],[Transaction_Date]],2)</f>
        <v>2</v>
      </c>
      <c r="M273">
        <f>IF(Table1[[#This Row],[Sale_Type]]="Buffet",1,0)</f>
        <v>0</v>
      </c>
    </row>
    <row r="274" spans="1:13" x14ac:dyDescent="0.2">
      <c r="A274" t="s">
        <v>468</v>
      </c>
      <c r="B274" t="s">
        <v>262</v>
      </c>
      <c r="C274" s="1">
        <v>45944</v>
      </c>
      <c r="D274" t="s">
        <v>250</v>
      </c>
      <c r="E274" t="s">
        <v>14</v>
      </c>
      <c r="F274" t="s">
        <v>31</v>
      </c>
      <c r="G274" t="s">
        <v>16</v>
      </c>
      <c r="H274">
        <v>4</v>
      </c>
      <c r="I274">
        <v>93.83</v>
      </c>
      <c r="J274" t="s">
        <v>17</v>
      </c>
      <c r="K274" t="s">
        <v>18</v>
      </c>
      <c r="L274">
        <f>WEEKDAY(Table1[[#This Row],[Transaction_Date]],2)</f>
        <v>2</v>
      </c>
      <c r="M274">
        <f>IF(Table1[[#This Row],[Sale_Type]]="Buffet",1,0)</f>
        <v>0</v>
      </c>
    </row>
    <row r="275" spans="1:13" x14ac:dyDescent="0.2">
      <c r="A275" t="s">
        <v>469</v>
      </c>
      <c r="B275" t="s">
        <v>238</v>
      </c>
      <c r="C275" s="1">
        <v>45944</v>
      </c>
      <c r="D275" t="s">
        <v>250</v>
      </c>
      <c r="E275" t="s">
        <v>14</v>
      </c>
      <c r="F275" t="s">
        <v>31</v>
      </c>
      <c r="G275" t="s">
        <v>16</v>
      </c>
      <c r="H275">
        <v>3</v>
      </c>
      <c r="I275">
        <v>87.91</v>
      </c>
      <c r="J275" t="s">
        <v>28</v>
      </c>
      <c r="K275" t="s">
        <v>18</v>
      </c>
      <c r="L275">
        <f>WEEKDAY(Table1[[#This Row],[Transaction_Date]],2)</f>
        <v>2</v>
      </c>
      <c r="M275">
        <f>IF(Table1[[#This Row],[Sale_Type]]="Buffet",1,0)</f>
        <v>0</v>
      </c>
    </row>
    <row r="276" spans="1:13" x14ac:dyDescent="0.2">
      <c r="A276" t="s">
        <v>470</v>
      </c>
      <c r="B276" t="s">
        <v>471</v>
      </c>
      <c r="C276" s="1">
        <v>45944</v>
      </c>
      <c r="D276" t="s">
        <v>250</v>
      </c>
      <c r="E276" t="s">
        <v>14</v>
      </c>
      <c r="F276" t="s">
        <v>40</v>
      </c>
      <c r="G276" t="s">
        <v>16</v>
      </c>
      <c r="H276">
        <v>3</v>
      </c>
      <c r="I276">
        <v>131.91</v>
      </c>
      <c r="J276" t="s">
        <v>17</v>
      </c>
      <c r="K276" t="s">
        <v>18</v>
      </c>
      <c r="L276">
        <f>WEEKDAY(Table1[[#This Row],[Transaction_Date]],2)</f>
        <v>2</v>
      </c>
      <c r="M276">
        <f>IF(Table1[[#This Row],[Sale_Type]]="Buffet",1,0)</f>
        <v>0</v>
      </c>
    </row>
    <row r="277" spans="1:13" x14ac:dyDescent="0.2">
      <c r="A277" t="s">
        <v>472</v>
      </c>
      <c r="B277" t="s">
        <v>93</v>
      </c>
      <c r="C277" s="1">
        <v>45944</v>
      </c>
      <c r="D277" t="s">
        <v>250</v>
      </c>
      <c r="E277" t="s">
        <v>43</v>
      </c>
      <c r="F277" t="s">
        <v>44</v>
      </c>
      <c r="G277" t="s">
        <v>16</v>
      </c>
      <c r="H277">
        <v>2</v>
      </c>
      <c r="I277">
        <v>39.93</v>
      </c>
      <c r="J277" t="s">
        <v>34</v>
      </c>
      <c r="K277" t="s">
        <v>18</v>
      </c>
      <c r="L277">
        <f>WEEKDAY(Table1[[#This Row],[Transaction_Date]],2)</f>
        <v>2</v>
      </c>
      <c r="M277">
        <f>IF(Table1[[#This Row],[Sale_Type]]="Buffet",1,0)</f>
        <v>0</v>
      </c>
    </row>
    <row r="278" spans="1:13" x14ac:dyDescent="0.2">
      <c r="A278" t="s">
        <v>473</v>
      </c>
      <c r="B278" t="s">
        <v>474</v>
      </c>
      <c r="C278" s="1">
        <v>45944</v>
      </c>
      <c r="D278" t="s">
        <v>250</v>
      </c>
      <c r="E278" t="s">
        <v>43</v>
      </c>
      <c r="F278" t="s">
        <v>44</v>
      </c>
      <c r="G278" t="s">
        <v>16</v>
      </c>
      <c r="H278">
        <v>5</v>
      </c>
      <c r="I278">
        <v>92.5</v>
      </c>
      <c r="J278" t="s">
        <v>34</v>
      </c>
      <c r="K278" t="s">
        <v>18</v>
      </c>
      <c r="L278">
        <f>WEEKDAY(Table1[[#This Row],[Transaction_Date]],2)</f>
        <v>2</v>
      </c>
      <c r="M278">
        <f>IF(Table1[[#This Row],[Sale_Type]]="Buffet",1,0)</f>
        <v>0</v>
      </c>
    </row>
    <row r="279" spans="1:13" x14ac:dyDescent="0.2">
      <c r="A279" t="s">
        <v>475</v>
      </c>
      <c r="B279" t="s">
        <v>476</v>
      </c>
      <c r="C279" s="1">
        <v>45944</v>
      </c>
      <c r="D279" t="s">
        <v>250</v>
      </c>
      <c r="E279" t="s">
        <v>43</v>
      </c>
      <c r="F279" t="s">
        <v>44</v>
      </c>
      <c r="G279" t="s">
        <v>16</v>
      </c>
      <c r="H279">
        <v>6</v>
      </c>
      <c r="I279">
        <v>219.34</v>
      </c>
      <c r="J279" t="s">
        <v>17</v>
      </c>
      <c r="K279" t="s">
        <v>21</v>
      </c>
      <c r="L279">
        <f>WEEKDAY(Table1[[#This Row],[Transaction_Date]],2)</f>
        <v>2</v>
      </c>
      <c r="M279">
        <f>IF(Table1[[#This Row],[Sale_Type]]="Buffet",1,0)</f>
        <v>0</v>
      </c>
    </row>
    <row r="280" spans="1:13" x14ac:dyDescent="0.2">
      <c r="A280" t="s">
        <v>477</v>
      </c>
      <c r="B280" t="s">
        <v>142</v>
      </c>
      <c r="C280" s="1">
        <v>45944</v>
      </c>
      <c r="D280" t="s">
        <v>250</v>
      </c>
      <c r="E280" t="s">
        <v>43</v>
      </c>
      <c r="F280" t="s">
        <v>44</v>
      </c>
      <c r="G280" t="s">
        <v>16</v>
      </c>
      <c r="H280">
        <v>2</v>
      </c>
      <c r="I280">
        <v>59.9</v>
      </c>
      <c r="J280" t="s">
        <v>17</v>
      </c>
      <c r="K280" t="s">
        <v>21</v>
      </c>
      <c r="L280">
        <f>WEEKDAY(Table1[[#This Row],[Transaction_Date]],2)</f>
        <v>2</v>
      </c>
      <c r="M280">
        <f>IF(Table1[[#This Row],[Sale_Type]]="Buffet",1,0)</f>
        <v>0</v>
      </c>
    </row>
    <row r="281" spans="1:13" x14ac:dyDescent="0.2">
      <c r="A281" t="s">
        <v>478</v>
      </c>
      <c r="B281" t="s">
        <v>215</v>
      </c>
      <c r="C281" s="1">
        <v>45944</v>
      </c>
      <c r="D281" t="s">
        <v>250</v>
      </c>
      <c r="E281" t="s">
        <v>43</v>
      </c>
      <c r="F281" t="s">
        <v>44</v>
      </c>
      <c r="G281" t="s">
        <v>16</v>
      </c>
      <c r="H281">
        <v>7</v>
      </c>
      <c r="I281">
        <v>84.81</v>
      </c>
      <c r="J281" t="s">
        <v>28</v>
      </c>
      <c r="K281" t="s">
        <v>21</v>
      </c>
      <c r="L281">
        <f>WEEKDAY(Table1[[#This Row],[Transaction_Date]],2)</f>
        <v>2</v>
      </c>
      <c r="M281">
        <f>IF(Table1[[#This Row],[Sale_Type]]="Buffet",1,0)</f>
        <v>0</v>
      </c>
    </row>
    <row r="282" spans="1:13" x14ac:dyDescent="0.2">
      <c r="A282" t="s">
        <v>479</v>
      </c>
      <c r="B282" t="s">
        <v>480</v>
      </c>
      <c r="C282" s="1">
        <v>45944</v>
      </c>
      <c r="D282" t="s">
        <v>250</v>
      </c>
      <c r="E282" t="s">
        <v>43</v>
      </c>
      <c r="F282" t="s">
        <v>44</v>
      </c>
      <c r="G282" t="s">
        <v>16</v>
      </c>
      <c r="H282">
        <v>2</v>
      </c>
      <c r="I282">
        <v>41</v>
      </c>
      <c r="J282" t="s">
        <v>28</v>
      </c>
      <c r="K282" t="s">
        <v>21</v>
      </c>
      <c r="L282">
        <f>WEEKDAY(Table1[[#This Row],[Transaction_Date]],2)</f>
        <v>2</v>
      </c>
      <c r="M282">
        <f>IF(Table1[[#This Row],[Sale_Type]]="Buffet",1,0)</f>
        <v>0</v>
      </c>
    </row>
    <row r="283" spans="1:13" x14ac:dyDescent="0.2">
      <c r="A283" t="s">
        <v>481</v>
      </c>
      <c r="B283" t="s">
        <v>126</v>
      </c>
      <c r="C283" s="1">
        <v>45944</v>
      </c>
      <c r="D283" t="s">
        <v>250</v>
      </c>
      <c r="E283" t="s">
        <v>43</v>
      </c>
      <c r="F283" t="s">
        <v>53</v>
      </c>
      <c r="G283" t="s">
        <v>16</v>
      </c>
      <c r="H283">
        <v>1</v>
      </c>
      <c r="I283">
        <v>17.5</v>
      </c>
      <c r="J283" t="s">
        <v>28</v>
      </c>
      <c r="K283" t="s">
        <v>21</v>
      </c>
      <c r="L283">
        <f>WEEKDAY(Table1[[#This Row],[Transaction_Date]],2)</f>
        <v>2</v>
      </c>
      <c r="M283">
        <f>IF(Table1[[#This Row],[Sale_Type]]="Buffet",1,0)</f>
        <v>0</v>
      </c>
    </row>
    <row r="284" spans="1:13" x14ac:dyDescent="0.2">
      <c r="A284" t="s">
        <v>482</v>
      </c>
      <c r="B284" t="s">
        <v>483</v>
      </c>
      <c r="C284" s="1">
        <v>45944</v>
      </c>
      <c r="D284" t="s">
        <v>250</v>
      </c>
      <c r="E284" t="s">
        <v>43</v>
      </c>
      <c r="F284" t="s">
        <v>53</v>
      </c>
      <c r="G284" t="s">
        <v>16</v>
      </c>
      <c r="H284">
        <v>3</v>
      </c>
      <c r="I284">
        <v>32.14</v>
      </c>
      <c r="J284" t="s">
        <v>17</v>
      </c>
      <c r="K284" t="s">
        <v>21</v>
      </c>
      <c r="L284">
        <f>WEEKDAY(Table1[[#This Row],[Transaction_Date]],2)</f>
        <v>2</v>
      </c>
      <c r="M284">
        <f>IF(Table1[[#This Row],[Sale_Type]]="Buffet",1,0)</f>
        <v>0</v>
      </c>
    </row>
    <row r="285" spans="1:13" x14ac:dyDescent="0.2">
      <c r="A285" t="s">
        <v>484</v>
      </c>
      <c r="B285" t="s">
        <v>459</v>
      </c>
      <c r="C285" s="1">
        <v>45945</v>
      </c>
      <c r="D285" t="s">
        <v>13</v>
      </c>
      <c r="E285" t="s">
        <v>14</v>
      </c>
      <c r="F285" t="s">
        <v>15</v>
      </c>
      <c r="G285" t="s">
        <v>16</v>
      </c>
      <c r="H285">
        <v>2</v>
      </c>
      <c r="I285">
        <v>65.099999999999994</v>
      </c>
      <c r="J285" t="s">
        <v>17</v>
      </c>
      <c r="K285" t="s">
        <v>18</v>
      </c>
      <c r="L285">
        <f>WEEKDAY(Table1[[#This Row],[Transaction_Date]],2)</f>
        <v>3</v>
      </c>
      <c r="M285">
        <f>IF(Table1[[#This Row],[Sale_Type]]="Buffet",1,0)</f>
        <v>0</v>
      </c>
    </row>
    <row r="286" spans="1:13" x14ac:dyDescent="0.2">
      <c r="A286" t="s">
        <v>485</v>
      </c>
      <c r="B286" t="s">
        <v>486</v>
      </c>
      <c r="C286" s="1">
        <v>45945</v>
      </c>
      <c r="D286" t="s">
        <v>13</v>
      </c>
      <c r="E286" t="s">
        <v>14</v>
      </c>
      <c r="F286" t="s">
        <v>15</v>
      </c>
      <c r="G286" t="s">
        <v>16</v>
      </c>
      <c r="H286">
        <v>3</v>
      </c>
      <c r="I286">
        <v>67.69</v>
      </c>
      <c r="J286" t="s">
        <v>28</v>
      </c>
      <c r="K286" t="s">
        <v>21</v>
      </c>
      <c r="L286">
        <f>WEEKDAY(Table1[[#This Row],[Transaction_Date]],2)</f>
        <v>3</v>
      </c>
      <c r="M286">
        <f>IF(Table1[[#This Row],[Sale_Type]]="Buffet",1,0)</f>
        <v>0</v>
      </c>
    </row>
    <row r="287" spans="1:13" x14ac:dyDescent="0.2">
      <c r="A287" t="s">
        <v>487</v>
      </c>
      <c r="B287" t="s">
        <v>79</v>
      </c>
      <c r="C287" s="1">
        <v>45945</v>
      </c>
      <c r="D287" t="s">
        <v>13</v>
      </c>
      <c r="E287" t="s">
        <v>14</v>
      </c>
      <c r="F287" t="s">
        <v>15</v>
      </c>
      <c r="G287" t="s">
        <v>16</v>
      </c>
      <c r="H287">
        <v>5</v>
      </c>
      <c r="I287">
        <v>117.87</v>
      </c>
      <c r="J287" t="s">
        <v>34</v>
      </c>
      <c r="K287" t="s">
        <v>21</v>
      </c>
      <c r="L287">
        <f>WEEKDAY(Table1[[#This Row],[Transaction_Date]],2)</f>
        <v>3</v>
      </c>
      <c r="M287">
        <f>IF(Table1[[#This Row],[Sale_Type]]="Buffet",1,0)</f>
        <v>0</v>
      </c>
    </row>
    <row r="288" spans="1:13" x14ac:dyDescent="0.2">
      <c r="A288" t="s">
        <v>488</v>
      </c>
      <c r="B288" t="s">
        <v>304</v>
      </c>
      <c r="C288" s="1">
        <v>45945</v>
      </c>
      <c r="D288" t="s">
        <v>13</v>
      </c>
      <c r="E288" t="s">
        <v>14</v>
      </c>
      <c r="F288" t="s">
        <v>24</v>
      </c>
      <c r="G288" t="s">
        <v>16</v>
      </c>
      <c r="H288">
        <v>2</v>
      </c>
      <c r="I288">
        <v>35.11</v>
      </c>
      <c r="J288" t="s">
        <v>17</v>
      </c>
      <c r="K288" t="s">
        <v>18</v>
      </c>
      <c r="L288">
        <f>WEEKDAY(Table1[[#This Row],[Transaction_Date]],2)</f>
        <v>3</v>
      </c>
      <c r="M288">
        <f>IF(Table1[[#This Row],[Sale_Type]]="Buffet",1,0)</f>
        <v>0</v>
      </c>
    </row>
    <row r="289" spans="1:13" x14ac:dyDescent="0.2">
      <c r="A289" t="s">
        <v>489</v>
      </c>
      <c r="B289" t="s">
        <v>211</v>
      </c>
      <c r="C289" s="1">
        <v>45945</v>
      </c>
      <c r="D289" t="s">
        <v>13</v>
      </c>
      <c r="E289" t="s">
        <v>14</v>
      </c>
      <c r="F289" t="s">
        <v>24</v>
      </c>
      <c r="G289" t="s">
        <v>16</v>
      </c>
      <c r="H289">
        <v>3</v>
      </c>
      <c r="I289">
        <v>106.83</v>
      </c>
      <c r="J289" t="s">
        <v>17</v>
      </c>
      <c r="K289" t="s">
        <v>21</v>
      </c>
      <c r="L289">
        <f>WEEKDAY(Table1[[#This Row],[Transaction_Date]],2)</f>
        <v>3</v>
      </c>
      <c r="M289">
        <f>IF(Table1[[#This Row],[Sale_Type]]="Buffet",1,0)</f>
        <v>0</v>
      </c>
    </row>
    <row r="290" spans="1:13" x14ac:dyDescent="0.2">
      <c r="A290" t="s">
        <v>490</v>
      </c>
      <c r="B290" t="s">
        <v>467</v>
      </c>
      <c r="C290" s="1">
        <v>45945</v>
      </c>
      <c r="D290" t="s">
        <v>13</v>
      </c>
      <c r="E290" t="s">
        <v>14</v>
      </c>
      <c r="F290" t="s">
        <v>27</v>
      </c>
      <c r="G290" t="s">
        <v>16</v>
      </c>
      <c r="H290">
        <v>2</v>
      </c>
      <c r="I290">
        <v>32.18</v>
      </c>
      <c r="J290" t="s">
        <v>17</v>
      </c>
      <c r="K290" t="s">
        <v>18</v>
      </c>
      <c r="L290">
        <f>WEEKDAY(Table1[[#This Row],[Transaction_Date]],2)</f>
        <v>3</v>
      </c>
      <c r="M290">
        <f>IF(Table1[[#This Row],[Sale_Type]]="Buffet",1,0)</f>
        <v>0</v>
      </c>
    </row>
    <row r="291" spans="1:13" x14ac:dyDescent="0.2">
      <c r="A291" t="s">
        <v>491</v>
      </c>
      <c r="B291" t="s">
        <v>323</v>
      </c>
      <c r="C291" s="1">
        <v>45945</v>
      </c>
      <c r="D291" t="s">
        <v>13</v>
      </c>
      <c r="E291" t="s">
        <v>14</v>
      </c>
      <c r="F291" t="s">
        <v>27</v>
      </c>
      <c r="G291" t="s">
        <v>16</v>
      </c>
      <c r="H291">
        <v>2</v>
      </c>
      <c r="I291">
        <v>52.48</v>
      </c>
      <c r="J291" t="s">
        <v>17</v>
      </c>
      <c r="K291" t="s">
        <v>18</v>
      </c>
      <c r="L291">
        <f>WEEKDAY(Table1[[#This Row],[Transaction_Date]],2)</f>
        <v>3</v>
      </c>
      <c r="M291">
        <f>IF(Table1[[#This Row],[Sale_Type]]="Buffet",1,0)</f>
        <v>0</v>
      </c>
    </row>
    <row r="292" spans="1:13" x14ac:dyDescent="0.2">
      <c r="A292" t="s">
        <v>492</v>
      </c>
      <c r="B292" t="s">
        <v>493</v>
      </c>
      <c r="C292" s="1">
        <v>45945</v>
      </c>
      <c r="D292" t="s">
        <v>13</v>
      </c>
      <c r="E292" t="s">
        <v>14</v>
      </c>
      <c r="F292" t="s">
        <v>27</v>
      </c>
      <c r="G292" t="s">
        <v>16</v>
      </c>
      <c r="H292">
        <v>4</v>
      </c>
      <c r="I292">
        <v>95.87</v>
      </c>
      <c r="J292" t="s">
        <v>17</v>
      </c>
      <c r="K292" t="s">
        <v>18</v>
      </c>
      <c r="L292">
        <f>WEEKDAY(Table1[[#This Row],[Transaction_Date]],2)</f>
        <v>3</v>
      </c>
      <c r="M292">
        <f>IF(Table1[[#This Row],[Sale_Type]]="Buffet",1,0)</f>
        <v>0</v>
      </c>
    </row>
    <row r="293" spans="1:13" x14ac:dyDescent="0.2">
      <c r="A293" t="s">
        <v>494</v>
      </c>
      <c r="B293" t="s">
        <v>495</v>
      </c>
      <c r="C293" s="1">
        <v>45945</v>
      </c>
      <c r="D293" t="s">
        <v>13</v>
      </c>
      <c r="E293" t="s">
        <v>14</v>
      </c>
      <c r="F293" t="s">
        <v>31</v>
      </c>
      <c r="G293" t="s">
        <v>16</v>
      </c>
      <c r="H293">
        <v>2</v>
      </c>
      <c r="I293">
        <v>134.88</v>
      </c>
      <c r="J293" t="s">
        <v>28</v>
      </c>
      <c r="K293" t="s">
        <v>21</v>
      </c>
      <c r="L293">
        <f>WEEKDAY(Table1[[#This Row],[Transaction_Date]],2)</f>
        <v>3</v>
      </c>
      <c r="M293">
        <f>IF(Table1[[#This Row],[Sale_Type]]="Buffet",1,0)</f>
        <v>0</v>
      </c>
    </row>
    <row r="294" spans="1:13" x14ac:dyDescent="0.2">
      <c r="A294" t="s">
        <v>496</v>
      </c>
      <c r="B294" t="s">
        <v>278</v>
      </c>
      <c r="C294" s="1">
        <v>45945</v>
      </c>
      <c r="D294" t="s">
        <v>13</v>
      </c>
      <c r="E294" t="s">
        <v>14</v>
      </c>
      <c r="F294" t="s">
        <v>31</v>
      </c>
      <c r="G294" t="s">
        <v>16</v>
      </c>
      <c r="H294">
        <v>4</v>
      </c>
      <c r="I294">
        <v>108.13</v>
      </c>
      <c r="J294" t="s">
        <v>34</v>
      </c>
      <c r="K294" t="s">
        <v>21</v>
      </c>
      <c r="L294">
        <f>WEEKDAY(Table1[[#This Row],[Transaction_Date]],2)</f>
        <v>3</v>
      </c>
      <c r="M294">
        <f>IF(Table1[[#This Row],[Sale_Type]]="Buffet",1,0)</f>
        <v>0</v>
      </c>
    </row>
    <row r="295" spans="1:13" x14ac:dyDescent="0.2">
      <c r="A295" t="s">
        <v>497</v>
      </c>
      <c r="B295" t="s">
        <v>498</v>
      </c>
      <c r="C295" s="1">
        <v>45945</v>
      </c>
      <c r="D295" t="s">
        <v>13</v>
      </c>
      <c r="E295" t="s">
        <v>14</v>
      </c>
      <c r="F295" t="s">
        <v>40</v>
      </c>
      <c r="G295" t="s">
        <v>16</v>
      </c>
      <c r="H295">
        <v>3</v>
      </c>
      <c r="I295">
        <v>62.76</v>
      </c>
      <c r="J295" t="s">
        <v>17</v>
      </c>
      <c r="K295" t="s">
        <v>18</v>
      </c>
      <c r="L295">
        <f>WEEKDAY(Table1[[#This Row],[Transaction_Date]],2)</f>
        <v>3</v>
      </c>
      <c r="M295">
        <f>IF(Table1[[#This Row],[Sale_Type]]="Buffet",1,0)</f>
        <v>0</v>
      </c>
    </row>
    <row r="296" spans="1:13" x14ac:dyDescent="0.2">
      <c r="A296" t="s">
        <v>499</v>
      </c>
      <c r="B296" t="s">
        <v>238</v>
      </c>
      <c r="C296" s="1">
        <v>45945</v>
      </c>
      <c r="D296" t="s">
        <v>13</v>
      </c>
      <c r="E296" t="s">
        <v>14</v>
      </c>
      <c r="F296" t="s">
        <v>40</v>
      </c>
      <c r="G296" t="s">
        <v>16</v>
      </c>
      <c r="H296">
        <v>3</v>
      </c>
      <c r="I296">
        <v>88.33</v>
      </c>
      <c r="J296" t="s">
        <v>17</v>
      </c>
      <c r="K296" t="s">
        <v>18</v>
      </c>
      <c r="L296">
        <f>WEEKDAY(Table1[[#This Row],[Transaction_Date]],2)</f>
        <v>3</v>
      </c>
      <c r="M296">
        <f>IF(Table1[[#This Row],[Sale_Type]]="Buffet",1,0)</f>
        <v>0</v>
      </c>
    </row>
    <row r="297" spans="1:13" x14ac:dyDescent="0.2">
      <c r="A297" t="s">
        <v>500</v>
      </c>
      <c r="B297" t="s">
        <v>501</v>
      </c>
      <c r="C297" s="1">
        <v>45945</v>
      </c>
      <c r="D297" t="s">
        <v>13</v>
      </c>
      <c r="E297" t="s">
        <v>43</v>
      </c>
      <c r="F297" t="s">
        <v>44</v>
      </c>
      <c r="G297" t="s">
        <v>45</v>
      </c>
      <c r="H297">
        <v>3</v>
      </c>
      <c r="I297">
        <v>64.5</v>
      </c>
      <c r="J297" t="s">
        <v>17</v>
      </c>
      <c r="K297" t="s">
        <v>21</v>
      </c>
      <c r="L297">
        <f>WEEKDAY(Table1[[#This Row],[Transaction_Date]],2)</f>
        <v>3</v>
      </c>
      <c r="M297">
        <f>IF(Table1[[#This Row],[Sale_Type]]="Buffet",1,0)</f>
        <v>1</v>
      </c>
    </row>
    <row r="298" spans="1:13" x14ac:dyDescent="0.2">
      <c r="A298" t="s">
        <v>502</v>
      </c>
      <c r="B298" t="s">
        <v>503</v>
      </c>
      <c r="C298" s="1">
        <v>45945</v>
      </c>
      <c r="D298" t="s">
        <v>13</v>
      </c>
      <c r="E298" t="s">
        <v>43</v>
      </c>
      <c r="F298" t="s">
        <v>44</v>
      </c>
      <c r="G298" t="s">
        <v>45</v>
      </c>
      <c r="H298">
        <v>5</v>
      </c>
      <c r="I298">
        <v>113.5</v>
      </c>
      <c r="J298" t="s">
        <v>17</v>
      </c>
      <c r="K298" t="s">
        <v>18</v>
      </c>
      <c r="L298">
        <f>WEEKDAY(Table1[[#This Row],[Transaction_Date]],2)</f>
        <v>3</v>
      </c>
      <c r="M298">
        <f>IF(Table1[[#This Row],[Sale_Type]]="Buffet",1,0)</f>
        <v>1</v>
      </c>
    </row>
    <row r="299" spans="1:13" x14ac:dyDescent="0.2">
      <c r="A299" t="s">
        <v>504</v>
      </c>
      <c r="B299" t="s">
        <v>117</v>
      </c>
      <c r="C299" s="1">
        <v>45945</v>
      </c>
      <c r="D299" t="s">
        <v>13</v>
      </c>
      <c r="E299" t="s">
        <v>43</v>
      </c>
      <c r="F299" t="s">
        <v>44</v>
      </c>
      <c r="G299" t="s">
        <v>45</v>
      </c>
      <c r="H299">
        <v>4</v>
      </c>
      <c r="I299">
        <v>89</v>
      </c>
      <c r="J299" t="s">
        <v>34</v>
      </c>
      <c r="K299" t="s">
        <v>18</v>
      </c>
      <c r="L299">
        <f>WEEKDAY(Table1[[#This Row],[Transaction_Date]],2)</f>
        <v>3</v>
      </c>
      <c r="M299">
        <f>IF(Table1[[#This Row],[Sale_Type]]="Buffet",1,0)</f>
        <v>1</v>
      </c>
    </row>
    <row r="300" spans="1:13" x14ac:dyDescent="0.2">
      <c r="A300" t="s">
        <v>505</v>
      </c>
      <c r="B300" t="s">
        <v>226</v>
      </c>
      <c r="C300" s="1">
        <v>45945</v>
      </c>
      <c r="D300" t="s">
        <v>13</v>
      </c>
      <c r="E300" t="s">
        <v>43</v>
      </c>
      <c r="F300" t="s">
        <v>44</v>
      </c>
      <c r="G300" t="s">
        <v>16</v>
      </c>
      <c r="H300">
        <v>3</v>
      </c>
      <c r="I300">
        <v>46.19</v>
      </c>
      <c r="J300" t="s">
        <v>17</v>
      </c>
      <c r="K300" t="s">
        <v>21</v>
      </c>
      <c r="L300">
        <f>WEEKDAY(Table1[[#This Row],[Transaction_Date]],2)</f>
        <v>3</v>
      </c>
      <c r="M300">
        <f>IF(Table1[[#This Row],[Sale_Type]]="Buffet",1,0)</f>
        <v>0</v>
      </c>
    </row>
    <row r="301" spans="1:13" x14ac:dyDescent="0.2">
      <c r="A301" t="s">
        <v>506</v>
      </c>
      <c r="B301" t="s">
        <v>47</v>
      </c>
      <c r="C301" s="1">
        <v>45945</v>
      </c>
      <c r="D301" t="s">
        <v>13</v>
      </c>
      <c r="E301" t="s">
        <v>43</v>
      </c>
      <c r="F301" t="s">
        <v>44</v>
      </c>
      <c r="G301" t="s">
        <v>45</v>
      </c>
      <c r="H301">
        <v>3</v>
      </c>
      <c r="I301">
        <v>64.5</v>
      </c>
      <c r="J301" t="s">
        <v>34</v>
      </c>
      <c r="K301" t="s">
        <v>21</v>
      </c>
      <c r="L301">
        <f>WEEKDAY(Table1[[#This Row],[Transaction_Date]],2)</f>
        <v>3</v>
      </c>
      <c r="M301">
        <f>IF(Table1[[#This Row],[Sale_Type]]="Buffet",1,0)</f>
        <v>1</v>
      </c>
    </row>
    <row r="302" spans="1:13" x14ac:dyDescent="0.2">
      <c r="A302" t="s">
        <v>507</v>
      </c>
      <c r="B302" t="s">
        <v>249</v>
      </c>
      <c r="C302" s="1">
        <v>45945</v>
      </c>
      <c r="D302" t="s">
        <v>13</v>
      </c>
      <c r="E302" t="s">
        <v>43</v>
      </c>
      <c r="F302" t="s">
        <v>44</v>
      </c>
      <c r="G302" t="s">
        <v>45</v>
      </c>
      <c r="H302">
        <v>2</v>
      </c>
      <c r="I302">
        <v>44.5</v>
      </c>
      <c r="J302" t="s">
        <v>28</v>
      </c>
      <c r="K302" t="s">
        <v>18</v>
      </c>
      <c r="L302">
        <f>WEEKDAY(Table1[[#This Row],[Transaction_Date]],2)</f>
        <v>3</v>
      </c>
      <c r="M302">
        <f>IF(Table1[[#This Row],[Sale_Type]]="Buffet",1,0)</f>
        <v>1</v>
      </c>
    </row>
    <row r="303" spans="1:13" x14ac:dyDescent="0.2">
      <c r="A303" t="s">
        <v>508</v>
      </c>
      <c r="B303" t="s">
        <v>329</v>
      </c>
      <c r="C303" s="1">
        <v>45945</v>
      </c>
      <c r="D303" t="s">
        <v>13</v>
      </c>
      <c r="E303" t="s">
        <v>43</v>
      </c>
      <c r="F303" t="s">
        <v>50</v>
      </c>
      <c r="G303" t="s">
        <v>45</v>
      </c>
      <c r="H303">
        <v>4</v>
      </c>
      <c r="I303">
        <v>89</v>
      </c>
      <c r="J303" t="s">
        <v>34</v>
      </c>
      <c r="K303" t="s">
        <v>18</v>
      </c>
      <c r="L303">
        <f>WEEKDAY(Table1[[#This Row],[Transaction_Date]],2)</f>
        <v>3</v>
      </c>
      <c r="M303">
        <f>IF(Table1[[#This Row],[Sale_Type]]="Buffet",1,0)</f>
        <v>1</v>
      </c>
    </row>
    <row r="304" spans="1:13" x14ac:dyDescent="0.2">
      <c r="A304" t="s">
        <v>509</v>
      </c>
      <c r="B304" t="s">
        <v>438</v>
      </c>
      <c r="C304" s="1">
        <v>45945</v>
      </c>
      <c r="D304" t="s">
        <v>13</v>
      </c>
      <c r="E304" t="s">
        <v>43</v>
      </c>
      <c r="F304" t="s">
        <v>50</v>
      </c>
      <c r="G304" t="s">
        <v>45</v>
      </c>
      <c r="H304">
        <v>6</v>
      </c>
      <c r="I304">
        <v>129</v>
      </c>
      <c r="J304" t="s">
        <v>34</v>
      </c>
      <c r="K304" t="s">
        <v>18</v>
      </c>
      <c r="L304">
        <f>WEEKDAY(Table1[[#This Row],[Transaction_Date]],2)</f>
        <v>3</v>
      </c>
      <c r="M304">
        <f>IF(Table1[[#This Row],[Sale_Type]]="Buffet",1,0)</f>
        <v>1</v>
      </c>
    </row>
    <row r="305" spans="1:13" x14ac:dyDescent="0.2">
      <c r="A305" t="s">
        <v>510</v>
      </c>
      <c r="B305" t="s">
        <v>81</v>
      </c>
      <c r="C305" s="1">
        <v>45945</v>
      </c>
      <c r="D305" t="s">
        <v>13</v>
      </c>
      <c r="E305" t="s">
        <v>43</v>
      </c>
      <c r="F305" t="s">
        <v>57</v>
      </c>
      <c r="G305" t="s">
        <v>45</v>
      </c>
      <c r="H305">
        <v>7</v>
      </c>
      <c r="I305">
        <v>149</v>
      </c>
      <c r="J305" t="s">
        <v>17</v>
      </c>
      <c r="K305" t="s">
        <v>18</v>
      </c>
      <c r="L305">
        <f>WEEKDAY(Table1[[#This Row],[Transaction_Date]],2)</f>
        <v>3</v>
      </c>
      <c r="M305">
        <f>IF(Table1[[#This Row],[Sale_Type]]="Buffet",1,0)</f>
        <v>1</v>
      </c>
    </row>
    <row r="306" spans="1:13" x14ac:dyDescent="0.2">
      <c r="A306" t="s">
        <v>511</v>
      </c>
      <c r="B306" t="s">
        <v>512</v>
      </c>
      <c r="C306" s="1">
        <v>45946</v>
      </c>
      <c r="D306" t="s">
        <v>62</v>
      </c>
      <c r="E306" t="s">
        <v>14</v>
      </c>
      <c r="F306" t="s">
        <v>24</v>
      </c>
      <c r="G306" t="s">
        <v>16</v>
      </c>
      <c r="H306">
        <v>6</v>
      </c>
      <c r="I306">
        <v>172.88</v>
      </c>
      <c r="J306" t="s">
        <v>17</v>
      </c>
      <c r="K306" t="s">
        <v>21</v>
      </c>
      <c r="L306">
        <f>WEEKDAY(Table1[[#This Row],[Transaction_Date]],2)</f>
        <v>4</v>
      </c>
      <c r="M306">
        <f>IF(Table1[[#This Row],[Sale_Type]]="Buffet",1,0)</f>
        <v>0</v>
      </c>
    </row>
    <row r="307" spans="1:13" x14ac:dyDescent="0.2">
      <c r="A307" t="s">
        <v>513</v>
      </c>
      <c r="B307" t="s">
        <v>264</v>
      </c>
      <c r="C307" s="1">
        <v>45946</v>
      </c>
      <c r="D307" t="s">
        <v>62</v>
      </c>
      <c r="E307" t="s">
        <v>14</v>
      </c>
      <c r="F307" t="s">
        <v>24</v>
      </c>
      <c r="G307" t="s">
        <v>16</v>
      </c>
      <c r="H307">
        <v>5</v>
      </c>
      <c r="I307">
        <v>167.61</v>
      </c>
      <c r="J307" t="s">
        <v>28</v>
      </c>
      <c r="K307" t="s">
        <v>18</v>
      </c>
      <c r="L307">
        <f>WEEKDAY(Table1[[#This Row],[Transaction_Date]],2)</f>
        <v>4</v>
      </c>
      <c r="M307">
        <f>IF(Table1[[#This Row],[Sale_Type]]="Buffet",1,0)</f>
        <v>0</v>
      </c>
    </row>
    <row r="308" spans="1:13" x14ac:dyDescent="0.2">
      <c r="A308" t="s">
        <v>514</v>
      </c>
      <c r="B308" t="s">
        <v>70</v>
      </c>
      <c r="C308" s="1">
        <v>45946</v>
      </c>
      <c r="D308" t="s">
        <v>62</v>
      </c>
      <c r="E308" t="s">
        <v>14</v>
      </c>
      <c r="F308" t="s">
        <v>27</v>
      </c>
      <c r="G308" t="s">
        <v>16</v>
      </c>
      <c r="H308">
        <v>2</v>
      </c>
      <c r="I308">
        <v>54.56</v>
      </c>
      <c r="J308" t="s">
        <v>28</v>
      </c>
      <c r="K308" t="s">
        <v>18</v>
      </c>
      <c r="L308">
        <f>WEEKDAY(Table1[[#This Row],[Transaction_Date]],2)</f>
        <v>4</v>
      </c>
      <c r="M308">
        <f>IF(Table1[[#This Row],[Sale_Type]]="Buffet",1,0)</f>
        <v>0</v>
      </c>
    </row>
    <row r="309" spans="1:13" x14ac:dyDescent="0.2">
      <c r="A309" t="s">
        <v>515</v>
      </c>
      <c r="B309" t="s">
        <v>59</v>
      </c>
      <c r="C309" s="1">
        <v>45946</v>
      </c>
      <c r="D309" t="s">
        <v>62</v>
      </c>
      <c r="E309" t="s">
        <v>14</v>
      </c>
      <c r="F309" t="s">
        <v>27</v>
      </c>
      <c r="G309" t="s">
        <v>16</v>
      </c>
      <c r="H309">
        <v>3</v>
      </c>
      <c r="I309">
        <v>131.13</v>
      </c>
      <c r="J309" t="s">
        <v>34</v>
      </c>
      <c r="K309" t="s">
        <v>18</v>
      </c>
      <c r="L309">
        <f>WEEKDAY(Table1[[#This Row],[Transaction_Date]],2)</f>
        <v>4</v>
      </c>
      <c r="M309">
        <f>IF(Table1[[#This Row],[Sale_Type]]="Buffet",1,0)</f>
        <v>0</v>
      </c>
    </row>
    <row r="310" spans="1:13" x14ac:dyDescent="0.2">
      <c r="A310" t="s">
        <v>516</v>
      </c>
      <c r="B310" t="s">
        <v>270</v>
      </c>
      <c r="C310" s="1">
        <v>45946</v>
      </c>
      <c r="D310" t="s">
        <v>62</v>
      </c>
      <c r="E310" t="s">
        <v>14</v>
      </c>
      <c r="F310" t="s">
        <v>27</v>
      </c>
      <c r="G310" t="s">
        <v>16</v>
      </c>
      <c r="H310">
        <v>2</v>
      </c>
      <c r="I310">
        <v>52.53</v>
      </c>
      <c r="J310" t="s">
        <v>17</v>
      </c>
      <c r="K310" t="s">
        <v>18</v>
      </c>
      <c r="L310">
        <f>WEEKDAY(Table1[[#This Row],[Transaction_Date]],2)</f>
        <v>4</v>
      </c>
      <c r="M310">
        <f>IF(Table1[[#This Row],[Sale_Type]]="Buffet",1,0)</f>
        <v>0</v>
      </c>
    </row>
    <row r="311" spans="1:13" x14ac:dyDescent="0.2">
      <c r="A311" t="s">
        <v>517</v>
      </c>
      <c r="B311" t="s">
        <v>518</v>
      </c>
      <c r="C311" s="1">
        <v>45946</v>
      </c>
      <c r="D311" t="s">
        <v>62</v>
      </c>
      <c r="E311" t="s">
        <v>14</v>
      </c>
      <c r="F311" t="s">
        <v>27</v>
      </c>
      <c r="G311" t="s">
        <v>16</v>
      </c>
      <c r="H311">
        <v>5</v>
      </c>
      <c r="I311">
        <v>132.82</v>
      </c>
      <c r="J311" t="s">
        <v>34</v>
      </c>
      <c r="K311" t="s">
        <v>18</v>
      </c>
      <c r="L311">
        <f>WEEKDAY(Table1[[#This Row],[Transaction_Date]],2)</f>
        <v>4</v>
      </c>
      <c r="M311">
        <f>IF(Table1[[#This Row],[Sale_Type]]="Buffet",1,0)</f>
        <v>0</v>
      </c>
    </row>
    <row r="312" spans="1:13" x14ac:dyDescent="0.2">
      <c r="A312" t="s">
        <v>519</v>
      </c>
      <c r="B312" t="s">
        <v>33</v>
      </c>
      <c r="C312" s="1">
        <v>45946</v>
      </c>
      <c r="D312" t="s">
        <v>62</v>
      </c>
      <c r="E312" t="s">
        <v>14</v>
      </c>
      <c r="F312" t="s">
        <v>31</v>
      </c>
      <c r="G312" t="s">
        <v>16</v>
      </c>
      <c r="H312">
        <v>3</v>
      </c>
      <c r="I312">
        <v>82.08</v>
      </c>
      <c r="J312" t="s">
        <v>17</v>
      </c>
      <c r="K312" t="s">
        <v>18</v>
      </c>
      <c r="L312">
        <f>WEEKDAY(Table1[[#This Row],[Transaction_Date]],2)</f>
        <v>4</v>
      </c>
      <c r="M312">
        <f>IF(Table1[[#This Row],[Sale_Type]]="Buffet",1,0)</f>
        <v>0</v>
      </c>
    </row>
    <row r="313" spans="1:13" x14ac:dyDescent="0.2">
      <c r="A313" t="s">
        <v>520</v>
      </c>
      <c r="B313" t="s">
        <v>476</v>
      </c>
      <c r="C313" s="1">
        <v>45946</v>
      </c>
      <c r="D313" t="s">
        <v>62</v>
      </c>
      <c r="E313" t="s">
        <v>14</v>
      </c>
      <c r="F313" t="s">
        <v>31</v>
      </c>
      <c r="G313" t="s">
        <v>16</v>
      </c>
      <c r="H313">
        <v>6</v>
      </c>
      <c r="I313">
        <v>243.93</v>
      </c>
      <c r="J313" t="s">
        <v>34</v>
      </c>
      <c r="K313" t="s">
        <v>18</v>
      </c>
      <c r="L313">
        <f>WEEKDAY(Table1[[#This Row],[Transaction_Date]],2)</f>
        <v>4</v>
      </c>
      <c r="M313">
        <f>IF(Table1[[#This Row],[Sale_Type]]="Buffet",1,0)</f>
        <v>0</v>
      </c>
    </row>
    <row r="314" spans="1:13" x14ac:dyDescent="0.2">
      <c r="A314" t="s">
        <v>521</v>
      </c>
      <c r="B314" t="s">
        <v>522</v>
      </c>
      <c r="C314" s="1">
        <v>45946</v>
      </c>
      <c r="D314" t="s">
        <v>62</v>
      </c>
      <c r="E314" t="s">
        <v>14</v>
      </c>
      <c r="F314" t="s">
        <v>31</v>
      </c>
      <c r="G314" t="s">
        <v>16</v>
      </c>
      <c r="H314">
        <v>3</v>
      </c>
      <c r="I314">
        <v>81.489999999999995</v>
      </c>
      <c r="J314" t="s">
        <v>17</v>
      </c>
      <c r="K314" t="s">
        <v>18</v>
      </c>
      <c r="L314">
        <f>WEEKDAY(Table1[[#This Row],[Transaction_Date]],2)</f>
        <v>4</v>
      </c>
      <c r="M314">
        <f>IF(Table1[[#This Row],[Sale_Type]]="Buffet",1,0)</f>
        <v>0</v>
      </c>
    </row>
    <row r="315" spans="1:13" x14ac:dyDescent="0.2">
      <c r="A315" t="s">
        <v>523</v>
      </c>
      <c r="B315" t="s">
        <v>293</v>
      </c>
      <c r="C315" s="1">
        <v>45946</v>
      </c>
      <c r="D315" t="s">
        <v>62</v>
      </c>
      <c r="E315" t="s">
        <v>43</v>
      </c>
      <c r="F315" t="s">
        <v>44</v>
      </c>
      <c r="G315" t="s">
        <v>45</v>
      </c>
      <c r="H315">
        <v>1</v>
      </c>
      <c r="I315">
        <v>24.5</v>
      </c>
      <c r="J315" t="s">
        <v>17</v>
      </c>
      <c r="K315" t="s">
        <v>21</v>
      </c>
      <c r="L315">
        <f>WEEKDAY(Table1[[#This Row],[Transaction_Date]],2)</f>
        <v>4</v>
      </c>
      <c r="M315">
        <f>IF(Table1[[#This Row],[Sale_Type]]="Buffet",1,0)</f>
        <v>1</v>
      </c>
    </row>
    <row r="316" spans="1:13" x14ac:dyDescent="0.2">
      <c r="A316" t="s">
        <v>524</v>
      </c>
      <c r="B316" t="s">
        <v>501</v>
      </c>
      <c r="C316" s="1">
        <v>45946</v>
      </c>
      <c r="D316" t="s">
        <v>62</v>
      </c>
      <c r="E316" t="s">
        <v>43</v>
      </c>
      <c r="F316" t="s">
        <v>44</v>
      </c>
      <c r="G316" t="s">
        <v>16</v>
      </c>
      <c r="H316">
        <v>3</v>
      </c>
      <c r="I316">
        <v>80.78</v>
      </c>
      <c r="J316" t="s">
        <v>17</v>
      </c>
      <c r="K316" t="s">
        <v>21</v>
      </c>
      <c r="L316">
        <f>WEEKDAY(Table1[[#This Row],[Transaction_Date]],2)</f>
        <v>4</v>
      </c>
      <c r="M316">
        <f>IF(Table1[[#This Row],[Sale_Type]]="Buffet",1,0)</f>
        <v>0</v>
      </c>
    </row>
    <row r="317" spans="1:13" x14ac:dyDescent="0.2">
      <c r="A317" t="s">
        <v>525</v>
      </c>
      <c r="B317" t="s">
        <v>398</v>
      </c>
      <c r="C317" s="1">
        <v>45946</v>
      </c>
      <c r="D317" t="s">
        <v>62</v>
      </c>
      <c r="E317" t="s">
        <v>43</v>
      </c>
      <c r="F317" t="s">
        <v>44</v>
      </c>
      <c r="G317" t="s">
        <v>45</v>
      </c>
      <c r="H317">
        <v>5</v>
      </c>
      <c r="I317">
        <v>109</v>
      </c>
      <c r="J317" t="s">
        <v>17</v>
      </c>
      <c r="K317" t="s">
        <v>21</v>
      </c>
      <c r="L317">
        <f>WEEKDAY(Table1[[#This Row],[Transaction_Date]],2)</f>
        <v>4</v>
      </c>
      <c r="M317">
        <f>IF(Table1[[#This Row],[Sale_Type]]="Buffet",1,0)</f>
        <v>1</v>
      </c>
    </row>
    <row r="318" spans="1:13" x14ac:dyDescent="0.2">
      <c r="A318" t="s">
        <v>526</v>
      </c>
      <c r="B318" t="s">
        <v>527</v>
      </c>
      <c r="C318" s="1">
        <v>45946</v>
      </c>
      <c r="D318" t="s">
        <v>62</v>
      </c>
      <c r="E318" t="s">
        <v>43</v>
      </c>
      <c r="F318" t="s">
        <v>44</v>
      </c>
      <c r="G318" t="s">
        <v>45</v>
      </c>
      <c r="H318">
        <v>4</v>
      </c>
      <c r="I318">
        <v>84.5</v>
      </c>
      <c r="J318" t="s">
        <v>17</v>
      </c>
      <c r="K318" t="s">
        <v>21</v>
      </c>
      <c r="L318">
        <f>WEEKDAY(Table1[[#This Row],[Transaction_Date]],2)</f>
        <v>4</v>
      </c>
      <c r="M318">
        <f>IF(Table1[[#This Row],[Sale_Type]]="Buffet",1,0)</f>
        <v>1</v>
      </c>
    </row>
    <row r="319" spans="1:13" x14ac:dyDescent="0.2">
      <c r="A319" t="s">
        <v>528</v>
      </c>
      <c r="B319" t="s">
        <v>529</v>
      </c>
      <c r="C319" s="1">
        <v>45946</v>
      </c>
      <c r="D319" t="s">
        <v>62</v>
      </c>
      <c r="E319" t="s">
        <v>43</v>
      </c>
      <c r="F319" t="s">
        <v>50</v>
      </c>
      <c r="G319" t="s">
        <v>45</v>
      </c>
      <c r="H319">
        <v>4</v>
      </c>
      <c r="I319">
        <v>89</v>
      </c>
      <c r="J319" t="s">
        <v>34</v>
      </c>
      <c r="K319" t="s">
        <v>21</v>
      </c>
      <c r="L319">
        <f>WEEKDAY(Table1[[#This Row],[Transaction_Date]],2)</f>
        <v>4</v>
      </c>
      <c r="M319">
        <f>IF(Table1[[#This Row],[Sale_Type]]="Buffet",1,0)</f>
        <v>1</v>
      </c>
    </row>
    <row r="320" spans="1:13" x14ac:dyDescent="0.2">
      <c r="A320" t="s">
        <v>530</v>
      </c>
      <c r="B320" t="s">
        <v>109</v>
      </c>
      <c r="C320" s="1">
        <v>45946</v>
      </c>
      <c r="D320" t="s">
        <v>62</v>
      </c>
      <c r="E320" t="s">
        <v>43</v>
      </c>
      <c r="F320" t="s">
        <v>50</v>
      </c>
      <c r="G320" t="s">
        <v>45</v>
      </c>
      <c r="H320">
        <v>2</v>
      </c>
      <c r="I320">
        <v>44.5</v>
      </c>
      <c r="J320" t="s">
        <v>34</v>
      </c>
      <c r="K320" t="s">
        <v>18</v>
      </c>
      <c r="L320">
        <f>WEEKDAY(Table1[[#This Row],[Transaction_Date]],2)</f>
        <v>4</v>
      </c>
      <c r="M320">
        <f>IF(Table1[[#This Row],[Sale_Type]]="Buffet",1,0)</f>
        <v>1</v>
      </c>
    </row>
    <row r="321" spans="1:13" x14ac:dyDescent="0.2">
      <c r="A321" t="s">
        <v>531</v>
      </c>
      <c r="B321" t="s">
        <v>532</v>
      </c>
      <c r="C321" s="1">
        <v>45946</v>
      </c>
      <c r="D321" t="s">
        <v>62</v>
      </c>
      <c r="E321" t="s">
        <v>43</v>
      </c>
      <c r="F321" t="s">
        <v>50</v>
      </c>
      <c r="G321" t="s">
        <v>16</v>
      </c>
      <c r="H321">
        <v>2</v>
      </c>
      <c r="I321">
        <v>39.409999999999997</v>
      </c>
      <c r="J321" t="s">
        <v>34</v>
      </c>
      <c r="K321" t="s">
        <v>18</v>
      </c>
      <c r="L321">
        <f>WEEKDAY(Table1[[#This Row],[Transaction_Date]],2)</f>
        <v>4</v>
      </c>
      <c r="M321">
        <f>IF(Table1[[#This Row],[Sale_Type]]="Buffet",1,0)</f>
        <v>0</v>
      </c>
    </row>
    <row r="322" spans="1:13" x14ac:dyDescent="0.2">
      <c r="A322" t="s">
        <v>533</v>
      </c>
      <c r="B322" t="s">
        <v>124</v>
      </c>
      <c r="C322" s="1">
        <v>45946</v>
      </c>
      <c r="D322" t="s">
        <v>62</v>
      </c>
      <c r="E322" t="s">
        <v>43</v>
      </c>
      <c r="F322" t="s">
        <v>50</v>
      </c>
      <c r="G322" t="s">
        <v>45</v>
      </c>
      <c r="H322">
        <v>7</v>
      </c>
      <c r="I322">
        <v>153.5</v>
      </c>
      <c r="J322" t="s">
        <v>34</v>
      </c>
      <c r="K322" t="s">
        <v>18</v>
      </c>
      <c r="L322">
        <f>WEEKDAY(Table1[[#This Row],[Transaction_Date]],2)</f>
        <v>4</v>
      </c>
      <c r="M322">
        <f>IF(Table1[[#This Row],[Sale_Type]]="Buffet",1,0)</f>
        <v>1</v>
      </c>
    </row>
    <row r="323" spans="1:13" x14ac:dyDescent="0.2">
      <c r="A323" t="s">
        <v>534</v>
      </c>
      <c r="B323" t="s">
        <v>52</v>
      </c>
      <c r="C323" s="1">
        <v>45946</v>
      </c>
      <c r="D323" t="s">
        <v>62</v>
      </c>
      <c r="E323" t="s">
        <v>43</v>
      </c>
      <c r="F323" t="s">
        <v>50</v>
      </c>
      <c r="G323" t="s">
        <v>45</v>
      </c>
      <c r="H323">
        <v>4</v>
      </c>
      <c r="I323">
        <v>89</v>
      </c>
      <c r="J323" t="s">
        <v>34</v>
      </c>
      <c r="K323" t="s">
        <v>21</v>
      </c>
      <c r="L323">
        <f>WEEKDAY(Table1[[#This Row],[Transaction_Date]],2)</f>
        <v>4</v>
      </c>
      <c r="M323">
        <f>IF(Table1[[#This Row],[Sale_Type]]="Buffet",1,0)</f>
        <v>1</v>
      </c>
    </row>
    <row r="324" spans="1:13" x14ac:dyDescent="0.2">
      <c r="A324" t="s">
        <v>535</v>
      </c>
      <c r="B324" t="s">
        <v>100</v>
      </c>
      <c r="C324" s="1">
        <v>45946</v>
      </c>
      <c r="D324" t="s">
        <v>62</v>
      </c>
      <c r="E324" t="s">
        <v>43</v>
      </c>
      <c r="F324" t="s">
        <v>50</v>
      </c>
      <c r="G324" t="s">
        <v>45</v>
      </c>
      <c r="H324">
        <v>3</v>
      </c>
      <c r="I324">
        <v>64.5</v>
      </c>
      <c r="J324" t="s">
        <v>17</v>
      </c>
      <c r="K324" t="s">
        <v>18</v>
      </c>
      <c r="L324">
        <f>WEEKDAY(Table1[[#This Row],[Transaction_Date]],2)</f>
        <v>4</v>
      </c>
      <c r="M324">
        <f>IF(Table1[[#This Row],[Sale_Type]]="Buffet",1,0)</f>
        <v>1</v>
      </c>
    </row>
    <row r="325" spans="1:13" x14ac:dyDescent="0.2">
      <c r="A325" t="s">
        <v>536</v>
      </c>
      <c r="B325" t="s">
        <v>537</v>
      </c>
      <c r="C325" s="1">
        <v>45946</v>
      </c>
      <c r="D325" t="s">
        <v>62</v>
      </c>
      <c r="E325" t="s">
        <v>43</v>
      </c>
      <c r="F325" t="s">
        <v>53</v>
      </c>
      <c r="G325" t="s">
        <v>16</v>
      </c>
      <c r="H325">
        <v>1</v>
      </c>
      <c r="I325">
        <v>13.17</v>
      </c>
      <c r="J325" t="s">
        <v>17</v>
      </c>
      <c r="K325" t="s">
        <v>21</v>
      </c>
      <c r="L325">
        <f>WEEKDAY(Table1[[#This Row],[Transaction_Date]],2)</f>
        <v>4</v>
      </c>
      <c r="M325">
        <f>IF(Table1[[#This Row],[Sale_Type]]="Buffet",1,0)</f>
        <v>0</v>
      </c>
    </row>
    <row r="326" spans="1:13" x14ac:dyDescent="0.2">
      <c r="A326" t="s">
        <v>538</v>
      </c>
      <c r="B326" t="s">
        <v>231</v>
      </c>
      <c r="C326" s="1">
        <v>45946</v>
      </c>
      <c r="D326" t="s">
        <v>62</v>
      </c>
      <c r="E326" t="s">
        <v>43</v>
      </c>
      <c r="F326" t="s">
        <v>53</v>
      </c>
      <c r="G326" t="s">
        <v>45</v>
      </c>
      <c r="H326">
        <v>4</v>
      </c>
      <c r="I326">
        <v>89</v>
      </c>
      <c r="J326" t="s">
        <v>17</v>
      </c>
      <c r="K326" t="s">
        <v>21</v>
      </c>
      <c r="L326">
        <f>WEEKDAY(Table1[[#This Row],[Transaction_Date]],2)</f>
        <v>4</v>
      </c>
      <c r="M326">
        <f>IF(Table1[[#This Row],[Sale_Type]]="Buffet",1,0)</f>
        <v>1</v>
      </c>
    </row>
    <row r="327" spans="1:13" x14ac:dyDescent="0.2">
      <c r="A327" t="s">
        <v>539</v>
      </c>
      <c r="B327" t="s">
        <v>540</v>
      </c>
      <c r="C327" s="1">
        <v>45946</v>
      </c>
      <c r="D327" t="s">
        <v>62</v>
      </c>
      <c r="E327" t="s">
        <v>43</v>
      </c>
      <c r="F327" t="s">
        <v>57</v>
      </c>
      <c r="G327" t="s">
        <v>45</v>
      </c>
      <c r="H327">
        <v>4</v>
      </c>
      <c r="I327">
        <v>89</v>
      </c>
      <c r="J327" t="s">
        <v>17</v>
      </c>
      <c r="K327" t="s">
        <v>21</v>
      </c>
      <c r="L327">
        <f>WEEKDAY(Table1[[#This Row],[Transaction_Date]],2)</f>
        <v>4</v>
      </c>
      <c r="M327">
        <f>IF(Table1[[#This Row],[Sale_Type]]="Buffet",1,0)</f>
        <v>1</v>
      </c>
    </row>
    <row r="328" spans="1:13" x14ac:dyDescent="0.2">
      <c r="A328" t="s">
        <v>541</v>
      </c>
      <c r="B328" t="s">
        <v>542</v>
      </c>
      <c r="C328" s="1">
        <v>45946</v>
      </c>
      <c r="D328" t="s">
        <v>62</v>
      </c>
      <c r="E328" t="s">
        <v>43</v>
      </c>
      <c r="F328" t="s">
        <v>57</v>
      </c>
      <c r="G328" t="s">
        <v>45</v>
      </c>
      <c r="H328">
        <v>3</v>
      </c>
      <c r="I328">
        <v>64.5</v>
      </c>
      <c r="J328" t="s">
        <v>28</v>
      </c>
      <c r="K328" t="s">
        <v>21</v>
      </c>
      <c r="L328">
        <f>WEEKDAY(Table1[[#This Row],[Transaction_Date]],2)</f>
        <v>4</v>
      </c>
      <c r="M328">
        <f>IF(Table1[[#This Row],[Sale_Type]]="Buffet",1,0)</f>
        <v>1</v>
      </c>
    </row>
    <row r="329" spans="1:13" x14ac:dyDescent="0.2">
      <c r="A329" t="s">
        <v>543</v>
      </c>
      <c r="B329" t="s">
        <v>93</v>
      </c>
      <c r="C329" s="1">
        <v>45946</v>
      </c>
      <c r="D329" t="s">
        <v>62</v>
      </c>
      <c r="E329" t="s">
        <v>43</v>
      </c>
      <c r="F329" t="s">
        <v>57</v>
      </c>
      <c r="G329" t="s">
        <v>45</v>
      </c>
      <c r="H329">
        <v>5</v>
      </c>
      <c r="I329">
        <v>109</v>
      </c>
      <c r="J329" t="s">
        <v>17</v>
      </c>
      <c r="K329" t="s">
        <v>18</v>
      </c>
      <c r="L329">
        <f>WEEKDAY(Table1[[#This Row],[Transaction_Date]],2)</f>
        <v>4</v>
      </c>
      <c r="M329">
        <f>IF(Table1[[#This Row],[Sale_Type]]="Buffet",1,0)</f>
        <v>1</v>
      </c>
    </row>
    <row r="330" spans="1:13" x14ac:dyDescent="0.2">
      <c r="A330" t="s">
        <v>544</v>
      </c>
      <c r="B330" t="s">
        <v>545</v>
      </c>
      <c r="C330" s="1">
        <v>45946</v>
      </c>
      <c r="D330" t="s">
        <v>62</v>
      </c>
      <c r="E330" t="s">
        <v>43</v>
      </c>
      <c r="F330" t="s">
        <v>57</v>
      </c>
      <c r="G330" t="s">
        <v>45</v>
      </c>
      <c r="H330">
        <v>3</v>
      </c>
      <c r="I330">
        <v>64.5</v>
      </c>
      <c r="J330" t="s">
        <v>28</v>
      </c>
      <c r="K330" t="s">
        <v>18</v>
      </c>
      <c r="L330">
        <f>WEEKDAY(Table1[[#This Row],[Transaction_Date]],2)</f>
        <v>4</v>
      </c>
      <c r="M330">
        <f>IF(Table1[[#This Row],[Sale_Type]]="Buffet",1,0)</f>
        <v>1</v>
      </c>
    </row>
    <row r="331" spans="1:13" x14ac:dyDescent="0.2">
      <c r="A331" t="s">
        <v>546</v>
      </c>
      <c r="B331" t="s">
        <v>295</v>
      </c>
      <c r="C331" s="1">
        <v>45947</v>
      </c>
      <c r="D331" t="s">
        <v>96</v>
      </c>
      <c r="E331" t="s">
        <v>14</v>
      </c>
      <c r="F331" t="s">
        <v>15</v>
      </c>
      <c r="G331" t="s">
        <v>16</v>
      </c>
      <c r="H331">
        <v>4</v>
      </c>
      <c r="I331">
        <v>123.56</v>
      </c>
      <c r="J331" t="s">
        <v>17</v>
      </c>
      <c r="K331" t="s">
        <v>21</v>
      </c>
      <c r="L331">
        <f>WEEKDAY(Table1[[#This Row],[Transaction_Date]],2)</f>
        <v>5</v>
      </c>
      <c r="M331">
        <f>IF(Table1[[#This Row],[Sale_Type]]="Buffet",1,0)</f>
        <v>0</v>
      </c>
    </row>
    <row r="332" spans="1:13" x14ac:dyDescent="0.2">
      <c r="A332" t="s">
        <v>547</v>
      </c>
      <c r="B332" t="s">
        <v>26</v>
      </c>
      <c r="C332" s="1">
        <v>45947</v>
      </c>
      <c r="D332" t="s">
        <v>96</v>
      </c>
      <c r="E332" t="s">
        <v>14</v>
      </c>
      <c r="F332" t="s">
        <v>24</v>
      </c>
      <c r="G332" t="s">
        <v>16</v>
      </c>
      <c r="H332">
        <v>3</v>
      </c>
      <c r="I332">
        <v>68.959999999999994</v>
      </c>
      <c r="J332" t="s">
        <v>34</v>
      </c>
      <c r="K332" t="s">
        <v>18</v>
      </c>
      <c r="L332">
        <f>WEEKDAY(Table1[[#This Row],[Transaction_Date]],2)</f>
        <v>5</v>
      </c>
      <c r="M332">
        <f>IF(Table1[[#This Row],[Sale_Type]]="Buffet",1,0)</f>
        <v>0</v>
      </c>
    </row>
    <row r="333" spans="1:13" x14ac:dyDescent="0.2">
      <c r="A333" t="s">
        <v>548</v>
      </c>
      <c r="B333" t="s">
        <v>226</v>
      </c>
      <c r="C333" s="1">
        <v>45947</v>
      </c>
      <c r="D333" t="s">
        <v>96</v>
      </c>
      <c r="E333" t="s">
        <v>14</v>
      </c>
      <c r="F333" t="s">
        <v>24</v>
      </c>
      <c r="G333" t="s">
        <v>16</v>
      </c>
      <c r="H333">
        <v>4</v>
      </c>
      <c r="I333">
        <v>117.29</v>
      </c>
      <c r="J333" t="s">
        <v>17</v>
      </c>
      <c r="K333" t="s">
        <v>18</v>
      </c>
      <c r="L333">
        <f>WEEKDAY(Table1[[#This Row],[Transaction_Date]],2)</f>
        <v>5</v>
      </c>
      <c r="M333">
        <f>IF(Table1[[#This Row],[Sale_Type]]="Buffet",1,0)</f>
        <v>0</v>
      </c>
    </row>
    <row r="334" spans="1:13" x14ac:dyDescent="0.2">
      <c r="A334" t="s">
        <v>549</v>
      </c>
      <c r="B334" t="s">
        <v>52</v>
      </c>
      <c r="C334" s="1">
        <v>45947</v>
      </c>
      <c r="D334" t="s">
        <v>96</v>
      </c>
      <c r="E334" t="s">
        <v>14</v>
      </c>
      <c r="F334" t="s">
        <v>24</v>
      </c>
      <c r="G334" t="s">
        <v>16</v>
      </c>
      <c r="H334">
        <v>1</v>
      </c>
      <c r="I334">
        <v>24.01</v>
      </c>
      <c r="J334" t="s">
        <v>28</v>
      </c>
      <c r="K334" t="s">
        <v>18</v>
      </c>
      <c r="L334">
        <f>WEEKDAY(Table1[[#This Row],[Transaction_Date]],2)</f>
        <v>5</v>
      </c>
      <c r="M334">
        <f>IF(Table1[[#This Row],[Sale_Type]]="Buffet",1,0)</f>
        <v>0</v>
      </c>
    </row>
    <row r="335" spans="1:13" x14ac:dyDescent="0.2">
      <c r="A335" t="s">
        <v>550</v>
      </c>
      <c r="B335" t="s">
        <v>126</v>
      </c>
      <c r="C335" s="1">
        <v>45947</v>
      </c>
      <c r="D335" t="s">
        <v>96</v>
      </c>
      <c r="E335" t="s">
        <v>14</v>
      </c>
      <c r="F335" t="s">
        <v>27</v>
      </c>
      <c r="G335" t="s">
        <v>16</v>
      </c>
      <c r="H335">
        <v>1</v>
      </c>
      <c r="I335">
        <v>17.89</v>
      </c>
      <c r="J335" t="s">
        <v>17</v>
      </c>
      <c r="K335" t="s">
        <v>18</v>
      </c>
      <c r="L335">
        <f>WEEKDAY(Table1[[#This Row],[Transaction_Date]],2)</f>
        <v>5</v>
      </c>
      <c r="M335">
        <f>IF(Table1[[#This Row],[Sale_Type]]="Buffet",1,0)</f>
        <v>0</v>
      </c>
    </row>
    <row r="336" spans="1:13" x14ac:dyDescent="0.2">
      <c r="A336" t="s">
        <v>551</v>
      </c>
      <c r="B336" t="s">
        <v>402</v>
      </c>
      <c r="C336" s="1">
        <v>45947</v>
      </c>
      <c r="D336" t="s">
        <v>96</v>
      </c>
      <c r="E336" t="s">
        <v>14</v>
      </c>
      <c r="F336" t="s">
        <v>27</v>
      </c>
      <c r="G336" t="s">
        <v>16</v>
      </c>
      <c r="H336">
        <v>3</v>
      </c>
      <c r="I336">
        <v>92.28</v>
      </c>
      <c r="J336" t="s">
        <v>17</v>
      </c>
      <c r="K336" t="s">
        <v>18</v>
      </c>
      <c r="L336">
        <f>WEEKDAY(Table1[[#This Row],[Transaction_Date]],2)</f>
        <v>5</v>
      </c>
      <c r="M336">
        <f>IF(Table1[[#This Row],[Sale_Type]]="Buffet",1,0)</f>
        <v>0</v>
      </c>
    </row>
    <row r="337" spans="1:13" x14ac:dyDescent="0.2">
      <c r="A337" t="s">
        <v>552</v>
      </c>
      <c r="B337" t="s">
        <v>518</v>
      </c>
      <c r="C337" s="1">
        <v>45947</v>
      </c>
      <c r="D337" t="s">
        <v>96</v>
      </c>
      <c r="E337" t="s">
        <v>14</v>
      </c>
      <c r="F337" t="s">
        <v>27</v>
      </c>
      <c r="G337" t="s">
        <v>16</v>
      </c>
      <c r="H337">
        <v>1</v>
      </c>
      <c r="I337">
        <v>13.56</v>
      </c>
      <c r="J337" t="s">
        <v>17</v>
      </c>
      <c r="K337" t="s">
        <v>18</v>
      </c>
      <c r="L337">
        <f>WEEKDAY(Table1[[#This Row],[Transaction_Date]],2)</f>
        <v>5</v>
      </c>
      <c r="M337">
        <f>IF(Table1[[#This Row],[Sale_Type]]="Buffet",1,0)</f>
        <v>0</v>
      </c>
    </row>
    <row r="338" spans="1:13" x14ac:dyDescent="0.2">
      <c r="A338" t="s">
        <v>553</v>
      </c>
      <c r="B338" t="s">
        <v>56</v>
      </c>
      <c r="C338" s="1">
        <v>45947</v>
      </c>
      <c r="D338" t="s">
        <v>96</v>
      </c>
      <c r="E338" t="s">
        <v>43</v>
      </c>
      <c r="F338" t="s">
        <v>44</v>
      </c>
      <c r="G338" t="s">
        <v>16</v>
      </c>
      <c r="H338">
        <v>4</v>
      </c>
      <c r="I338">
        <v>93.95</v>
      </c>
      <c r="J338" t="s">
        <v>17</v>
      </c>
      <c r="K338" t="s">
        <v>18</v>
      </c>
      <c r="L338">
        <f>WEEKDAY(Table1[[#This Row],[Transaction_Date]],2)</f>
        <v>5</v>
      </c>
      <c r="M338">
        <f>IF(Table1[[#This Row],[Sale_Type]]="Buffet",1,0)</f>
        <v>0</v>
      </c>
    </row>
    <row r="339" spans="1:13" x14ac:dyDescent="0.2">
      <c r="A339" t="s">
        <v>554</v>
      </c>
      <c r="B339" t="s">
        <v>142</v>
      </c>
      <c r="C339" s="1">
        <v>45947</v>
      </c>
      <c r="D339" t="s">
        <v>96</v>
      </c>
      <c r="E339" t="s">
        <v>43</v>
      </c>
      <c r="F339" t="s">
        <v>44</v>
      </c>
      <c r="G339" t="s">
        <v>45</v>
      </c>
      <c r="H339">
        <v>2</v>
      </c>
      <c r="I339">
        <v>49</v>
      </c>
      <c r="J339" t="s">
        <v>17</v>
      </c>
      <c r="K339" t="s">
        <v>21</v>
      </c>
      <c r="L339">
        <f>WEEKDAY(Table1[[#This Row],[Transaction_Date]],2)</f>
        <v>5</v>
      </c>
      <c r="M339">
        <f>IF(Table1[[#This Row],[Sale_Type]]="Buffet",1,0)</f>
        <v>1</v>
      </c>
    </row>
    <row r="340" spans="1:13" x14ac:dyDescent="0.2">
      <c r="A340" t="s">
        <v>555</v>
      </c>
      <c r="B340" t="s">
        <v>109</v>
      </c>
      <c r="C340" s="1">
        <v>45947</v>
      </c>
      <c r="D340" t="s">
        <v>96</v>
      </c>
      <c r="E340" t="s">
        <v>43</v>
      </c>
      <c r="F340" t="s">
        <v>44</v>
      </c>
      <c r="G340" t="s">
        <v>45</v>
      </c>
      <c r="H340">
        <v>3</v>
      </c>
      <c r="I340">
        <v>64.5</v>
      </c>
      <c r="J340" t="s">
        <v>17</v>
      </c>
      <c r="K340" t="s">
        <v>21</v>
      </c>
      <c r="L340">
        <f>WEEKDAY(Table1[[#This Row],[Transaction_Date]],2)</f>
        <v>5</v>
      </c>
      <c r="M340">
        <f>IF(Table1[[#This Row],[Sale_Type]]="Buffet",1,0)</f>
        <v>1</v>
      </c>
    </row>
    <row r="341" spans="1:13" x14ac:dyDescent="0.2">
      <c r="A341" t="s">
        <v>556</v>
      </c>
      <c r="B341" t="s">
        <v>26</v>
      </c>
      <c r="C341" s="1">
        <v>45947</v>
      </c>
      <c r="D341" t="s">
        <v>96</v>
      </c>
      <c r="E341" t="s">
        <v>43</v>
      </c>
      <c r="F341" t="s">
        <v>44</v>
      </c>
      <c r="G341" t="s">
        <v>16</v>
      </c>
      <c r="H341">
        <v>3</v>
      </c>
      <c r="I341">
        <v>52.5</v>
      </c>
      <c r="J341" t="s">
        <v>17</v>
      </c>
      <c r="K341" t="s">
        <v>18</v>
      </c>
      <c r="L341">
        <f>WEEKDAY(Table1[[#This Row],[Transaction_Date]],2)</f>
        <v>5</v>
      </c>
      <c r="M341">
        <f>IF(Table1[[#This Row],[Sale_Type]]="Buffet",1,0)</f>
        <v>0</v>
      </c>
    </row>
    <row r="342" spans="1:13" x14ac:dyDescent="0.2">
      <c r="A342" t="s">
        <v>557</v>
      </c>
      <c r="B342" t="s">
        <v>398</v>
      </c>
      <c r="C342" s="1">
        <v>45947</v>
      </c>
      <c r="D342" t="s">
        <v>96</v>
      </c>
      <c r="E342" t="s">
        <v>43</v>
      </c>
      <c r="F342" t="s">
        <v>44</v>
      </c>
      <c r="G342" t="s">
        <v>45</v>
      </c>
      <c r="H342">
        <v>6</v>
      </c>
      <c r="I342">
        <v>120</v>
      </c>
      <c r="J342" t="s">
        <v>17</v>
      </c>
      <c r="K342" t="s">
        <v>21</v>
      </c>
      <c r="L342">
        <f>WEEKDAY(Table1[[#This Row],[Transaction_Date]],2)</f>
        <v>5</v>
      </c>
      <c r="M342">
        <f>IF(Table1[[#This Row],[Sale_Type]]="Buffet",1,0)</f>
        <v>1</v>
      </c>
    </row>
    <row r="343" spans="1:13" x14ac:dyDescent="0.2">
      <c r="A343" t="s">
        <v>558</v>
      </c>
      <c r="B343" t="s">
        <v>109</v>
      </c>
      <c r="C343" s="1">
        <v>45947</v>
      </c>
      <c r="D343" t="s">
        <v>96</v>
      </c>
      <c r="E343" t="s">
        <v>43</v>
      </c>
      <c r="F343" t="s">
        <v>44</v>
      </c>
      <c r="G343" t="s">
        <v>45</v>
      </c>
      <c r="H343">
        <v>3</v>
      </c>
      <c r="I343">
        <v>64.5</v>
      </c>
      <c r="J343" t="s">
        <v>17</v>
      </c>
      <c r="K343" t="s">
        <v>21</v>
      </c>
      <c r="L343">
        <f>WEEKDAY(Table1[[#This Row],[Transaction_Date]],2)</f>
        <v>5</v>
      </c>
      <c r="M343">
        <f>IF(Table1[[#This Row],[Sale_Type]]="Buffet",1,0)</f>
        <v>1</v>
      </c>
    </row>
    <row r="344" spans="1:13" x14ac:dyDescent="0.2">
      <c r="A344" t="s">
        <v>559</v>
      </c>
      <c r="B344" t="s">
        <v>52</v>
      </c>
      <c r="C344" s="1">
        <v>45947</v>
      </c>
      <c r="D344" t="s">
        <v>96</v>
      </c>
      <c r="E344" t="s">
        <v>43</v>
      </c>
      <c r="F344" t="s">
        <v>44</v>
      </c>
      <c r="G344" t="s">
        <v>16</v>
      </c>
      <c r="H344">
        <v>3</v>
      </c>
      <c r="I344">
        <v>53.97</v>
      </c>
      <c r="J344" t="s">
        <v>34</v>
      </c>
      <c r="K344" t="s">
        <v>21</v>
      </c>
      <c r="L344">
        <f>WEEKDAY(Table1[[#This Row],[Transaction_Date]],2)</f>
        <v>5</v>
      </c>
      <c r="M344">
        <f>IF(Table1[[#This Row],[Sale_Type]]="Buffet",1,0)</f>
        <v>0</v>
      </c>
    </row>
    <row r="345" spans="1:13" x14ac:dyDescent="0.2">
      <c r="A345" t="s">
        <v>560</v>
      </c>
      <c r="B345" t="s">
        <v>474</v>
      </c>
      <c r="C345" s="1">
        <v>45947</v>
      </c>
      <c r="D345" t="s">
        <v>96</v>
      </c>
      <c r="E345" t="s">
        <v>43</v>
      </c>
      <c r="F345" t="s">
        <v>50</v>
      </c>
      <c r="G345" t="s">
        <v>45</v>
      </c>
      <c r="H345">
        <v>3</v>
      </c>
      <c r="I345">
        <v>64.5</v>
      </c>
      <c r="J345" t="s">
        <v>17</v>
      </c>
      <c r="K345" t="s">
        <v>18</v>
      </c>
      <c r="L345">
        <f>WEEKDAY(Table1[[#This Row],[Transaction_Date]],2)</f>
        <v>5</v>
      </c>
      <c r="M345">
        <f>IF(Table1[[#This Row],[Sale_Type]]="Buffet",1,0)</f>
        <v>1</v>
      </c>
    </row>
    <row r="346" spans="1:13" x14ac:dyDescent="0.2">
      <c r="A346" t="s">
        <v>561</v>
      </c>
      <c r="B346" t="s">
        <v>456</v>
      </c>
      <c r="C346" s="1">
        <v>45947</v>
      </c>
      <c r="D346" t="s">
        <v>96</v>
      </c>
      <c r="E346" t="s">
        <v>43</v>
      </c>
      <c r="F346" t="s">
        <v>50</v>
      </c>
      <c r="G346" t="s">
        <v>45</v>
      </c>
      <c r="H346">
        <v>2</v>
      </c>
      <c r="I346">
        <v>40</v>
      </c>
      <c r="J346" t="s">
        <v>28</v>
      </c>
      <c r="K346" t="s">
        <v>18</v>
      </c>
      <c r="L346">
        <f>WEEKDAY(Table1[[#This Row],[Transaction_Date]],2)</f>
        <v>5</v>
      </c>
      <c r="M346">
        <f>IF(Table1[[#This Row],[Sale_Type]]="Buffet",1,0)</f>
        <v>1</v>
      </c>
    </row>
    <row r="347" spans="1:13" x14ac:dyDescent="0.2">
      <c r="A347" t="s">
        <v>562</v>
      </c>
      <c r="B347" t="s">
        <v>247</v>
      </c>
      <c r="C347" s="1">
        <v>45947</v>
      </c>
      <c r="D347" t="s">
        <v>96</v>
      </c>
      <c r="E347" t="s">
        <v>43</v>
      </c>
      <c r="F347" t="s">
        <v>50</v>
      </c>
      <c r="G347" t="s">
        <v>45</v>
      </c>
      <c r="H347">
        <v>5</v>
      </c>
      <c r="I347">
        <v>109</v>
      </c>
      <c r="J347" t="s">
        <v>28</v>
      </c>
      <c r="K347" t="s">
        <v>21</v>
      </c>
      <c r="L347">
        <f>WEEKDAY(Table1[[#This Row],[Transaction_Date]],2)</f>
        <v>5</v>
      </c>
      <c r="M347">
        <f>IF(Table1[[#This Row],[Sale_Type]]="Buffet",1,0)</f>
        <v>1</v>
      </c>
    </row>
    <row r="348" spans="1:13" x14ac:dyDescent="0.2">
      <c r="A348" t="s">
        <v>563</v>
      </c>
      <c r="B348" t="s">
        <v>564</v>
      </c>
      <c r="C348" s="1">
        <v>45947</v>
      </c>
      <c r="D348" t="s">
        <v>96</v>
      </c>
      <c r="E348" t="s">
        <v>43</v>
      </c>
      <c r="F348" t="s">
        <v>53</v>
      </c>
      <c r="G348" t="s">
        <v>45</v>
      </c>
      <c r="H348">
        <v>2</v>
      </c>
      <c r="I348">
        <v>44.5</v>
      </c>
      <c r="J348" t="s">
        <v>17</v>
      </c>
      <c r="K348" t="s">
        <v>18</v>
      </c>
      <c r="L348">
        <f>WEEKDAY(Table1[[#This Row],[Transaction_Date]],2)</f>
        <v>5</v>
      </c>
      <c r="M348">
        <f>IF(Table1[[#This Row],[Sale_Type]]="Buffet",1,0)</f>
        <v>1</v>
      </c>
    </row>
    <row r="349" spans="1:13" x14ac:dyDescent="0.2">
      <c r="A349" t="s">
        <v>565</v>
      </c>
      <c r="B349" t="s">
        <v>140</v>
      </c>
      <c r="C349" s="1">
        <v>45947</v>
      </c>
      <c r="D349" t="s">
        <v>96</v>
      </c>
      <c r="E349" t="s">
        <v>43</v>
      </c>
      <c r="F349" t="s">
        <v>57</v>
      </c>
      <c r="G349" t="s">
        <v>45</v>
      </c>
      <c r="H349">
        <v>3</v>
      </c>
      <c r="I349">
        <v>69</v>
      </c>
      <c r="J349" t="s">
        <v>28</v>
      </c>
      <c r="K349" t="s">
        <v>18</v>
      </c>
      <c r="L349">
        <f>WEEKDAY(Table1[[#This Row],[Transaction_Date]],2)</f>
        <v>5</v>
      </c>
      <c r="M349">
        <f>IF(Table1[[#This Row],[Sale_Type]]="Buffet",1,0)</f>
        <v>1</v>
      </c>
    </row>
    <row r="350" spans="1:13" x14ac:dyDescent="0.2">
      <c r="A350" t="s">
        <v>566</v>
      </c>
      <c r="B350" t="s">
        <v>567</v>
      </c>
      <c r="C350" s="1">
        <v>45948</v>
      </c>
      <c r="D350" t="s">
        <v>127</v>
      </c>
      <c r="E350" t="s">
        <v>14</v>
      </c>
      <c r="F350" t="s">
        <v>15</v>
      </c>
      <c r="G350" t="s">
        <v>16</v>
      </c>
      <c r="H350">
        <v>4</v>
      </c>
      <c r="I350">
        <v>118.9</v>
      </c>
      <c r="J350" t="s">
        <v>17</v>
      </c>
      <c r="K350" t="s">
        <v>18</v>
      </c>
      <c r="L350">
        <f>WEEKDAY(Table1[[#This Row],[Transaction_Date]],2)</f>
        <v>6</v>
      </c>
      <c r="M350">
        <f>IF(Table1[[#This Row],[Sale_Type]]="Buffet",1,0)</f>
        <v>0</v>
      </c>
    </row>
    <row r="351" spans="1:13" x14ac:dyDescent="0.2">
      <c r="A351" t="s">
        <v>568</v>
      </c>
      <c r="B351" t="s">
        <v>400</v>
      </c>
      <c r="C351" s="1">
        <v>45948</v>
      </c>
      <c r="D351" t="s">
        <v>127</v>
      </c>
      <c r="E351" t="s">
        <v>14</v>
      </c>
      <c r="F351" t="s">
        <v>15</v>
      </c>
      <c r="G351" t="s">
        <v>16</v>
      </c>
      <c r="H351">
        <v>3</v>
      </c>
      <c r="I351">
        <v>107.08</v>
      </c>
      <c r="J351" t="s">
        <v>17</v>
      </c>
      <c r="K351" t="s">
        <v>18</v>
      </c>
      <c r="L351">
        <f>WEEKDAY(Table1[[#This Row],[Transaction_Date]],2)</f>
        <v>6</v>
      </c>
      <c r="M351">
        <f>IF(Table1[[#This Row],[Sale_Type]]="Buffet",1,0)</f>
        <v>0</v>
      </c>
    </row>
    <row r="352" spans="1:13" x14ac:dyDescent="0.2">
      <c r="A352" t="s">
        <v>569</v>
      </c>
      <c r="B352" t="s">
        <v>61</v>
      </c>
      <c r="C352" s="1">
        <v>45948</v>
      </c>
      <c r="D352" t="s">
        <v>127</v>
      </c>
      <c r="E352" t="s">
        <v>14</v>
      </c>
      <c r="F352" t="s">
        <v>15</v>
      </c>
      <c r="G352" t="s">
        <v>16</v>
      </c>
      <c r="H352">
        <v>4</v>
      </c>
      <c r="I352">
        <v>88.59</v>
      </c>
      <c r="J352" t="s">
        <v>28</v>
      </c>
      <c r="K352" t="s">
        <v>21</v>
      </c>
      <c r="L352">
        <f>WEEKDAY(Table1[[#This Row],[Transaction_Date]],2)</f>
        <v>6</v>
      </c>
      <c r="M352">
        <f>IF(Table1[[#This Row],[Sale_Type]]="Buffet",1,0)</f>
        <v>0</v>
      </c>
    </row>
    <row r="353" spans="1:13" x14ac:dyDescent="0.2">
      <c r="A353" t="s">
        <v>570</v>
      </c>
      <c r="B353" t="s">
        <v>79</v>
      </c>
      <c r="C353" s="1">
        <v>45948</v>
      </c>
      <c r="D353" t="s">
        <v>127</v>
      </c>
      <c r="E353" t="s">
        <v>14</v>
      </c>
      <c r="F353" t="s">
        <v>15</v>
      </c>
      <c r="G353" t="s">
        <v>16</v>
      </c>
      <c r="H353">
        <v>4</v>
      </c>
      <c r="I353">
        <v>52.02</v>
      </c>
      <c r="J353" t="s">
        <v>17</v>
      </c>
      <c r="K353" t="s">
        <v>21</v>
      </c>
      <c r="L353">
        <f>WEEKDAY(Table1[[#This Row],[Transaction_Date]],2)</f>
        <v>6</v>
      </c>
      <c r="M353">
        <f>IF(Table1[[#This Row],[Sale_Type]]="Buffet",1,0)</f>
        <v>0</v>
      </c>
    </row>
    <row r="354" spans="1:13" x14ac:dyDescent="0.2">
      <c r="A354" t="s">
        <v>571</v>
      </c>
      <c r="B354" t="s">
        <v>471</v>
      </c>
      <c r="C354" s="1">
        <v>45948</v>
      </c>
      <c r="D354" t="s">
        <v>127</v>
      </c>
      <c r="E354" t="s">
        <v>14</v>
      </c>
      <c r="F354" t="s">
        <v>15</v>
      </c>
      <c r="G354" t="s">
        <v>16</v>
      </c>
      <c r="H354">
        <v>6</v>
      </c>
      <c r="I354">
        <v>146.06</v>
      </c>
      <c r="J354" t="s">
        <v>17</v>
      </c>
      <c r="K354" t="s">
        <v>18</v>
      </c>
      <c r="L354">
        <f>WEEKDAY(Table1[[#This Row],[Transaction_Date]],2)</f>
        <v>6</v>
      </c>
      <c r="M354">
        <f>IF(Table1[[#This Row],[Sale_Type]]="Buffet",1,0)</f>
        <v>0</v>
      </c>
    </row>
    <row r="355" spans="1:13" x14ac:dyDescent="0.2">
      <c r="A355" t="s">
        <v>572</v>
      </c>
      <c r="B355" t="s">
        <v>200</v>
      </c>
      <c r="C355" s="1">
        <v>45948</v>
      </c>
      <c r="D355" t="s">
        <v>127</v>
      </c>
      <c r="E355" t="s">
        <v>14</v>
      </c>
      <c r="F355" t="s">
        <v>24</v>
      </c>
      <c r="G355" t="s">
        <v>16</v>
      </c>
      <c r="H355">
        <v>4</v>
      </c>
      <c r="I355">
        <v>106.56</v>
      </c>
      <c r="J355" t="s">
        <v>17</v>
      </c>
      <c r="K355" t="s">
        <v>21</v>
      </c>
      <c r="L355">
        <f>WEEKDAY(Table1[[#This Row],[Transaction_Date]],2)</f>
        <v>6</v>
      </c>
      <c r="M355">
        <f>IF(Table1[[#This Row],[Sale_Type]]="Buffet",1,0)</f>
        <v>0</v>
      </c>
    </row>
    <row r="356" spans="1:13" x14ac:dyDescent="0.2">
      <c r="A356" t="s">
        <v>573</v>
      </c>
      <c r="B356" t="s">
        <v>295</v>
      </c>
      <c r="C356" s="1">
        <v>45948</v>
      </c>
      <c r="D356" t="s">
        <v>127</v>
      </c>
      <c r="E356" t="s">
        <v>14</v>
      </c>
      <c r="F356" t="s">
        <v>24</v>
      </c>
      <c r="G356" t="s">
        <v>16</v>
      </c>
      <c r="H356">
        <v>2</v>
      </c>
      <c r="I356">
        <v>52.4</v>
      </c>
      <c r="J356" t="s">
        <v>34</v>
      </c>
      <c r="K356" t="s">
        <v>18</v>
      </c>
      <c r="L356">
        <f>WEEKDAY(Table1[[#This Row],[Transaction_Date]],2)</f>
        <v>6</v>
      </c>
      <c r="M356">
        <f>IF(Table1[[#This Row],[Sale_Type]]="Buffet",1,0)</f>
        <v>0</v>
      </c>
    </row>
    <row r="357" spans="1:13" x14ac:dyDescent="0.2">
      <c r="A357" t="s">
        <v>574</v>
      </c>
      <c r="B357" t="s">
        <v>532</v>
      </c>
      <c r="C357" s="1">
        <v>45948</v>
      </c>
      <c r="D357" t="s">
        <v>127</v>
      </c>
      <c r="E357" t="s">
        <v>14</v>
      </c>
      <c r="F357" t="s">
        <v>24</v>
      </c>
      <c r="G357" t="s">
        <v>16</v>
      </c>
      <c r="H357">
        <v>2</v>
      </c>
      <c r="I357">
        <v>41.34</v>
      </c>
      <c r="J357" t="s">
        <v>17</v>
      </c>
      <c r="K357" t="s">
        <v>18</v>
      </c>
      <c r="L357">
        <f>WEEKDAY(Table1[[#This Row],[Transaction_Date]],2)</f>
        <v>6</v>
      </c>
      <c r="M357">
        <f>IF(Table1[[#This Row],[Sale_Type]]="Buffet",1,0)</f>
        <v>0</v>
      </c>
    </row>
    <row r="358" spans="1:13" x14ac:dyDescent="0.2">
      <c r="A358" t="s">
        <v>575</v>
      </c>
      <c r="B358" t="s">
        <v>200</v>
      </c>
      <c r="C358" s="1">
        <v>45948</v>
      </c>
      <c r="D358" t="s">
        <v>127</v>
      </c>
      <c r="E358" t="s">
        <v>14</v>
      </c>
      <c r="F358" t="s">
        <v>24</v>
      </c>
      <c r="G358" t="s">
        <v>16</v>
      </c>
      <c r="H358">
        <v>6</v>
      </c>
      <c r="I358">
        <v>111.5</v>
      </c>
      <c r="J358" t="s">
        <v>34</v>
      </c>
      <c r="K358" t="s">
        <v>21</v>
      </c>
      <c r="L358">
        <f>WEEKDAY(Table1[[#This Row],[Transaction_Date]],2)</f>
        <v>6</v>
      </c>
      <c r="M358">
        <f>IF(Table1[[#This Row],[Sale_Type]]="Buffet",1,0)</f>
        <v>0</v>
      </c>
    </row>
    <row r="359" spans="1:13" x14ac:dyDescent="0.2">
      <c r="A359" t="s">
        <v>576</v>
      </c>
      <c r="B359" t="s">
        <v>111</v>
      </c>
      <c r="C359" s="1">
        <v>45948</v>
      </c>
      <c r="D359" t="s">
        <v>127</v>
      </c>
      <c r="E359" t="s">
        <v>14</v>
      </c>
      <c r="F359" t="s">
        <v>27</v>
      </c>
      <c r="G359" t="s">
        <v>16</v>
      </c>
      <c r="H359">
        <v>2</v>
      </c>
      <c r="I359">
        <v>56.96</v>
      </c>
      <c r="J359" t="s">
        <v>28</v>
      </c>
      <c r="K359" t="s">
        <v>21</v>
      </c>
      <c r="L359">
        <f>WEEKDAY(Table1[[#This Row],[Transaction_Date]],2)</f>
        <v>6</v>
      </c>
      <c r="M359">
        <f>IF(Table1[[#This Row],[Sale_Type]]="Buffet",1,0)</f>
        <v>0</v>
      </c>
    </row>
    <row r="360" spans="1:13" x14ac:dyDescent="0.2">
      <c r="A360" t="s">
        <v>577</v>
      </c>
      <c r="B360" t="s">
        <v>429</v>
      </c>
      <c r="C360" s="1">
        <v>45948</v>
      </c>
      <c r="D360" t="s">
        <v>127</v>
      </c>
      <c r="E360" t="s">
        <v>14</v>
      </c>
      <c r="F360" t="s">
        <v>27</v>
      </c>
      <c r="G360" t="s">
        <v>16</v>
      </c>
      <c r="H360">
        <v>3</v>
      </c>
      <c r="I360">
        <v>75.58</v>
      </c>
      <c r="J360" t="s">
        <v>17</v>
      </c>
      <c r="K360" t="s">
        <v>18</v>
      </c>
      <c r="L360">
        <f>WEEKDAY(Table1[[#This Row],[Transaction_Date]],2)</f>
        <v>6</v>
      </c>
      <c r="M360">
        <f>IF(Table1[[#This Row],[Sale_Type]]="Buffet",1,0)</f>
        <v>0</v>
      </c>
    </row>
    <row r="361" spans="1:13" x14ac:dyDescent="0.2">
      <c r="A361" t="s">
        <v>578</v>
      </c>
      <c r="B361" t="s">
        <v>579</v>
      </c>
      <c r="C361" s="1">
        <v>45948</v>
      </c>
      <c r="D361" t="s">
        <v>127</v>
      </c>
      <c r="E361" t="s">
        <v>14</v>
      </c>
      <c r="F361" t="s">
        <v>27</v>
      </c>
      <c r="G361" t="s">
        <v>16</v>
      </c>
      <c r="H361">
        <v>3</v>
      </c>
      <c r="I361">
        <v>120.69</v>
      </c>
      <c r="J361" t="s">
        <v>34</v>
      </c>
      <c r="K361" t="s">
        <v>18</v>
      </c>
      <c r="L361">
        <f>WEEKDAY(Table1[[#This Row],[Transaction_Date]],2)</f>
        <v>6</v>
      </c>
      <c r="M361">
        <f>IF(Table1[[#This Row],[Sale_Type]]="Buffet",1,0)</f>
        <v>0</v>
      </c>
    </row>
    <row r="362" spans="1:13" x14ac:dyDescent="0.2">
      <c r="A362" t="s">
        <v>580</v>
      </c>
      <c r="B362" t="s">
        <v>581</v>
      </c>
      <c r="C362" s="1">
        <v>45948</v>
      </c>
      <c r="D362" t="s">
        <v>127</v>
      </c>
      <c r="E362" t="s">
        <v>14</v>
      </c>
      <c r="F362" t="s">
        <v>27</v>
      </c>
      <c r="G362" t="s">
        <v>16</v>
      </c>
      <c r="H362">
        <v>3</v>
      </c>
      <c r="I362">
        <v>85.42</v>
      </c>
      <c r="J362" t="s">
        <v>17</v>
      </c>
      <c r="K362" t="s">
        <v>18</v>
      </c>
      <c r="L362">
        <f>WEEKDAY(Table1[[#This Row],[Transaction_Date]],2)</f>
        <v>6</v>
      </c>
      <c r="M362">
        <f>IF(Table1[[#This Row],[Sale_Type]]="Buffet",1,0)</f>
        <v>0</v>
      </c>
    </row>
    <row r="363" spans="1:13" x14ac:dyDescent="0.2">
      <c r="A363" t="s">
        <v>582</v>
      </c>
      <c r="B363" t="s">
        <v>270</v>
      </c>
      <c r="C363" s="1">
        <v>45948</v>
      </c>
      <c r="D363" t="s">
        <v>127</v>
      </c>
      <c r="E363" t="s">
        <v>14</v>
      </c>
      <c r="F363" t="s">
        <v>27</v>
      </c>
      <c r="G363" t="s">
        <v>16</v>
      </c>
      <c r="H363">
        <v>4</v>
      </c>
      <c r="I363">
        <v>124.06</v>
      </c>
      <c r="J363" t="s">
        <v>17</v>
      </c>
      <c r="K363" t="s">
        <v>21</v>
      </c>
      <c r="L363">
        <f>WEEKDAY(Table1[[#This Row],[Transaction_Date]],2)</f>
        <v>6</v>
      </c>
      <c r="M363">
        <f>IF(Table1[[#This Row],[Sale_Type]]="Buffet",1,0)</f>
        <v>0</v>
      </c>
    </row>
    <row r="364" spans="1:13" x14ac:dyDescent="0.2">
      <c r="A364" t="s">
        <v>583</v>
      </c>
      <c r="B364" t="s">
        <v>584</v>
      </c>
      <c r="C364" s="1">
        <v>45948</v>
      </c>
      <c r="D364" t="s">
        <v>127</v>
      </c>
      <c r="E364" t="s">
        <v>14</v>
      </c>
      <c r="F364" t="s">
        <v>31</v>
      </c>
      <c r="G364" t="s">
        <v>16</v>
      </c>
      <c r="H364">
        <v>2</v>
      </c>
      <c r="I364">
        <v>28.86</v>
      </c>
      <c r="J364" t="s">
        <v>28</v>
      </c>
      <c r="K364" t="s">
        <v>18</v>
      </c>
      <c r="L364">
        <f>WEEKDAY(Table1[[#This Row],[Transaction_Date]],2)</f>
        <v>6</v>
      </c>
      <c r="M364">
        <f>IF(Table1[[#This Row],[Sale_Type]]="Buffet",1,0)</f>
        <v>0</v>
      </c>
    </row>
    <row r="365" spans="1:13" x14ac:dyDescent="0.2">
      <c r="A365" t="s">
        <v>585</v>
      </c>
      <c r="B365" t="s">
        <v>160</v>
      </c>
      <c r="C365" s="1">
        <v>45948</v>
      </c>
      <c r="D365" t="s">
        <v>127</v>
      </c>
      <c r="E365" t="s">
        <v>14</v>
      </c>
      <c r="F365" t="s">
        <v>31</v>
      </c>
      <c r="G365" t="s">
        <v>16</v>
      </c>
      <c r="H365">
        <v>3</v>
      </c>
      <c r="I365">
        <v>71.52</v>
      </c>
      <c r="J365" t="s">
        <v>17</v>
      </c>
      <c r="K365" t="s">
        <v>21</v>
      </c>
      <c r="L365">
        <f>WEEKDAY(Table1[[#This Row],[Transaction_Date]],2)</f>
        <v>6</v>
      </c>
      <c r="M365">
        <f>IF(Table1[[#This Row],[Sale_Type]]="Buffet",1,0)</f>
        <v>0</v>
      </c>
    </row>
    <row r="366" spans="1:13" x14ac:dyDescent="0.2">
      <c r="A366" t="s">
        <v>586</v>
      </c>
      <c r="B366" t="s">
        <v>385</v>
      </c>
      <c r="C366" s="1">
        <v>45948</v>
      </c>
      <c r="D366" t="s">
        <v>127</v>
      </c>
      <c r="E366" t="s">
        <v>14</v>
      </c>
      <c r="F366" t="s">
        <v>31</v>
      </c>
      <c r="G366" t="s">
        <v>16</v>
      </c>
      <c r="H366">
        <v>4</v>
      </c>
      <c r="I366">
        <v>112.71</v>
      </c>
      <c r="J366" t="s">
        <v>34</v>
      </c>
      <c r="K366" t="s">
        <v>18</v>
      </c>
      <c r="L366">
        <f>WEEKDAY(Table1[[#This Row],[Transaction_Date]],2)</f>
        <v>6</v>
      </c>
      <c r="M366">
        <f>IF(Table1[[#This Row],[Sale_Type]]="Buffet",1,0)</f>
        <v>0</v>
      </c>
    </row>
    <row r="367" spans="1:13" x14ac:dyDescent="0.2">
      <c r="A367" t="s">
        <v>587</v>
      </c>
      <c r="B367" t="s">
        <v>238</v>
      </c>
      <c r="C367" s="1">
        <v>45948</v>
      </c>
      <c r="D367" t="s">
        <v>127</v>
      </c>
      <c r="E367" t="s">
        <v>14</v>
      </c>
      <c r="F367" t="s">
        <v>31</v>
      </c>
      <c r="G367" t="s">
        <v>16</v>
      </c>
      <c r="H367">
        <v>2</v>
      </c>
      <c r="I367">
        <v>40.9</v>
      </c>
      <c r="J367" t="s">
        <v>17</v>
      </c>
      <c r="K367" t="s">
        <v>18</v>
      </c>
      <c r="L367">
        <f>WEEKDAY(Table1[[#This Row],[Transaction_Date]],2)</f>
        <v>6</v>
      </c>
      <c r="M367">
        <f>IF(Table1[[#This Row],[Sale_Type]]="Buffet",1,0)</f>
        <v>0</v>
      </c>
    </row>
    <row r="368" spans="1:13" x14ac:dyDescent="0.2">
      <c r="A368" t="s">
        <v>588</v>
      </c>
      <c r="B368" t="s">
        <v>454</v>
      </c>
      <c r="C368" s="1">
        <v>45948</v>
      </c>
      <c r="D368" t="s">
        <v>127</v>
      </c>
      <c r="E368" t="s">
        <v>14</v>
      </c>
      <c r="F368" t="s">
        <v>31</v>
      </c>
      <c r="G368" t="s">
        <v>16</v>
      </c>
      <c r="H368">
        <v>1</v>
      </c>
      <c r="I368">
        <v>33.89</v>
      </c>
      <c r="J368" t="s">
        <v>17</v>
      </c>
      <c r="K368" t="s">
        <v>18</v>
      </c>
      <c r="L368">
        <f>WEEKDAY(Table1[[#This Row],[Transaction_Date]],2)</f>
        <v>6</v>
      </c>
      <c r="M368">
        <f>IF(Table1[[#This Row],[Sale_Type]]="Buffet",1,0)</f>
        <v>0</v>
      </c>
    </row>
    <row r="369" spans="1:13" x14ac:dyDescent="0.2">
      <c r="A369" t="s">
        <v>589</v>
      </c>
      <c r="B369" t="s">
        <v>211</v>
      </c>
      <c r="C369" s="1">
        <v>45948</v>
      </c>
      <c r="D369" t="s">
        <v>127</v>
      </c>
      <c r="E369" t="s">
        <v>14</v>
      </c>
      <c r="F369" t="s">
        <v>31</v>
      </c>
      <c r="G369" t="s">
        <v>16</v>
      </c>
      <c r="H369">
        <v>1</v>
      </c>
      <c r="I369">
        <v>12.72</v>
      </c>
      <c r="J369" t="s">
        <v>17</v>
      </c>
      <c r="K369" t="s">
        <v>18</v>
      </c>
      <c r="L369">
        <f>WEEKDAY(Table1[[#This Row],[Transaction_Date]],2)</f>
        <v>6</v>
      </c>
      <c r="M369">
        <f>IF(Table1[[#This Row],[Sale_Type]]="Buffet",1,0)</f>
        <v>0</v>
      </c>
    </row>
    <row r="370" spans="1:13" x14ac:dyDescent="0.2">
      <c r="A370" t="s">
        <v>590</v>
      </c>
      <c r="B370" t="s">
        <v>591</v>
      </c>
      <c r="C370" s="1">
        <v>45948</v>
      </c>
      <c r="D370" t="s">
        <v>127</v>
      </c>
      <c r="E370" t="s">
        <v>14</v>
      </c>
      <c r="F370" t="s">
        <v>31</v>
      </c>
      <c r="G370" t="s">
        <v>16</v>
      </c>
      <c r="H370">
        <v>6</v>
      </c>
      <c r="I370">
        <v>313.95999999999998</v>
      </c>
      <c r="J370" t="s">
        <v>28</v>
      </c>
      <c r="K370" t="s">
        <v>21</v>
      </c>
      <c r="L370">
        <f>WEEKDAY(Table1[[#This Row],[Transaction_Date]],2)</f>
        <v>6</v>
      </c>
      <c r="M370">
        <f>IF(Table1[[#This Row],[Sale_Type]]="Buffet",1,0)</f>
        <v>0</v>
      </c>
    </row>
    <row r="371" spans="1:13" x14ac:dyDescent="0.2">
      <c r="A371" t="s">
        <v>592</v>
      </c>
      <c r="B371" t="s">
        <v>372</v>
      </c>
      <c r="C371" s="1">
        <v>45948</v>
      </c>
      <c r="D371" t="s">
        <v>127</v>
      </c>
      <c r="E371" t="s">
        <v>14</v>
      </c>
      <c r="F371" t="s">
        <v>40</v>
      </c>
      <c r="G371" t="s">
        <v>16</v>
      </c>
      <c r="H371">
        <v>2</v>
      </c>
      <c r="I371">
        <v>46.95</v>
      </c>
      <c r="J371" t="s">
        <v>17</v>
      </c>
      <c r="K371" t="s">
        <v>18</v>
      </c>
      <c r="L371">
        <f>WEEKDAY(Table1[[#This Row],[Transaction_Date]],2)</f>
        <v>6</v>
      </c>
      <c r="M371">
        <f>IF(Table1[[#This Row],[Sale_Type]]="Buffet",1,0)</f>
        <v>0</v>
      </c>
    </row>
    <row r="372" spans="1:13" x14ac:dyDescent="0.2">
      <c r="A372" t="s">
        <v>593</v>
      </c>
      <c r="B372" t="s">
        <v>163</v>
      </c>
      <c r="C372" s="1">
        <v>45948</v>
      </c>
      <c r="D372" t="s">
        <v>127</v>
      </c>
      <c r="E372" t="s">
        <v>14</v>
      </c>
      <c r="F372" t="s">
        <v>40</v>
      </c>
      <c r="G372" t="s">
        <v>16</v>
      </c>
      <c r="H372">
        <v>2</v>
      </c>
      <c r="I372">
        <v>85.62</v>
      </c>
      <c r="J372" t="s">
        <v>28</v>
      </c>
      <c r="K372" t="s">
        <v>18</v>
      </c>
      <c r="L372">
        <f>WEEKDAY(Table1[[#This Row],[Transaction_Date]],2)</f>
        <v>6</v>
      </c>
      <c r="M372">
        <f>IF(Table1[[#This Row],[Sale_Type]]="Buffet",1,0)</f>
        <v>0</v>
      </c>
    </row>
    <row r="373" spans="1:13" x14ac:dyDescent="0.2">
      <c r="A373" t="s">
        <v>594</v>
      </c>
      <c r="B373" t="s">
        <v>372</v>
      </c>
      <c r="C373" s="1">
        <v>45948</v>
      </c>
      <c r="D373" t="s">
        <v>127</v>
      </c>
      <c r="E373" t="s">
        <v>14</v>
      </c>
      <c r="F373" t="s">
        <v>40</v>
      </c>
      <c r="G373" t="s">
        <v>16</v>
      </c>
      <c r="H373">
        <v>2</v>
      </c>
      <c r="I373">
        <v>124.76</v>
      </c>
      <c r="J373" t="s">
        <v>34</v>
      </c>
      <c r="K373" t="s">
        <v>18</v>
      </c>
      <c r="L373">
        <f>WEEKDAY(Table1[[#This Row],[Transaction_Date]],2)</f>
        <v>6</v>
      </c>
      <c r="M373">
        <f>IF(Table1[[#This Row],[Sale_Type]]="Buffet",1,0)</f>
        <v>0</v>
      </c>
    </row>
    <row r="374" spans="1:13" x14ac:dyDescent="0.2">
      <c r="A374" t="s">
        <v>595</v>
      </c>
      <c r="B374" t="s">
        <v>369</v>
      </c>
      <c r="C374" s="1">
        <v>45948</v>
      </c>
      <c r="D374" t="s">
        <v>127</v>
      </c>
      <c r="E374" t="s">
        <v>14</v>
      </c>
      <c r="F374" t="s">
        <v>40</v>
      </c>
      <c r="G374" t="s">
        <v>16</v>
      </c>
      <c r="H374">
        <v>4</v>
      </c>
      <c r="I374">
        <v>86.08</v>
      </c>
      <c r="J374" t="s">
        <v>34</v>
      </c>
      <c r="K374" t="s">
        <v>18</v>
      </c>
      <c r="L374">
        <f>WEEKDAY(Table1[[#This Row],[Transaction_Date]],2)</f>
        <v>6</v>
      </c>
      <c r="M374">
        <f>IF(Table1[[#This Row],[Sale_Type]]="Buffet",1,0)</f>
        <v>0</v>
      </c>
    </row>
    <row r="375" spans="1:13" x14ac:dyDescent="0.2">
      <c r="A375" t="s">
        <v>596</v>
      </c>
      <c r="B375" t="s">
        <v>597</v>
      </c>
      <c r="C375" s="1">
        <v>45948</v>
      </c>
      <c r="D375" t="s">
        <v>127</v>
      </c>
      <c r="E375" t="s">
        <v>14</v>
      </c>
      <c r="F375" t="s">
        <v>40</v>
      </c>
      <c r="G375" t="s">
        <v>16</v>
      </c>
      <c r="H375">
        <v>1</v>
      </c>
      <c r="I375">
        <v>30.58</v>
      </c>
      <c r="J375" t="s">
        <v>34</v>
      </c>
      <c r="K375" t="s">
        <v>21</v>
      </c>
      <c r="L375">
        <f>WEEKDAY(Table1[[#This Row],[Transaction_Date]],2)</f>
        <v>6</v>
      </c>
      <c r="M375">
        <f>IF(Table1[[#This Row],[Sale_Type]]="Buffet",1,0)</f>
        <v>0</v>
      </c>
    </row>
    <row r="376" spans="1:13" x14ac:dyDescent="0.2">
      <c r="A376" t="s">
        <v>598</v>
      </c>
      <c r="B376" t="s">
        <v>64</v>
      </c>
      <c r="C376" s="1">
        <v>45948</v>
      </c>
      <c r="D376" t="s">
        <v>127</v>
      </c>
      <c r="E376" t="s">
        <v>14</v>
      </c>
      <c r="F376" t="s">
        <v>40</v>
      </c>
      <c r="G376" t="s">
        <v>16</v>
      </c>
      <c r="H376">
        <v>5</v>
      </c>
      <c r="I376">
        <v>172.26</v>
      </c>
      <c r="J376" t="s">
        <v>28</v>
      </c>
      <c r="K376" t="s">
        <v>18</v>
      </c>
      <c r="L376">
        <f>WEEKDAY(Table1[[#This Row],[Transaction_Date]],2)</f>
        <v>6</v>
      </c>
      <c r="M376">
        <f>IF(Table1[[#This Row],[Sale_Type]]="Buffet",1,0)</f>
        <v>0</v>
      </c>
    </row>
    <row r="377" spans="1:13" x14ac:dyDescent="0.2">
      <c r="A377" t="s">
        <v>599</v>
      </c>
      <c r="B377" t="s">
        <v>293</v>
      </c>
      <c r="C377" s="1">
        <v>45948</v>
      </c>
      <c r="D377" t="s">
        <v>127</v>
      </c>
      <c r="E377" t="s">
        <v>43</v>
      </c>
      <c r="F377" t="s">
        <v>44</v>
      </c>
      <c r="G377" t="s">
        <v>16</v>
      </c>
      <c r="H377">
        <v>2</v>
      </c>
      <c r="I377">
        <v>27.35</v>
      </c>
      <c r="J377" t="s">
        <v>34</v>
      </c>
      <c r="K377" t="s">
        <v>21</v>
      </c>
      <c r="L377">
        <f>WEEKDAY(Table1[[#This Row],[Transaction_Date]],2)</f>
        <v>6</v>
      </c>
      <c r="M377">
        <f>IF(Table1[[#This Row],[Sale_Type]]="Buffet",1,0)</f>
        <v>0</v>
      </c>
    </row>
    <row r="378" spans="1:13" x14ac:dyDescent="0.2">
      <c r="A378" t="s">
        <v>600</v>
      </c>
      <c r="B378" t="s">
        <v>480</v>
      </c>
      <c r="C378" s="1">
        <v>45948</v>
      </c>
      <c r="D378" t="s">
        <v>127</v>
      </c>
      <c r="E378" t="s">
        <v>43</v>
      </c>
      <c r="F378" t="s">
        <v>44</v>
      </c>
      <c r="G378" t="s">
        <v>16</v>
      </c>
      <c r="H378">
        <v>3</v>
      </c>
      <c r="I378">
        <v>26.21</v>
      </c>
      <c r="J378" t="s">
        <v>34</v>
      </c>
      <c r="K378" t="s">
        <v>18</v>
      </c>
      <c r="L378">
        <f>WEEKDAY(Table1[[#This Row],[Transaction_Date]],2)</f>
        <v>6</v>
      </c>
      <c r="M378">
        <f>IF(Table1[[#This Row],[Sale_Type]]="Buffet",1,0)</f>
        <v>0</v>
      </c>
    </row>
    <row r="379" spans="1:13" x14ac:dyDescent="0.2">
      <c r="A379" t="s">
        <v>601</v>
      </c>
      <c r="B379" t="s">
        <v>167</v>
      </c>
      <c r="C379" s="1">
        <v>45948</v>
      </c>
      <c r="D379" t="s">
        <v>127</v>
      </c>
      <c r="E379" t="s">
        <v>43</v>
      </c>
      <c r="F379" t="s">
        <v>44</v>
      </c>
      <c r="G379" t="s">
        <v>16</v>
      </c>
      <c r="H379">
        <v>5</v>
      </c>
      <c r="I379">
        <v>99.21</v>
      </c>
      <c r="J379" t="s">
        <v>17</v>
      </c>
      <c r="K379" t="s">
        <v>18</v>
      </c>
      <c r="L379">
        <f>WEEKDAY(Table1[[#This Row],[Transaction_Date]],2)</f>
        <v>6</v>
      </c>
      <c r="M379">
        <f>IF(Table1[[#This Row],[Sale_Type]]="Buffet",1,0)</f>
        <v>0</v>
      </c>
    </row>
    <row r="380" spans="1:13" x14ac:dyDescent="0.2">
      <c r="A380" t="s">
        <v>602</v>
      </c>
      <c r="B380" t="s">
        <v>334</v>
      </c>
      <c r="C380" s="1">
        <v>45948</v>
      </c>
      <c r="D380" t="s">
        <v>127</v>
      </c>
      <c r="E380" t="s">
        <v>43</v>
      </c>
      <c r="F380" t="s">
        <v>53</v>
      </c>
      <c r="G380" t="s">
        <v>16</v>
      </c>
      <c r="H380">
        <v>3</v>
      </c>
      <c r="I380">
        <v>30.5</v>
      </c>
      <c r="J380" t="s">
        <v>34</v>
      </c>
      <c r="K380" t="s">
        <v>21</v>
      </c>
      <c r="L380">
        <f>WEEKDAY(Table1[[#This Row],[Transaction_Date]],2)</f>
        <v>6</v>
      </c>
      <c r="M380">
        <f>IF(Table1[[#This Row],[Sale_Type]]="Buffet",1,0)</f>
        <v>0</v>
      </c>
    </row>
    <row r="381" spans="1:13" x14ac:dyDescent="0.2">
      <c r="A381" t="s">
        <v>603</v>
      </c>
      <c r="B381" t="s">
        <v>163</v>
      </c>
      <c r="C381" s="1">
        <v>45949</v>
      </c>
      <c r="D381" t="s">
        <v>171</v>
      </c>
      <c r="E381" t="s">
        <v>14</v>
      </c>
      <c r="F381" t="s">
        <v>24</v>
      </c>
      <c r="G381" t="s">
        <v>16</v>
      </c>
      <c r="H381">
        <v>2</v>
      </c>
      <c r="I381">
        <v>79.12</v>
      </c>
      <c r="J381" t="s">
        <v>28</v>
      </c>
      <c r="K381" t="s">
        <v>18</v>
      </c>
      <c r="L381">
        <f>WEEKDAY(Table1[[#This Row],[Transaction_Date]],2)</f>
        <v>7</v>
      </c>
      <c r="M381">
        <f>IF(Table1[[#This Row],[Sale_Type]]="Buffet",1,0)</f>
        <v>0</v>
      </c>
    </row>
    <row r="382" spans="1:13" x14ac:dyDescent="0.2">
      <c r="A382" t="s">
        <v>604</v>
      </c>
      <c r="B382" t="s">
        <v>156</v>
      </c>
      <c r="C382" s="1">
        <v>45949</v>
      </c>
      <c r="D382" t="s">
        <v>171</v>
      </c>
      <c r="E382" t="s">
        <v>14</v>
      </c>
      <c r="F382" t="s">
        <v>24</v>
      </c>
      <c r="G382" t="s">
        <v>16</v>
      </c>
      <c r="H382">
        <v>1</v>
      </c>
      <c r="I382">
        <v>26.49</v>
      </c>
      <c r="J382" t="s">
        <v>17</v>
      </c>
      <c r="K382" t="s">
        <v>18</v>
      </c>
      <c r="L382">
        <f>WEEKDAY(Table1[[#This Row],[Transaction_Date]],2)</f>
        <v>7</v>
      </c>
      <c r="M382">
        <f>IF(Table1[[#This Row],[Sale_Type]]="Buffet",1,0)</f>
        <v>0</v>
      </c>
    </row>
    <row r="383" spans="1:13" x14ac:dyDescent="0.2">
      <c r="A383" t="s">
        <v>605</v>
      </c>
      <c r="B383" t="s">
        <v>262</v>
      </c>
      <c r="C383" s="1">
        <v>45949</v>
      </c>
      <c r="D383" t="s">
        <v>171</v>
      </c>
      <c r="E383" t="s">
        <v>14</v>
      </c>
      <c r="F383" t="s">
        <v>27</v>
      </c>
      <c r="G383" t="s">
        <v>16</v>
      </c>
      <c r="H383">
        <v>2</v>
      </c>
      <c r="I383">
        <v>66.62</v>
      </c>
      <c r="J383" t="s">
        <v>34</v>
      </c>
      <c r="K383" t="s">
        <v>18</v>
      </c>
      <c r="L383">
        <f>WEEKDAY(Table1[[#This Row],[Transaction_Date]],2)</f>
        <v>7</v>
      </c>
      <c r="M383">
        <f>IF(Table1[[#This Row],[Sale_Type]]="Buffet",1,0)</f>
        <v>0</v>
      </c>
    </row>
    <row r="384" spans="1:13" x14ac:dyDescent="0.2">
      <c r="A384" t="s">
        <v>606</v>
      </c>
      <c r="B384" t="s">
        <v>537</v>
      </c>
      <c r="C384" s="1">
        <v>45949</v>
      </c>
      <c r="D384" t="s">
        <v>171</v>
      </c>
      <c r="E384" t="s">
        <v>14</v>
      </c>
      <c r="F384" t="s">
        <v>27</v>
      </c>
      <c r="G384" t="s">
        <v>16</v>
      </c>
      <c r="H384">
        <v>3</v>
      </c>
      <c r="I384">
        <v>89.88</v>
      </c>
      <c r="J384" t="s">
        <v>17</v>
      </c>
      <c r="K384" t="s">
        <v>18</v>
      </c>
      <c r="L384">
        <f>WEEKDAY(Table1[[#This Row],[Transaction_Date]],2)</f>
        <v>7</v>
      </c>
      <c r="M384">
        <f>IF(Table1[[#This Row],[Sale_Type]]="Buffet",1,0)</f>
        <v>0</v>
      </c>
    </row>
    <row r="385" spans="1:13" x14ac:dyDescent="0.2">
      <c r="A385" t="s">
        <v>607</v>
      </c>
      <c r="B385" t="s">
        <v>200</v>
      </c>
      <c r="C385" s="1">
        <v>45949</v>
      </c>
      <c r="D385" t="s">
        <v>171</v>
      </c>
      <c r="E385" t="s">
        <v>14</v>
      </c>
      <c r="F385" t="s">
        <v>27</v>
      </c>
      <c r="G385" t="s">
        <v>16</v>
      </c>
      <c r="H385">
        <v>4</v>
      </c>
      <c r="I385">
        <v>122.72</v>
      </c>
      <c r="J385" t="s">
        <v>17</v>
      </c>
      <c r="K385" t="s">
        <v>18</v>
      </c>
      <c r="L385">
        <f>WEEKDAY(Table1[[#This Row],[Transaction_Date]],2)</f>
        <v>7</v>
      </c>
      <c r="M385">
        <f>IF(Table1[[#This Row],[Sale_Type]]="Buffet",1,0)</f>
        <v>0</v>
      </c>
    </row>
    <row r="386" spans="1:13" x14ac:dyDescent="0.2">
      <c r="A386" t="s">
        <v>608</v>
      </c>
      <c r="B386" t="s">
        <v>70</v>
      </c>
      <c r="C386" s="1">
        <v>45949</v>
      </c>
      <c r="D386" t="s">
        <v>171</v>
      </c>
      <c r="E386" t="s">
        <v>14</v>
      </c>
      <c r="F386" t="s">
        <v>27</v>
      </c>
      <c r="G386" t="s">
        <v>16</v>
      </c>
      <c r="H386">
        <v>3</v>
      </c>
      <c r="I386">
        <v>158.29</v>
      </c>
      <c r="J386" t="s">
        <v>17</v>
      </c>
      <c r="K386" t="s">
        <v>18</v>
      </c>
      <c r="L386">
        <f>WEEKDAY(Table1[[#This Row],[Transaction_Date]],2)</f>
        <v>7</v>
      </c>
      <c r="M386">
        <f>IF(Table1[[#This Row],[Sale_Type]]="Buffet",1,0)</f>
        <v>0</v>
      </c>
    </row>
    <row r="387" spans="1:13" x14ac:dyDescent="0.2">
      <c r="A387" t="s">
        <v>609</v>
      </c>
      <c r="B387" t="s">
        <v>95</v>
      </c>
      <c r="C387" s="1">
        <v>45949</v>
      </c>
      <c r="D387" t="s">
        <v>171</v>
      </c>
      <c r="E387" t="s">
        <v>14</v>
      </c>
      <c r="F387" t="s">
        <v>31</v>
      </c>
      <c r="G387" t="s">
        <v>16</v>
      </c>
      <c r="H387">
        <v>6</v>
      </c>
      <c r="I387">
        <v>153.80000000000001</v>
      </c>
      <c r="J387" t="s">
        <v>17</v>
      </c>
      <c r="K387" t="s">
        <v>18</v>
      </c>
      <c r="L387">
        <f>WEEKDAY(Table1[[#This Row],[Transaction_Date]],2)</f>
        <v>7</v>
      </c>
      <c r="M387">
        <f>IF(Table1[[#This Row],[Sale_Type]]="Buffet",1,0)</f>
        <v>0</v>
      </c>
    </row>
    <row r="388" spans="1:13" x14ac:dyDescent="0.2">
      <c r="A388" t="s">
        <v>610</v>
      </c>
      <c r="B388" t="s">
        <v>402</v>
      </c>
      <c r="C388" s="1">
        <v>45949</v>
      </c>
      <c r="D388" t="s">
        <v>171</v>
      </c>
      <c r="E388" t="s">
        <v>14</v>
      </c>
      <c r="F388" t="s">
        <v>31</v>
      </c>
      <c r="G388" t="s">
        <v>16</v>
      </c>
      <c r="H388">
        <v>1</v>
      </c>
      <c r="I388">
        <v>42.05</v>
      </c>
      <c r="J388" t="s">
        <v>17</v>
      </c>
      <c r="K388" t="s">
        <v>21</v>
      </c>
      <c r="L388">
        <f>WEEKDAY(Table1[[#This Row],[Transaction_Date]],2)</f>
        <v>7</v>
      </c>
      <c r="M388">
        <f>IF(Table1[[#This Row],[Sale_Type]]="Buffet",1,0)</f>
        <v>0</v>
      </c>
    </row>
    <row r="389" spans="1:13" x14ac:dyDescent="0.2">
      <c r="A389" t="s">
        <v>611</v>
      </c>
      <c r="B389" t="s">
        <v>131</v>
      </c>
      <c r="C389" s="1">
        <v>45949</v>
      </c>
      <c r="D389" t="s">
        <v>171</v>
      </c>
      <c r="E389" t="s">
        <v>14</v>
      </c>
      <c r="F389" t="s">
        <v>31</v>
      </c>
      <c r="G389" t="s">
        <v>16</v>
      </c>
      <c r="H389">
        <v>6</v>
      </c>
      <c r="I389">
        <v>162.04</v>
      </c>
      <c r="J389" t="s">
        <v>34</v>
      </c>
      <c r="K389" t="s">
        <v>18</v>
      </c>
      <c r="L389">
        <f>WEEKDAY(Table1[[#This Row],[Transaction_Date]],2)</f>
        <v>7</v>
      </c>
      <c r="M389">
        <f>IF(Table1[[#This Row],[Sale_Type]]="Buffet",1,0)</f>
        <v>0</v>
      </c>
    </row>
    <row r="390" spans="1:13" x14ac:dyDescent="0.2">
      <c r="A390" t="s">
        <v>612</v>
      </c>
      <c r="B390" t="s">
        <v>200</v>
      </c>
      <c r="C390" s="1">
        <v>45949</v>
      </c>
      <c r="D390" t="s">
        <v>171</v>
      </c>
      <c r="E390" t="s">
        <v>14</v>
      </c>
      <c r="F390" t="s">
        <v>31</v>
      </c>
      <c r="G390" t="s">
        <v>16</v>
      </c>
      <c r="H390">
        <v>3</v>
      </c>
      <c r="I390">
        <v>38.630000000000003</v>
      </c>
      <c r="J390" t="s">
        <v>28</v>
      </c>
      <c r="K390" t="s">
        <v>18</v>
      </c>
      <c r="L390">
        <f>WEEKDAY(Table1[[#This Row],[Transaction_Date]],2)</f>
        <v>7</v>
      </c>
      <c r="M390">
        <f>IF(Table1[[#This Row],[Sale_Type]]="Buffet",1,0)</f>
        <v>0</v>
      </c>
    </row>
    <row r="391" spans="1:13" x14ac:dyDescent="0.2">
      <c r="A391" t="s">
        <v>613</v>
      </c>
      <c r="B391" t="s">
        <v>68</v>
      </c>
      <c r="C391" s="1">
        <v>45949</v>
      </c>
      <c r="D391" t="s">
        <v>171</v>
      </c>
      <c r="E391" t="s">
        <v>14</v>
      </c>
      <c r="F391" t="s">
        <v>31</v>
      </c>
      <c r="G391" t="s">
        <v>16</v>
      </c>
      <c r="H391">
        <v>3</v>
      </c>
      <c r="I391">
        <v>62.57</v>
      </c>
      <c r="J391" t="s">
        <v>17</v>
      </c>
      <c r="K391" t="s">
        <v>21</v>
      </c>
      <c r="L391">
        <f>WEEKDAY(Table1[[#This Row],[Transaction_Date]],2)</f>
        <v>7</v>
      </c>
      <c r="M391">
        <f>IF(Table1[[#This Row],[Sale_Type]]="Buffet",1,0)</f>
        <v>0</v>
      </c>
    </row>
    <row r="392" spans="1:13" x14ac:dyDescent="0.2">
      <c r="A392" t="s">
        <v>614</v>
      </c>
      <c r="B392" t="s">
        <v>154</v>
      </c>
      <c r="C392" s="1">
        <v>45949</v>
      </c>
      <c r="D392" t="s">
        <v>171</v>
      </c>
      <c r="E392" t="s">
        <v>14</v>
      </c>
      <c r="F392" t="s">
        <v>31</v>
      </c>
      <c r="G392" t="s">
        <v>16</v>
      </c>
      <c r="H392">
        <v>3</v>
      </c>
      <c r="I392">
        <v>61.22</v>
      </c>
      <c r="J392" t="s">
        <v>17</v>
      </c>
      <c r="K392" t="s">
        <v>21</v>
      </c>
      <c r="L392">
        <f>WEEKDAY(Table1[[#This Row],[Transaction_Date]],2)</f>
        <v>7</v>
      </c>
      <c r="M392">
        <f>IF(Table1[[#This Row],[Sale_Type]]="Buffet",1,0)</f>
        <v>0</v>
      </c>
    </row>
    <row r="393" spans="1:13" x14ac:dyDescent="0.2">
      <c r="A393" t="s">
        <v>615</v>
      </c>
      <c r="B393" t="s">
        <v>348</v>
      </c>
      <c r="C393" s="1">
        <v>45949</v>
      </c>
      <c r="D393" t="s">
        <v>171</v>
      </c>
      <c r="E393" t="s">
        <v>14</v>
      </c>
      <c r="F393" t="s">
        <v>31</v>
      </c>
      <c r="G393" t="s">
        <v>16</v>
      </c>
      <c r="H393">
        <v>3</v>
      </c>
      <c r="I393">
        <v>92.93</v>
      </c>
      <c r="J393" t="s">
        <v>17</v>
      </c>
      <c r="K393" t="s">
        <v>18</v>
      </c>
      <c r="L393">
        <f>WEEKDAY(Table1[[#This Row],[Transaction_Date]],2)</f>
        <v>7</v>
      </c>
      <c r="M393">
        <f>IF(Table1[[#This Row],[Sale_Type]]="Buffet",1,0)</f>
        <v>0</v>
      </c>
    </row>
    <row r="394" spans="1:13" x14ac:dyDescent="0.2">
      <c r="A394" t="s">
        <v>616</v>
      </c>
      <c r="B394" t="s">
        <v>144</v>
      </c>
      <c r="C394" s="1">
        <v>45949</v>
      </c>
      <c r="D394" t="s">
        <v>171</v>
      </c>
      <c r="E394" t="s">
        <v>14</v>
      </c>
      <c r="F394" t="s">
        <v>31</v>
      </c>
      <c r="G394" t="s">
        <v>16</v>
      </c>
      <c r="H394">
        <v>2</v>
      </c>
      <c r="I394">
        <v>94.33</v>
      </c>
      <c r="J394" t="s">
        <v>34</v>
      </c>
      <c r="K394" t="s">
        <v>21</v>
      </c>
      <c r="L394">
        <f>WEEKDAY(Table1[[#This Row],[Transaction_Date]],2)</f>
        <v>7</v>
      </c>
      <c r="M394">
        <f>IF(Table1[[#This Row],[Sale_Type]]="Buffet",1,0)</f>
        <v>0</v>
      </c>
    </row>
    <row r="395" spans="1:13" x14ac:dyDescent="0.2">
      <c r="A395" t="s">
        <v>617</v>
      </c>
      <c r="B395" t="s">
        <v>383</v>
      </c>
      <c r="C395" s="1">
        <v>45949</v>
      </c>
      <c r="D395" t="s">
        <v>171</v>
      </c>
      <c r="E395" t="s">
        <v>14</v>
      </c>
      <c r="F395" t="s">
        <v>40</v>
      </c>
      <c r="G395" t="s">
        <v>16</v>
      </c>
      <c r="H395">
        <v>6</v>
      </c>
      <c r="I395">
        <v>140.38999999999999</v>
      </c>
      <c r="J395" t="s">
        <v>34</v>
      </c>
      <c r="K395" t="s">
        <v>18</v>
      </c>
      <c r="L395">
        <f>WEEKDAY(Table1[[#This Row],[Transaction_Date]],2)</f>
        <v>7</v>
      </c>
      <c r="M395">
        <f>IF(Table1[[#This Row],[Sale_Type]]="Buffet",1,0)</f>
        <v>0</v>
      </c>
    </row>
    <row r="396" spans="1:13" x14ac:dyDescent="0.2">
      <c r="A396" t="s">
        <v>618</v>
      </c>
      <c r="B396" t="s">
        <v>200</v>
      </c>
      <c r="C396" s="1">
        <v>45949</v>
      </c>
      <c r="D396" t="s">
        <v>171</v>
      </c>
      <c r="E396" t="s">
        <v>14</v>
      </c>
      <c r="F396" t="s">
        <v>40</v>
      </c>
      <c r="G396" t="s">
        <v>16</v>
      </c>
      <c r="H396">
        <v>7</v>
      </c>
      <c r="I396">
        <v>260.62</v>
      </c>
      <c r="J396" t="s">
        <v>17</v>
      </c>
      <c r="K396" t="s">
        <v>18</v>
      </c>
      <c r="L396">
        <f>WEEKDAY(Table1[[#This Row],[Transaction_Date]],2)</f>
        <v>7</v>
      </c>
      <c r="M396">
        <f>IF(Table1[[#This Row],[Sale_Type]]="Buffet",1,0)</f>
        <v>0</v>
      </c>
    </row>
    <row r="397" spans="1:13" x14ac:dyDescent="0.2">
      <c r="A397" t="s">
        <v>619</v>
      </c>
      <c r="B397" t="s">
        <v>381</v>
      </c>
      <c r="C397" s="1">
        <v>45949</v>
      </c>
      <c r="D397" t="s">
        <v>171</v>
      </c>
      <c r="E397" t="s">
        <v>14</v>
      </c>
      <c r="F397" t="s">
        <v>40</v>
      </c>
      <c r="G397" t="s">
        <v>16</v>
      </c>
      <c r="H397">
        <v>2</v>
      </c>
      <c r="I397">
        <v>59.16</v>
      </c>
      <c r="J397" t="s">
        <v>34</v>
      </c>
      <c r="K397" t="s">
        <v>18</v>
      </c>
      <c r="L397">
        <f>WEEKDAY(Table1[[#This Row],[Transaction_Date]],2)</f>
        <v>7</v>
      </c>
      <c r="M397">
        <f>IF(Table1[[#This Row],[Sale_Type]]="Buffet",1,0)</f>
        <v>0</v>
      </c>
    </row>
    <row r="398" spans="1:13" x14ac:dyDescent="0.2">
      <c r="A398" t="s">
        <v>620</v>
      </c>
      <c r="B398" t="s">
        <v>272</v>
      </c>
      <c r="C398" s="1">
        <v>45949</v>
      </c>
      <c r="D398" t="s">
        <v>171</v>
      </c>
      <c r="E398" t="s">
        <v>14</v>
      </c>
      <c r="F398" t="s">
        <v>40</v>
      </c>
      <c r="G398" t="s">
        <v>16</v>
      </c>
      <c r="H398">
        <v>4</v>
      </c>
      <c r="I398">
        <v>122.82</v>
      </c>
      <c r="J398" t="s">
        <v>34</v>
      </c>
      <c r="K398" t="s">
        <v>18</v>
      </c>
      <c r="L398">
        <f>WEEKDAY(Table1[[#This Row],[Transaction_Date]],2)</f>
        <v>7</v>
      </c>
      <c r="M398">
        <f>IF(Table1[[#This Row],[Sale_Type]]="Buffet",1,0)</f>
        <v>0</v>
      </c>
    </row>
    <row r="399" spans="1:13" x14ac:dyDescent="0.2">
      <c r="A399" t="s">
        <v>621</v>
      </c>
      <c r="B399" t="s">
        <v>138</v>
      </c>
      <c r="C399" s="1">
        <v>45949</v>
      </c>
      <c r="D399" t="s">
        <v>171</v>
      </c>
      <c r="E399" t="s">
        <v>14</v>
      </c>
      <c r="F399" t="s">
        <v>40</v>
      </c>
      <c r="G399" t="s">
        <v>16</v>
      </c>
      <c r="H399">
        <v>4</v>
      </c>
      <c r="I399">
        <v>138.07</v>
      </c>
      <c r="J399" t="s">
        <v>34</v>
      </c>
      <c r="K399" t="s">
        <v>21</v>
      </c>
      <c r="L399">
        <f>WEEKDAY(Table1[[#This Row],[Transaction_Date]],2)</f>
        <v>7</v>
      </c>
      <c r="M399">
        <f>IF(Table1[[#This Row],[Sale_Type]]="Buffet",1,0)</f>
        <v>0</v>
      </c>
    </row>
    <row r="400" spans="1:13" x14ac:dyDescent="0.2">
      <c r="A400" t="s">
        <v>622</v>
      </c>
      <c r="B400" t="s">
        <v>258</v>
      </c>
      <c r="C400" s="1">
        <v>45949</v>
      </c>
      <c r="D400" t="s">
        <v>171</v>
      </c>
      <c r="E400" t="s">
        <v>43</v>
      </c>
      <c r="F400" t="s">
        <v>44</v>
      </c>
      <c r="G400" t="s">
        <v>16</v>
      </c>
      <c r="H400">
        <v>4</v>
      </c>
      <c r="I400">
        <v>70.08</v>
      </c>
      <c r="J400" t="s">
        <v>28</v>
      </c>
      <c r="K400" t="s">
        <v>18</v>
      </c>
      <c r="L400">
        <f>WEEKDAY(Table1[[#This Row],[Transaction_Date]],2)</f>
        <v>7</v>
      </c>
      <c r="M400">
        <f>IF(Table1[[#This Row],[Sale_Type]]="Buffet",1,0)</f>
        <v>0</v>
      </c>
    </row>
    <row r="401" spans="1:13" x14ac:dyDescent="0.2">
      <c r="A401" t="s">
        <v>623</v>
      </c>
      <c r="B401" t="s">
        <v>624</v>
      </c>
      <c r="C401" s="1">
        <v>45949</v>
      </c>
      <c r="D401" t="s">
        <v>171</v>
      </c>
      <c r="E401" t="s">
        <v>43</v>
      </c>
      <c r="F401" t="s">
        <v>50</v>
      </c>
      <c r="G401" t="s">
        <v>16</v>
      </c>
      <c r="H401">
        <v>4</v>
      </c>
      <c r="I401">
        <v>109.97</v>
      </c>
      <c r="J401" t="s">
        <v>17</v>
      </c>
      <c r="K401" t="s">
        <v>21</v>
      </c>
      <c r="L401">
        <f>WEEKDAY(Table1[[#This Row],[Transaction_Date]],2)</f>
        <v>7</v>
      </c>
      <c r="M401">
        <f>IF(Table1[[#This Row],[Sale_Type]]="Buffet",1,0)</f>
        <v>0</v>
      </c>
    </row>
    <row r="402" spans="1:13" x14ac:dyDescent="0.2">
      <c r="A402" t="s">
        <v>625</v>
      </c>
      <c r="B402" t="s">
        <v>42</v>
      </c>
      <c r="C402" s="1">
        <v>45949</v>
      </c>
      <c r="D402" t="s">
        <v>171</v>
      </c>
      <c r="E402" t="s">
        <v>43</v>
      </c>
      <c r="F402" t="s">
        <v>50</v>
      </c>
      <c r="G402" t="s">
        <v>16</v>
      </c>
      <c r="H402">
        <v>4</v>
      </c>
      <c r="I402">
        <v>47.7</v>
      </c>
      <c r="J402" t="s">
        <v>28</v>
      </c>
      <c r="K402" t="s">
        <v>18</v>
      </c>
      <c r="L402">
        <f>WEEKDAY(Table1[[#This Row],[Transaction_Date]],2)</f>
        <v>7</v>
      </c>
      <c r="M402">
        <f>IF(Table1[[#This Row],[Sale_Type]]="Buffet",1,0)</f>
        <v>0</v>
      </c>
    </row>
    <row r="403" spans="1:13" x14ac:dyDescent="0.2">
      <c r="A403" t="s">
        <v>626</v>
      </c>
      <c r="B403" t="s">
        <v>529</v>
      </c>
      <c r="C403" s="1">
        <v>45949</v>
      </c>
      <c r="D403" t="s">
        <v>171</v>
      </c>
      <c r="E403" t="s">
        <v>43</v>
      </c>
      <c r="F403" t="s">
        <v>50</v>
      </c>
      <c r="G403" t="s">
        <v>16</v>
      </c>
      <c r="H403">
        <v>2</v>
      </c>
      <c r="I403">
        <v>45.78</v>
      </c>
      <c r="J403" t="s">
        <v>34</v>
      </c>
      <c r="K403" t="s">
        <v>21</v>
      </c>
      <c r="L403">
        <f>WEEKDAY(Table1[[#This Row],[Transaction_Date]],2)</f>
        <v>7</v>
      </c>
      <c r="M403">
        <f>IF(Table1[[#This Row],[Sale_Type]]="Buffet",1,0)</f>
        <v>0</v>
      </c>
    </row>
    <row r="404" spans="1:13" x14ac:dyDescent="0.2">
      <c r="A404" t="s">
        <v>627</v>
      </c>
      <c r="B404" t="s">
        <v>540</v>
      </c>
      <c r="C404" s="1">
        <v>45950</v>
      </c>
      <c r="D404" t="s">
        <v>213</v>
      </c>
      <c r="E404" t="s">
        <v>14</v>
      </c>
      <c r="F404" t="s">
        <v>15</v>
      </c>
      <c r="G404" t="s">
        <v>16</v>
      </c>
      <c r="H404">
        <v>2</v>
      </c>
      <c r="I404">
        <v>72.19</v>
      </c>
      <c r="J404" t="s">
        <v>17</v>
      </c>
      <c r="K404" t="s">
        <v>21</v>
      </c>
      <c r="L404">
        <f>WEEKDAY(Table1[[#This Row],[Transaction_Date]],2)</f>
        <v>1</v>
      </c>
      <c r="M404">
        <f>IF(Table1[[#This Row],[Sale_Type]]="Buffet",1,0)</f>
        <v>0</v>
      </c>
    </row>
    <row r="405" spans="1:13" x14ac:dyDescent="0.2">
      <c r="A405" t="s">
        <v>628</v>
      </c>
      <c r="B405" t="s">
        <v>427</v>
      </c>
      <c r="C405" s="1">
        <v>45950</v>
      </c>
      <c r="D405" t="s">
        <v>213</v>
      </c>
      <c r="E405" t="s">
        <v>14</v>
      </c>
      <c r="F405" t="s">
        <v>15</v>
      </c>
      <c r="G405" t="s">
        <v>16</v>
      </c>
      <c r="H405">
        <v>4</v>
      </c>
      <c r="I405">
        <v>66.290000000000006</v>
      </c>
      <c r="J405" t="s">
        <v>17</v>
      </c>
      <c r="K405" t="s">
        <v>21</v>
      </c>
      <c r="L405">
        <f>WEEKDAY(Table1[[#This Row],[Transaction_Date]],2)</f>
        <v>1</v>
      </c>
      <c r="M405">
        <f>IF(Table1[[#This Row],[Sale_Type]]="Buffet",1,0)</f>
        <v>0</v>
      </c>
    </row>
    <row r="406" spans="1:13" x14ac:dyDescent="0.2">
      <c r="A406" t="s">
        <v>629</v>
      </c>
      <c r="B406" t="s">
        <v>630</v>
      </c>
      <c r="C406" s="1">
        <v>45950</v>
      </c>
      <c r="D406" t="s">
        <v>213</v>
      </c>
      <c r="E406" t="s">
        <v>14</v>
      </c>
      <c r="F406" t="s">
        <v>15</v>
      </c>
      <c r="G406" t="s">
        <v>16</v>
      </c>
      <c r="H406">
        <v>2</v>
      </c>
      <c r="I406">
        <v>66.17</v>
      </c>
      <c r="J406" t="s">
        <v>17</v>
      </c>
      <c r="K406" t="s">
        <v>18</v>
      </c>
      <c r="L406">
        <f>WEEKDAY(Table1[[#This Row],[Transaction_Date]],2)</f>
        <v>1</v>
      </c>
      <c r="M406">
        <f>IF(Table1[[#This Row],[Sale_Type]]="Buffet",1,0)</f>
        <v>0</v>
      </c>
    </row>
    <row r="407" spans="1:13" x14ac:dyDescent="0.2">
      <c r="A407" t="s">
        <v>631</v>
      </c>
      <c r="B407" t="s">
        <v>567</v>
      </c>
      <c r="C407" s="1">
        <v>45950</v>
      </c>
      <c r="D407" t="s">
        <v>213</v>
      </c>
      <c r="E407" t="s">
        <v>14</v>
      </c>
      <c r="F407" t="s">
        <v>24</v>
      </c>
      <c r="G407" t="s">
        <v>16</v>
      </c>
      <c r="H407">
        <v>2</v>
      </c>
      <c r="I407">
        <v>49.12</v>
      </c>
      <c r="J407" t="s">
        <v>17</v>
      </c>
      <c r="K407" t="s">
        <v>18</v>
      </c>
      <c r="L407">
        <f>WEEKDAY(Table1[[#This Row],[Transaction_Date]],2)</f>
        <v>1</v>
      </c>
      <c r="M407">
        <f>IF(Table1[[#This Row],[Sale_Type]]="Buffet",1,0)</f>
        <v>0</v>
      </c>
    </row>
    <row r="408" spans="1:13" x14ac:dyDescent="0.2">
      <c r="A408" t="s">
        <v>632</v>
      </c>
      <c r="B408" t="s">
        <v>501</v>
      </c>
      <c r="C408" s="1">
        <v>45950</v>
      </c>
      <c r="D408" t="s">
        <v>213</v>
      </c>
      <c r="E408" t="s">
        <v>14</v>
      </c>
      <c r="F408" t="s">
        <v>24</v>
      </c>
      <c r="G408" t="s">
        <v>16</v>
      </c>
      <c r="H408">
        <v>1</v>
      </c>
      <c r="I408">
        <v>50.84</v>
      </c>
      <c r="J408" t="s">
        <v>28</v>
      </c>
      <c r="K408" t="s">
        <v>18</v>
      </c>
      <c r="L408">
        <f>WEEKDAY(Table1[[#This Row],[Transaction_Date]],2)</f>
        <v>1</v>
      </c>
      <c r="M408">
        <f>IF(Table1[[#This Row],[Sale_Type]]="Buffet",1,0)</f>
        <v>0</v>
      </c>
    </row>
    <row r="409" spans="1:13" x14ac:dyDescent="0.2">
      <c r="A409" t="s">
        <v>633</v>
      </c>
      <c r="B409" t="s">
        <v>518</v>
      </c>
      <c r="C409" s="1">
        <v>45950</v>
      </c>
      <c r="D409" t="s">
        <v>213</v>
      </c>
      <c r="E409" t="s">
        <v>14</v>
      </c>
      <c r="F409" t="s">
        <v>27</v>
      </c>
      <c r="G409" t="s">
        <v>16</v>
      </c>
      <c r="H409">
        <v>5</v>
      </c>
      <c r="I409">
        <v>286.64</v>
      </c>
      <c r="J409" t="s">
        <v>17</v>
      </c>
      <c r="K409" t="s">
        <v>18</v>
      </c>
      <c r="L409">
        <f>WEEKDAY(Table1[[#This Row],[Transaction_Date]],2)</f>
        <v>1</v>
      </c>
      <c r="M409">
        <f>IF(Table1[[#This Row],[Sale_Type]]="Buffet",1,0)</f>
        <v>0</v>
      </c>
    </row>
    <row r="410" spans="1:13" x14ac:dyDescent="0.2">
      <c r="A410" t="s">
        <v>634</v>
      </c>
      <c r="B410" t="s">
        <v>56</v>
      </c>
      <c r="C410" s="1">
        <v>45950</v>
      </c>
      <c r="D410" t="s">
        <v>213</v>
      </c>
      <c r="E410" t="s">
        <v>14</v>
      </c>
      <c r="F410" t="s">
        <v>27</v>
      </c>
      <c r="G410" t="s">
        <v>16</v>
      </c>
      <c r="H410">
        <v>3</v>
      </c>
      <c r="I410">
        <v>118.31</v>
      </c>
      <c r="J410" t="s">
        <v>17</v>
      </c>
      <c r="K410" t="s">
        <v>21</v>
      </c>
      <c r="L410">
        <f>WEEKDAY(Table1[[#This Row],[Transaction_Date]],2)</f>
        <v>1</v>
      </c>
      <c r="M410">
        <f>IF(Table1[[#This Row],[Sale_Type]]="Buffet",1,0)</f>
        <v>0</v>
      </c>
    </row>
    <row r="411" spans="1:13" x14ac:dyDescent="0.2">
      <c r="A411" t="s">
        <v>635</v>
      </c>
      <c r="B411" t="s">
        <v>372</v>
      </c>
      <c r="C411" s="1">
        <v>45950</v>
      </c>
      <c r="D411" t="s">
        <v>213</v>
      </c>
      <c r="E411" t="s">
        <v>14</v>
      </c>
      <c r="F411" t="s">
        <v>27</v>
      </c>
      <c r="G411" t="s">
        <v>16</v>
      </c>
      <c r="H411">
        <v>2</v>
      </c>
      <c r="I411">
        <v>47.29</v>
      </c>
      <c r="J411" t="s">
        <v>17</v>
      </c>
      <c r="K411" t="s">
        <v>18</v>
      </c>
      <c r="L411">
        <f>WEEKDAY(Table1[[#This Row],[Transaction_Date]],2)</f>
        <v>1</v>
      </c>
      <c r="M411">
        <f>IF(Table1[[#This Row],[Sale_Type]]="Buffet",1,0)</f>
        <v>0</v>
      </c>
    </row>
    <row r="412" spans="1:13" x14ac:dyDescent="0.2">
      <c r="A412" t="s">
        <v>636</v>
      </c>
      <c r="B412" t="s">
        <v>637</v>
      </c>
      <c r="C412" s="1">
        <v>45950</v>
      </c>
      <c r="D412" t="s">
        <v>213</v>
      </c>
      <c r="E412" t="s">
        <v>14</v>
      </c>
      <c r="F412" t="s">
        <v>31</v>
      </c>
      <c r="G412" t="s">
        <v>16</v>
      </c>
      <c r="H412">
        <v>1</v>
      </c>
      <c r="I412">
        <v>22.7</v>
      </c>
      <c r="J412" t="s">
        <v>17</v>
      </c>
      <c r="K412" t="s">
        <v>18</v>
      </c>
      <c r="L412">
        <f>WEEKDAY(Table1[[#This Row],[Transaction_Date]],2)</f>
        <v>1</v>
      </c>
      <c r="M412">
        <f>IF(Table1[[#This Row],[Sale_Type]]="Buffet",1,0)</f>
        <v>0</v>
      </c>
    </row>
    <row r="413" spans="1:13" x14ac:dyDescent="0.2">
      <c r="A413" t="s">
        <v>638</v>
      </c>
      <c r="B413" t="s">
        <v>459</v>
      </c>
      <c r="C413" s="1">
        <v>45950</v>
      </c>
      <c r="D413" t="s">
        <v>213</v>
      </c>
      <c r="E413" t="s">
        <v>14</v>
      </c>
      <c r="F413" t="s">
        <v>31</v>
      </c>
      <c r="G413" t="s">
        <v>16</v>
      </c>
      <c r="H413">
        <v>3</v>
      </c>
      <c r="I413">
        <v>97.21</v>
      </c>
      <c r="J413" t="s">
        <v>17</v>
      </c>
      <c r="K413" t="s">
        <v>18</v>
      </c>
      <c r="L413">
        <f>WEEKDAY(Table1[[#This Row],[Transaction_Date]],2)</f>
        <v>1</v>
      </c>
      <c r="M413">
        <f>IF(Table1[[#This Row],[Sale_Type]]="Buffet",1,0)</f>
        <v>0</v>
      </c>
    </row>
    <row r="414" spans="1:13" x14ac:dyDescent="0.2">
      <c r="A414" t="s">
        <v>639</v>
      </c>
      <c r="B414" t="s">
        <v>72</v>
      </c>
      <c r="C414" s="1">
        <v>45950</v>
      </c>
      <c r="D414" t="s">
        <v>213</v>
      </c>
      <c r="E414" t="s">
        <v>14</v>
      </c>
      <c r="F414" t="s">
        <v>31</v>
      </c>
      <c r="G414" t="s">
        <v>16</v>
      </c>
      <c r="H414">
        <v>3</v>
      </c>
      <c r="I414">
        <v>172.58</v>
      </c>
      <c r="J414" t="s">
        <v>34</v>
      </c>
      <c r="K414" t="s">
        <v>18</v>
      </c>
      <c r="L414">
        <f>WEEKDAY(Table1[[#This Row],[Transaction_Date]],2)</f>
        <v>1</v>
      </c>
      <c r="M414">
        <f>IF(Table1[[#This Row],[Sale_Type]]="Buffet",1,0)</f>
        <v>0</v>
      </c>
    </row>
    <row r="415" spans="1:13" x14ac:dyDescent="0.2">
      <c r="A415" t="s">
        <v>640</v>
      </c>
      <c r="B415" t="s">
        <v>518</v>
      </c>
      <c r="C415" s="1">
        <v>45950</v>
      </c>
      <c r="D415" t="s">
        <v>213</v>
      </c>
      <c r="E415" t="s">
        <v>14</v>
      </c>
      <c r="F415" t="s">
        <v>40</v>
      </c>
      <c r="G415" t="s">
        <v>16</v>
      </c>
      <c r="H415">
        <v>2</v>
      </c>
      <c r="I415">
        <v>56.59</v>
      </c>
      <c r="J415" t="s">
        <v>34</v>
      </c>
      <c r="K415" t="s">
        <v>18</v>
      </c>
      <c r="L415">
        <f>WEEKDAY(Table1[[#This Row],[Transaction_Date]],2)</f>
        <v>1</v>
      </c>
      <c r="M415">
        <f>IF(Table1[[#This Row],[Sale_Type]]="Buffet",1,0)</f>
        <v>0</v>
      </c>
    </row>
    <row r="416" spans="1:13" x14ac:dyDescent="0.2">
      <c r="A416" t="s">
        <v>641</v>
      </c>
      <c r="B416" t="s">
        <v>192</v>
      </c>
      <c r="C416" s="1">
        <v>45950</v>
      </c>
      <c r="D416" t="s">
        <v>213</v>
      </c>
      <c r="E416" t="s">
        <v>14</v>
      </c>
      <c r="F416" t="s">
        <v>40</v>
      </c>
      <c r="G416" t="s">
        <v>16</v>
      </c>
      <c r="H416">
        <v>3</v>
      </c>
      <c r="I416">
        <v>97.44</v>
      </c>
      <c r="J416" t="s">
        <v>34</v>
      </c>
      <c r="K416" t="s">
        <v>18</v>
      </c>
      <c r="L416">
        <f>WEEKDAY(Table1[[#This Row],[Transaction_Date]],2)</f>
        <v>1</v>
      </c>
      <c r="M416">
        <f>IF(Table1[[#This Row],[Sale_Type]]="Buffet",1,0)</f>
        <v>0</v>
      </c>
    </row>
    <row r="417" spans="1:13" x14ac:dyDescent="0.2">
      <c r="A417" t="s">
        <v>642</v>
      </c>
      <c r="B417" t="s">
        <v>20</v>
      </c>
      <c r="C417" s="1">
        <v>45950</v>
      </c>
      <c r="D417" t="s">
        <v>213</v>
      </c>
      <c r="E417" t="s">
        <v>14</v>
      </c>
      <c r="F417" t="s">
        <v>40</v>
      </c>
      <c r="G417" t="s">
        <v>16</v>
      </c>
      <c r="H417">
        <v>5</v>
      </c>
      <c r="I417">
        <v>100.44</v>
      </c>
      <c r="J417" t="s">
        <v>34</v>
      </c>
      <c r="K417" t="s">
        <v>21</v>
      </c>
      <c r="L417">
        <f>WEEKDAY(Table1[[#This Row],[Transaction_Date]],2)</f>
        <v>1</v>
      </c>
      <c r="M417">
        <f>IF(Table1[[#This Row],[Sale_Type]]="Buffet",1,0)</f>
        <v>0</v>
      </c>
    </row>
    <row r="418" spans="1:13" x14ac:dyDescent="0.2">
      <c r="A418" t="s">
        <v>643</v>
      </c>
      <c r="B418" t="s">
        <v>644</v>
      </c>
      <c r="C418" s="1">
        <v>45950</v>
      </c>
      <c r="D418" t="s">
        <v>213</v>
      </c>
      <c r="E418" t="s">
        <v>14</v>
      </c>
      <c r="F418" t="s">
        <v>40</v>
      </c>
      <c r="G418" t="s">
        <v>16</v>
      </c>
      <c r="H418">
        <v>4</v>
      </c>
      <c r="I418">
        <v>130.62</v>
      </c>
      <c r="J418" t="s">
        <v>17</v>
      </c>
      <c r="K418" t="s">
        <v>21</v>
      </c>
      <c r="L418">
        <f>WEEKDAY(Table1[[#This Row],[Transaction_Date]],2)</f>
        <v>1</v>
      </c>
      <c r="M418">
        <f>IF(Table1[[#This Row],[Sale_Type]]="Buffet",1,0)</f>
        <v>0</v>
      </c>
    </row>
    <row r="419" spans="1:13" x14ac:dyDescent="0.2">
      <c r="A419" t="s">
        <v>645</v>
      </c>
      <c r="B419" t="s">
        <v>247</v>
      </c>
      <c r="C419" s="1">
        <v>45950</v>
      </c>
      <c r="D419" t="s">
        <v>213</v>
      </c>
      <c r="E419" t="s">
        <v>43</v>
      </c>
      <c r="F419" t="s">
        <v>44</v>
      </c>
      <c r="G419" t="s">
        <v>16</v>
      </c>
      <c r="H419">
        <v>3</v>
      </c>
      <c r="I419">
        <v>46.16</v>
      </c>
      <c r="J419" t="s">
        <v>17</v>
      </c>
      <c r="K419" t="s">
        <v>18</v>
      </c>
      <c r="L419">
        <f>WEEKDAY(Table1[[#This Row],[Transaction_Date]],2)</f>
        <v>1</v>
      </c>
      <c r="M419">
        <f>IF(Table1[[#This Row],[Sale_Type]]="Buffet",1,0)</f>
        <v>0</v>
      </c>
    </row>
    <row r="420" spans="1:13" x14ac:dyDescent="0.2">
      <c r="A420" t="s">
        <v>646</v>
      </c>
      <c r="B420" t="s">
        <v>647</v>
      </c>
      <c r="C420" s="1">
        <v>45950</v>
      </c>
      <c r="D420" t="s">
        <v>213</v>
      </c>
      <c r="E420" t="s">
        <v>43</v>
      </c>
      <c r="F420" t="s">
        <v>44</v>
      </c>
      <c r="G420" t="s">
        <v>16</v>
      </c>
      <c r="H420">
        <v>3</v>
      </c>
      <c r="I420">
        <v>55.34</v>
      </c>
      <c r="J420" t="s">
        <v>28</v>
      </c>
      <c r="K420" t="s">
        <v>21</v>
      </c>
      <c r="L420">
        <f>WEEKDAY(Table1[[#This Row],[Transaction_Date]],2)</f>
        <v>1</v>
      </c>
      <c r="M420">
        <f>IF(Table1[[#This Row],[Sale_Type]]="Buffet",1,0)</f>
        <v>0</v>
      </c>
    </row>
    <row r="421" spans="1:13" x14ac:dyDescent="0.2">
      <c r="A421" t="s">
        <v>648</v>
      </c>
      <c r="B421" t="s">
        <v>647</v>
      </c>
      <c r="C421" s="1">
        <v>45950</v>
      </c>
      <c r="D421" t="s">
        <v>213</v>
      </c>
      <c r="E421" t="s">
        <v>43</v>
      </c>
      <c r="F421" t="s">
        <v>44</v>
      </c>
      <c r="G421" t="s">
        <v>16</v>
      </c>
      <c r="H421">
        <v>1</v>
      </c>
      <c r="I421">
        <v>43.19</v>
      </c>
      <c r="J421" t="s">
        <v>34</v>
      </c>
      <c r="K421" t="s">
        <v>21</v>
      </c>
      <c r="L421">
        <f>WEEKDAY(Table1[[#This Row],[Transaction_Date]],2)</f>
        <v>1</v>
      </c>
      <c r="M421">
        <f>IF(Table1[[#This Row],[Sale_Type]]="Buffet",1,0)</f>
        <v>0</v>
      </c>
    </row>
    <row r="422" spans="1:13" x14ac:dyDescent="0.2">
      <c r="A422" t="s">
        <v>649</v>
      </c>
      <c r="B422" t="s">
        <v>180</v>
      </c>
      <c r="C422" s="1">
        <v>45950</v>
      </c>
      <c r="D422" t="s">
        <v>213</v>
      </c>
      <c r="E422" t="s">
        <v>43</v>
      </c>
      <c r="F422" t="s">
        <v>50</v>
      </c>
      <c r="G422" t="s">
        <v>16</v>
      </c>
      <c r="H422">
        <v>3</v>
      </c>
      <c r="I422">
        <v>43.56</v>
      </c>
      <c r="J422" t="s">
        <v>17</v>
      </c>
      <c r="K422" t="s">
        <v>21</v>
      </c>
      <c r="L422">
        <f>WEEKDAY(Table1[[#This Row],[Transaction_Date]],2)</f>
        <v>1</v>
      </c>
      <c r="M422">
        <f>IF(Table1[[#This Row],[Sale_Type]]="Buffet",1,0)</f>
        <v>0</v>
      </c>
    </row>
    <row r="423" spans="1:13" x14ac:dyDescent="0.2">
      <c r="A423" t="s">
        <v>650</v>
      </c>
      <c r="B423" t="s">
        <v>242</v>
      </c>
      <c r="C423" s="1">
        <v>45950</v>
      </c>
      <c r="D423" t="s">
        <v>213</v>
      </c>
      <c r="E423" t="s">
        <v>43</v>
      </c>
      <c r="F423" t="s">
        <v>53</v>
      </c>
      <c r="G423" t="s">
        <v>16</v>
      </c>
      <c r="H423">
        <v>2</v>
      </c>
      <c r="I423">
        <v>25.92</v>
      </c>
      <c r="J423" t="s">
        <v>17</v>
      </c>
      <c r="K423" t="s">
        <v>18</v>
      </c>
      <c r="L423">
        <f>WEEKDAY(Table1[[#This Row],[Transaction_Date]],2)</f>
        <v>1</v>
      </c>
      <c r="M423">
        <f>IF(Table1[[#This Row],[Sale_Type]]="Buffet",1,0)</f>
        <v>0</v>
      </c>
    </row>
    <row r="424" spans="1:13" x14ac:dyDescent="0.2">
      <c r="A424" t="s">
        <v>651</v>
      </c>
      <c r="B424" t="s">
        <v>652</v>
      </c>
      <c r="C424" s="1">
        <v>45950</v>
      </c>
      <c r="D424" t="s">
        <v>213</v>
      </c>
      <c r="E424" t="s">
        <v>43</v>
      </c>
      <c r="F424" t="s">
        <v>53</v>
      </c>
      <c r="G424" t="s">
        <v>16</v>
      </c>
      <c r="H424">
        <v>2</v>
      </c>
      <c r="I424">
        <v>56</v>
      </c>
      <c r="J424" t="s">
        <v>17</v>
      </c>
      <c r="K424" t="s">
        <v>21</v>
      </c>
      <c r="L424">
        <f>WEEKDAY(Table1[[#This Row],[Transaction_Date]],2)</f>
        <v>1</v>
      </c>
      <c r="M424">
        <f>IF(Table1[[#This Row],[Sale_Type]]="Buffet",1,0)</f>
        <v>0</v>
      </c>
    </row>
    <row r="425" spans="1:13" x14ac:dyDescent="0.2">
      <c r="A425" t="s">
        <v>653</v>
      </c>
      <c r="B425" t="s">
        <v>111</v>
      </c>
      <c r="C425" s="1">
        <v>45950</v>
      </c>
      <c r="D425" t="s">
        <v>213</v>
      </c>
      <c r="E425" t="s">
        <v>43</v>
      </c>
      <c r="F425" t="s">
        <v>57</v>
      </c>
      <c r="G425" t="s">
        <v>16</v>
      </c>
      <c r="H425">
        <v>2</v>
      </c>
      <c r="I425">
        <v>20.07</v>
      </c>
      <c r="J425" t="s">
        <v>28</v>
      </c>
      <c r="K425" t="s">
        <v>21</v>
      </c>
      <c r="L425">
        <f>WEEKDAY(Table1[[#This Row],[Transaction_Date]],2)</f>
        <v>1</v>
      </c>
      <c r="M425">
        <f>IF(Table1[[#This Row],[Sale_Type]]="Buffet",1,0)</f>
        <v>0</v>
      </c>
    </row>
    <row r="426" spans="1:13" x14ac:dyDescent="0.2">
      <c r="A426" t="s">
        <v>654</v>
      </c>
      <c r="B426" t="s">
        <v>70</v>
      </c>
      <c r="C426" s="1">
        <v>45951</v>
      </c>
      <c r="D426" t="s">
        <v>250</v>
      </c>
      <c r="E426" t="s">
        <v>14</v>
      </c>
      <c r="F426" t="s">
        <v>15</v>
      </c>
      <c r="G426" t="s">
        <v>16</v>
      </c>
      <c r="H426">
        <v>6</v>
      </c>
      <c r="I426">
        <v>324.63</v>
      </c>
      <c r="J426" t="s">
        <v>17</v>
      </c>
      <c r="K426" t="s">
        <v>18</v>
      </c>
      <c r="L426">
        <f>WEEKDAY(Table1[[#This Row],[Transaction_Date]],2)</f>
        <v>2</v>
      </c>
      <c r="M426">
        <f>IF(Table1[[#This Row],[Sale_Type]]="Buffet",1,0)</f>
        <v>0</v>
      </c>
    </row>
    <row r="427" spans="1:13" x14ac:dyDescent="0.2">
      <c r="A427" t="s">
        <v>655</v>
      </c>
      <c r="B427" t="s">
        <v>656</v>
      </c>
      <c r="C427" s="1">
        <v>45951</v>
      </c>
      <c r="D427" t="s">
        <v>250</v>
      </c>
      <c r="E427" t="s">
        <v>14</v>
      </c>
      <c r="F427" t="s">
        <v>15</v>
      </c>
      <c r="G427" t="s">
        <v>16</v>
      </c>
      <c r="H427">
        <v>7</v>
      </c>
      <c r="I427">
        <v>127.78</v>
      </c>
      <c r="J427" t="s">
        <v>34</v>
      </c>
      <c r="K427" t="s">
        <v>18</v>
      </c>
      <c r="L427">
        <f>WEEKDAY(Table1[[#This Row],[Transaction_Date]],2)</f>
        <v>2</v>
      </c>
      <c r="M427">
        <f>IF(Table1[[#This Row],[Sale_Type]]="Buffet",1,0)</f>
        <v>0</v>
      </c>
    </row>
    <row r="428" spans="1:13" x14ac:dyDescent="0.2">
      <c r="A428" t="s">
        <v>657</v>
      </c>
      <c r="B428" t="s">
        <v>658</v>
      </c>
      <c r="C428" s="1">
        <v>45951</v>
      </c>
      <c r="D428" t="s">
        <v>250</v>
      </c>
      <c r="E428" t="s">
        <v>14</v>
      </c>
      <c r="F428" t="s">
        <v>15</v>
      </c>
      <c r="G428" t="s">
        <v>16</v>
      </c>
      <c r="H428">
        <v>3</v>
      </c>
      <c r="I428">
        <v>147.27000000000001</v>
      </c>
      <c r="J428" t="s">
        <v>17</v>
      </c>
      <c r="K428" t="s">
        <v>21</v>
      </c>
      <c r="L428">
        <f>WEEKDAY(Table1[[#This Row],[Transaction_Date]],2)</f>
        <v>2</v>
      </c>
      <c r="M428">
        <f>IF(Table1[[#This Row],[Sale_Type]]="Buffet",1,0)</f>
        <v>0</v>
      </c>
    </row>
    <row r="429" spans="1:13" x14ac:dyDescent="0.2">
      <c r="A429" t="s">
        <v>659</v>
      </c>
      <c r="B429" t="s">
        <v>379</v>
      </c>
      <c r="C429" s="1">
        <v>45951</v>
      </c>
      <c r="D429" t="s">
        <v>250</v>
      </c>
      <c r="E429" t="s">
        <v>14</v>
      </c>
      <c r="F429" t="s">
        <v>15</v>
      </c>
      <c r="G429" t="s">
        <v>16</v>
      </c>
      <c r="H429">
        <v>6</v>
      </c>
      <c r="I429">
        <v>158.79</v>
      </c>
      <c r="J429" t="s">
        <v>17</v>
      </c>
      <c r="K429" t="s">
        <v>18</v>
      </c>
      <c r="L429">
        <f>WEEKDAY(Table1[[#This Row],[Transaction_Date]],2)</f>
        <v>2</v>
      </c>
      <c r="M429">
        <f>IF(Table1[[#This Row],[Sale_Type]]="Buffet",1,0)</f>
        <v>0</v>
      </c>
    </row>
    <row r="430" spans="1:13" x14ac:dyDescent="0.2">
      <c r="A430" t="s">
        <v>660</v>
      </c>
      <c r="B430" t="s">
        <v>89</v>
      </c>
      <c r="C430" s="1">
        <v>45951</v>
      </c>
      <c r="D430" t="s">
        <v>250</v>
      </c>
      <c r="E430" t="s">
        <v>14</v>
      </c>
      <c r="F430" t="s">
        <v>15</v>
      </c>
      <c r="G430" t="s">
        <v>16</v>
      </c>
      <c r="H430">
        <v>3</v>
      </c>
      <c r="I430">
        <v>61.36</v>
      </c>
      <c r="J430" t="s">
        <v>17</v>
      </c>
      <c r="K430" t="s">
        <v>21</v>
      </c>
      <c r="L430">
        <f>WEEKDAY(Table1[[#This Row],[Transaction_Date]],2)</f>
        <v>2</v>
      </c>
      <c r="M430">
        <f>IF(Table1[[#This Row],[Sale_Type]]="Buffet",1,0)</f>
        <v>0</v>
      </c>
    </row>
    <row r="431" spans="1:13" x14ac:dyDescent="0.2">
      <c r="A431" t="s">
        <v>661</v>
      </c>
      <c r="B431" t="s">
        <v>518</v>
      </c>
      <c r="C431" s="1">
        <v>45951</v>
      </c>
      <c r="D431" t="s">
        <v>250</v>
      </c>
      <c r="E431" t="s">
        <v>14</v>
      </c>
      <c r="F431" t="s">
        <v>24</v>
      </c>
      <c r="G431" t="s">
        <v>16</v>
      </c>
      <c r="H431">
        <v>3</v>
      </c>
      <c r="I431">
        <v>68.77</v>
      </c>
      <c r="J431" t="s">
        <v>17</v>
      </c>
      <c r="K431" t="s">
        <v>18</v>
      </c>
      <c r="L431">
        <f>WEEKDAY(Table1[[#This Row],[Transaction_Date]],2)</f>
        <v>2</v>
      </c>
      <c r="M431">
        <f>IF(Table1[[#This Row],[Sale_Type]]="Buffet",1,0)</f>
        <v>0</v>
      </c>
    </row>
    <row r="432" spans="1:13" x14ac:dyDescent="0.2">
      <c r="A432" t="s">
        <v>662</v>
      </c>
      <c r="B432" t="s">
        <v>663</v>
      </c>
      <c r="C432" s="1">
        <v>45951</v>
      </c>
      <c r="D432" t="s">
        <v>250</v>
      </c>
      <c r="E432" t="s">
        <v>14</v>
      </c>
      <c r="F432" t="s">
        <v>24</v>
      </c>
      <c r="G432" t="s">
        <v>16</v>
      </c>
      <c r="H432">
        <v>2</v>
      </c>
      <c r="I432">
        <v>36.799999999999997</v>
      </c>
      <c r="J432" t="s">
        <v>34</v>
      </c>
      <c r="K432" t="s">
        <v>18</v>
      </c>
      <c r="L432">
        <f>WEEKDAY(Table1[[#This Row],[Transaction_Date]],2)</f>
        <v>2</v>
      </c>
      <c r="M432">
        <f>IF(Table1[[#This Row],[Sale_Type]]="Buffet",1,0)</f>
        <v>0</v>
      </c>
    </row>
    <row r="433" spans="1:13" x14ac:dyDescent="0.2">
      <c r="A433" t="s">
        <v>664</v>
      </c>
      <c r="B433" t="s">
        <v>459</v>
      </c>
      <c r="C433" s="1">
        <v>45951</v>
      </c>
      <c r="D433" t="s">
        <v>250</v>
      </c>
      <c r="E433" t="s">
        <v>14</v>
      </c>
      <c r="F433" t="s">
        <v>24</v>
      </c>
      <c r="G433" t="s">
        <v>16</v>
      </c>
      <c r="H433">
        <v>1</v>
      </c>
      <c r="I433">
        <v>25.02</v>
      </c>
      <c r="J433" t="s">
        <v>17</v>
      </c>
      <c r="K433" t="s">
        <v>18</v>
      </c>
      <c r="L433">
        <f>WEEKDAY(Table1[[#This Row],[Transaction_Date]],2)</f>
        <v>2</v>
      </c>
      <c r="M433">
        <f>IF(Table1[[#This Row],[Sale_Type]]="Buffet",1,0)</f>
        <v>0</v>
      </c>
    </row>
    <row r="434" spans="1:13" x14ac:dyDescent="0.2">
      <c r="A434" t="s">
        <v>665</v>
      </c>
      <c r="B434" t="s">
        <v>584</v>
      </c>
      <c r="C434" s="1">
        <v>45951</v>
      </c>
      <c r="D434" t="s">
        <v>250</v>
      </c>
      <c r="E434" t="s">
        <v>14</v>
      </c>
      <c r="F434" t="s">
        <v>24</v>
      </c>
      <c r="G434" t="s">
        <v>16</v>
      </c>
      <c r="H434">
        <v>4</v>
      </c>
      <c r="I434">
        <v>92.68</v>
      </c>
      <c r="J434" t="s">
        <v>28</v>
      </c>
      <c r="K434" t="s">
        <v>21</v>
      </c>
      <c r="L434">
        <f>WEEKDAY(Table1[[#This Row],[Transaction_Date]],2)</f>
        <v>2</v>
      </c>
      <c r="M434">
        <f>IF(Table1[[#This Row],[Sale_Type]]="Buffet",1,0)</f>
        <v>0</v>
      </c>
    </row>
    <row r="435" spans="1:13" x14ac:dyDescent="0.2">
      <c r="A435" t="s">
        <v>666</v>
      </c>
      <c r="B435" t="s">
        <v>87</v>
      </c>
      <c r="C435" s="1">
        <v>45951</v>
      </c>
      <c r="D435" t="s">
        <v>250</v>
      </c>
      <c r="E435" t="s">
        <v>14</v>
      </c>
      <c r="F435" t="s">
        <v>27</v>
      </c>
      <c r="G435" t="s">
        <v>16</v>
      </c>
      <c r="H435">
        <v>2</v>
      </c>
      <c r="I435">
        <v>56.9</v>
      </c>
      <c r="J435" t="s">
        <v>28</v>
      </c>
      <c r="K435" t="s">
        <v>18</v>
      </c>
      <c r="L435">
        <f>WEEKDAY(Table1[[#This Row],[Transaction_Date]],2)</f>
        <v>2</v>
      </c>
      <c r="M435">
        <f>IF(Table1[[#This Row],[Sale_Type]]="Buffet",1,0)</f>
        <v>0</v>
      </c>
    </row>
    <row r="436" spans="1:13" x14ac:dyDescent="0.2">
      <c r="A436" t="s">
        <v>667</v>
      </c>
      <c r="B436" t="s">
        <v>597</v>
      </c>
      <c r="C436" s="1">
        <v>45951</v>
      </c>
      <c r="D436" t="s">
        <v>250</v>
      </c>
      <c r="E436" t="s">
        <v>14</v>
      </c>
      <c r="F436" t="s">
        <v>27</v>
      </c>
      <c r="G436" t="s">
        <v>16</v>
      </c>
      <c r="H436">
        <v>4</v>
      </c>
      <c r="I436">
        <v>208.26</v>
      </c>
      <c r="J436" t="s">
        <v>17</v>
      </c>
      <c r="K436" t="s">
        <v>18</v>
      </c>
      <c r="L436">
        <f>WEEKDAY(Table1[[#This Row],[Transaction_Date]],2)</f>
        <v>2</v>
      </c>
      <c r="M436">
        <f>IF(Table1[[#This Row],[Sale_Type]]="Buffet",1,0)</f>
        <v>0</v>
      </c>
    </row>
    <row r="437" spans="1:13" x14ac:dyDescent="0.2">
      <c r="A437" t="s">
        <v>668</v>
      </c>
      <c r="B437" t="s">
        <v>47</v>
      </c>
      <c r="C437" s="1">
        <v>45951</v>
      </c>
      <c r="D437" t="s">
        <v>250</v>
      </c>
      <c r="E437" t="s">
        <v>14</v>
      </c>
      <c r="F437" t="s">
        <v>27</v>
      </c>
      <c r="G437" t="s">
        <v>16</v>
      </c>
      <c r="H437">
        <v>5</v>
      </c>
      <c r="I437">
        <v>108.26</v>
      </c>
      <c r="J437" t="s">
        <v>17</v>
      </c>
      <c r="K437" t="s">
        <v>21</v>
      </c>
      <c r="L437">
        <f>WEEKDAY(Table1[[#This Row],[Transaction_Date]],2)</f>
        <v>2</v>
      </c>
      <c r="M437">
        <f>IF(Table1[[#This Row],[Sale_Type]]="Buffet",1,0)</f>
        <v>0</v>
      </c>
    </row>
    <row r="438" spans="1:13" x14ac:dyDescent="0.2">
      <c r="A438" t="s">
        <v>669</v>
      </c>
      <c r="B438" t="s">
        <v>390</v>
      </c>
      <c r="C438" s="1">
        <v>45951</v>
      </c>
      <c r="D438" t="s">
        <v>250</v>
      </c>
      <c r="E438" t="s">
        <v>14</v>
      </c>
      <c r="F438" t="s">
        <v>27</v>
      </c>
      <c r="G438" t="s">
        <v>16</v>
      </c>
      <c r="H438">
        <v>3</v>
      </c>
      <c r="I438">
        <v>73.78</v>
      </c>
      <c r="J438" t="s">
        <v>17</v>
      </c>
      <c r="K438" t="s">
        <v>21</v>
      </c>
      <c r="L438">
        <f>WEEKDAY(Table1[[#This Row],[Transaction_Date]],2)</f>
        <v>2</v>
      </c>
      <c r="M438">
        <f>IF(Table1[[#This Row],[Sale_Type]]="Buffet",1,0)</f>
        <v>0</v>
      </c>
    </row>
    <row r="439" spans="1:13" x14ac:dyDescent="0.2">
      <c r="A439" t="s">
        <v>670</v>
      </c>
      <c r="B439" t="s">
        <v>323</v>
      </c>
      <c r="C439" s="1">
        <v>45951</v>
      </c>
      <c r="D439" t="s">
        <v>250</v>
      </c>
      <c r="E439" t="s">
        <v>14</v>
      </c>
      <c r="F439" t="s">
        <v>27</v>
      </c>
      <c r="G439" t="s">
        <v>16</v>
      </c>
      <c r="H439">
        <v>2</v>
      </c>
      <c r="I439">
        <v>50.41</v>
      </c>
      <c r="J439" t="s">
        <v>17</v>
      </c>
      <c r="K439" t="s">
        <v>18</v>
      </c>
      <c r="L439">
        <f>WEEKDAY(Table1[[#This Row],[Transaction_Date]],2)</f>
        <v>2</v>
      </c>
      <c r="M439">
        <f>IF(Table1[[#This Row],[Sale_Type]]="Buffet",1,0)</f>
        <v>0</v>
      </c>
    </row>
    <row r="440" spans="1:13" x14ac:dyDescent="0.2">
      <c r="A440" t="s">
        <v>671</v>
      </c>
      <c r="B440" t="s">
        <v>152</v>
      </c>
      <c r="C440" s="1">
        <v>45951</v>
      </c>
      <c r="D440" t="s">
        <v>250</v>
      </c>
      <c r="E440" t="s">
        <v>14</v>
      </c>
      <c r="F440" t="s">
        <v>27</v>
      </c>
      <c r="G440" t="s">
        <v>16</v>
      </c>
      <c r="H440">
        <v>2</v>
      </c>
      <c r="I440">
        <v>51.7</v>
      </c>
      <c r="J440" t="s">
        <v>17</v>
      </c>
      <c r="K440" t="s">
        <v>18</v>
      </c>
      <c r="L440">
        <f>WEEKDAY(Table1[[#This Row],[Transaction_Date]],2)</f>
        <v>2</v>
      </c>
      <c r="M440">
        <f>IF(Table1[[#This Row],[Sale_Type]]="Buffet",1,0)</f>
        <v>0</v>
      </c>
    </row>
    <row r="441" spans="1:13" x14ac:dyDescent="0.2">
      <c r="A441" t="s">
        <v>672</v>
      </c>
      <c r="B441" t="s">
        <v>295</v>
      </c>
      <c r="C441" s="1">
        <v>45951</v>
      </c>
      <c r="D441" t="s">
        <v>250</v>
      </c>
      <c r="E441" t="s">
        <v>14</v>
      </c>
      <c r="F441" t="s">
        <v>31</v>
      </c>
      <c r="G441" t="s">
        <v>16</v>
      </c>
      <c r="H441">
        <v>1</v>
      </c>
      <c r="I441">
        <v>22.1</v>
      </c>
      <c r="J441" t="s">
        <v>17</v>
      </c>
      <c r="K441" t="s">
        <v>21</v>
      </c>
      <c r="L441">
        <f>WEEKDAY(Table1[[#This Row],[Transaction_Date]],2)</f>
        <v>2</v>
      </c>
      <c r="M441">
        <f>IF(Table1[[#This Row],[Sale_Type]]="Buffet",1,0)</f>
        <v>0</v>
      </c>
    </row>
    <row r="442" spans="1:13" x14ac:dyDescent="0.2">
      <c r="A442" t="s">
        <v>673</v>
      </c>
      <c r="B442" t="s">
        <v>293</v>
      </c>
      <c r="C442" s="1">
        <v>45951</v>
      </c>
      <c r="D442" t="s">
        <v>250</v>
      </c>
      <c r="E442" t="s">
        <v>14</v>
      </c>
      <c r="F442" t="s">
        <v>31</v>
      </c>
      <c r="G442" t="s">
        <v>16</v>
      </c>
      <c r="H442">
        <v>2</v>
      </c>
      <c r="I442">
        <v>27.52</v>
      </c>
      <c r="J442" t="s">
        <v>17</v>
      </c>
      <c r="K442" t="s">
        <v>18</v>
      </c>
      <c r="L442">
        <f>WEEKDAY(Table1[[#This Row],[Transaction_Date]],2)</f>
        <v>2</v>
      </c>
      <c r="M442">
        <f>IF(Table1[[#This Row],[Sale_Type]]="Buffet",1,0)</f>
        <v>0</v>
      </c>
    </row>
    <row r="443" spans="1:13" x14ac:dyDescent="0.2">
      <c r="A443" t="s">
        <v>674</v>
      </c>
      <c r="B443" t="s">
        <v>346</v>
      </c>
      <c r="C443" s="1">
        <v>45951</v>
      </c>
      <c r="D443" t="s">
        <v>250</v>
      </c>
      <c r="E443" t="s">
        <v>14</v>
      </c>
      <c r="F443" t="s">
        <v>31</v>
      </c>
      <c r="G443" t="s">
        <v>16</v>
      </c>
      <c r="H443">
        <v>4</v>
      </c>
      <c r="I443">
        <v>133.47</v>
      </c>
      <c r="J443" t="s">
        <v>17</v>
      </c>
      <c r="K443" t="s">
        <v>18</v>
      </c>
      <c r="L443">
        <f>WEEKDAY(Table1[[#This Row],[Transaction_Date]],2)</f>
        <v>2</v>
      </c>
      <c r="M443">
        <f>IF(Table1[[#This Row],[Sale_Type]]="Buffet",1,0)</f>
        <v>0</v>
      </c>
    </row>
    <row r="444" spans="1:13" x14ac:dyDescent="0.2">
      <c r="A444" t="s">
        <v>675</v>
      </c>
      <c r="B444" t="s">
        <v>238</v>
      </c>
      <c r="C444" s="1">
        <v>45951</v>
      </c>
      <c r="D444" t="s">
        <v>250</v>
      </c>
      <c r="E444" t="s">
        <v>14</v>
      </c>
      <c r="F444" t="s">
        <v>31</v>
      </c>
      <c r="G444" t="s">
        <v>16</v>
      </c>
      <c r="H444">
        <v>2</v>
      </c>
      <c r="I444">
        <v>36.01</v>
      </c>
      <c r="J444" t="s">
        <v>17</v>
      </c>
      <c r="K444" t="s">
        <v>18</v>
      </c>
      <c r="L444">
        <f>WEEKDAY(Table1[[#This Row],[Transaction_Date]],2)</f>
        <v>2</v>
      </c>
      <c r="M444">
        <f>IF(Table1[[#This Row],[Sale_Type]]="Buffet",1,0)</f>
        <v>0</v>
      </c>
    </row>
    <row r="445" spans="1:13" x14ac:dyDescent="0.2">
      <c r="A445" t="s">
        <v>676</v>
      </c>
      <c r="B445" t="s">
        <v>518</v>
      </c>
      <c r="C445" s="1">
        <v>45951</v>
      </c>
      <c r="D445" t="s">
        <v>250</v>
      </c>
      <c r="E445" t="s">
        <v>14</v>
      </c>
      <c r="F445" t="s">
        <v>31</v>
      </c>
      <c r="G445" t="s">
        <v>16</v>
      </c>
      <c r="H445">
        <v>5</v>
      </c>
      <c r="I445">
        <v>123.55</v>
      </c>
      <c r="J445" t="s">
        <v>17</v>
      </c>
      <c r="K445" t="s">
        <v>18</v>
      </c>
      <c r="L445">
        <f>WEEKDAY(Table1[[#This Row],[Transaction_Date]],2)</f>
        <v>2</v>
      </c>
      <c r="M445">
        <f>IF(Table1[[#This Row],[Sale_Type]]="Buffet",1,0)</f>
        <v>0</v>
      </c>
    </row>
    <row r="446" spans="1:13" x14ac:dyDescent="0.2">
      <c r="A446" t="s">
        <v>677</v>
      </c>
      <c r="B446" t="s">
        <v>678</v>
      </c>
      <c r="C446" s="1">
        <v>45951</v>
      </c>
      <c r="D446" t="s">
        <v>250</v>
      </c>
      <c r="E446" t="s">
        <v>14</v>
      </c>
      <c r="F446" t="s">
        <v>40</v>
      </c>
      <c r="G446" t="s">
        <v>16</v>
      </c>
      <c r="H446">
        <v>2</v>
      </c>
      <c r="I446">
        <v>68.66</v>
      </c>
      <c r="J446" t="s">
        <v>28</v>
      </c>
      <c r="K446" t="s">
        <v>21</v>
      </c>
      <c r="L446">
        <f>WEEKDAY(Table1[[#This Row],[Transaction_Date]],2)</f>
        <v>2</v>
      </c>
      <c r="M446">
        <f>IF(Table1[[#This Row],[Sale_Type]]="Buffet",1,0)</f>
        <v>0</v>
      </c>
    </row>
    <row r="447" spans="1:13" x14ac:dyDescent="0.2">
      <c r="A447" t="s">
        <v>679</v>
      </c>
      <c r="B447" t="s">
        <v>315</v>
      </c>
      <c r="C447" s="1">
        <v>45951</v>
      </c>
      <c r="D447" t="s">
        <v>250</v>
      </c>
      <c r="E447" t="s">
        <v>14</v>
      </c>
      <c r="F447" t="s">
        <v>40</v>
      </c>
      <c r="G447" t="s">
        <v>16</v>
      </c>
      <c r="H447">
        <v>3</v>
      </c>
      <c r="I447">
        <v>92.84</v>
      </c>
      <c r="J447" t="s">
        <v>17</v>
      </c>
      <c r="K447" t="s">
        <v>18</v>
      </c>
      <c r="L447">
        <f>WEEKDAY(Table1[[#This Row],[Transaction_Date]],2)</f>
        <v>2</v>
      </c>
      <c r="M447">
        <f>IF(Table1[[#This Row],[Sale_Type]]="Buffet",1,0)</f>
        <v>0</v>
      </c>
    </row>
    <row r="448" spans="1:13" x14ac:dyDescent="0.2">
      <c r="A448" t="s">
        <v>680</v>
      </c>
      <c r="B448" t="s">
        <v>228</v>
      </c>
      <c r="C448" s="1">
        <v>45951</v>
      </c>
      <c r="D448" t="s">
        <v>250</v>
      </c>
      <c r="E448" t="s">
        <v>14</v>
      </c>
      <c r="F448" t="s">
        <v>40</v>
      </c>
      <c r="G448" t="s">
        <v>16</v>
      </c>
      <c r="H448">
        <v>2</v>
      </c>
      <c r="I448">
        <v>63.34</v>
      </c>
      <c r="J448" t="s">
        <v>17</v>
      </c>
      <c r="K448" t="s">
        <v>21</v>
      </c>
      <c r="L448">
        <f>WEEKDAY(Table1[[#This Row],[Transaction_Date]],2)</f>
        <v>2</v>
      </c>
      <c r="M448">
        <f>IF(Table1[[#This Row],[Sale_Type]]="Buffet",1,0)</f>
        <v>0</v>
      </c>
    </row>
    <row r="449" spans="1:13" x14ac:dyDescent="0.2">
      <c r="A449" t="s">
        <v>681</v>
      </c>
      <c r="B449" t="s">
        <v>682</v>
      </c>
      <c r="C449" s="1">
        <v>45951</v>
      </c>
      <c r="D449" t="s">
        <v>250</v>
      </c>
      <c r="E449" t="s">
        <v>14</v>
      </c>
      <c r="F449" t="s">
        <v>40</v>
      </c>
      <c r="G449" t="s">
        <v>16</v>
      </c>
      <c r="H449">
        <v>2</v>
      </c>
      <c r="I449">
        <v>30.19</v>
      </c>
      <c r="J449" t="s">
        <v>34</v>
      </c>
      <c r="K449" t="s">
        <v>18</v>
      </c>
      <c r="L449">
        <f>WEEKDAY(Table1[[#This Row],[Transaction_Date]],2)</f>
        <v>2</v>
      </c>
      <c r="M449">
        <f>IF(Table1[[#This Row],[Sale_Type]]="Buffet",1,0)</f>
        <v>0</v>
      </c>
    </row>
    <row r="450" spans="1:13" x14ac:dyDescent="0.2">
      <c r="A450" t="s">
        <v>683</v>
      </c>
      <c r="B450" t="s">
        <v>684</v>
      </c>
      <c r="C450" s="1">
        <v>45951</v>
      </c>
      <c r="D450" t="s">
        <v>250</v>
      </c>
      <c r="E450" t="s">
        <v>43</v>
      </c>
      <c r="F450" t="s">
        <v>44</v>
      </c>
      <c r="G450" t="s">
        <v>16</v>
      </c>
      <c r="H450">
        <v>3</v>
      </c>
      <c r="I450">
        <v>49.15</v>
      </c>
      <c r="J450" t="s">
        <v>17</v>
      </c>
      <c r="K450" t="s">
        <v>18</v>
      </c>
      <c r="L450">
        <f>WEEKDAY(Table1[[#This Row],[Transaction_Date]],2)</f>
        <v>2</v>
      </c>
      <c r="M450">
        <f>IF(Table1[[#This Row],[Sale_Type]]="Buffet",1,0)</f>
        <v>0</v>
      </c>
    </row>
    <row r="451" spans="1:13" x14ac:dyDescent="0.2">
      <c r="A451" t="s">
        <v>685</v>
      </c>
      <c r="B451" t="s">
        <v>379</v>
      </c>
      <c r="C451" s="1">
        <v>45951</v>
      </c>
      <c r="D451" t="s">
        <v>250</v>
      </c>
      <c r="E451" t="s">
        <v>43</v>
      </c>
      <c r="F451" t="s">
        <v>44</v>
      </c>
      <c r="G451" t="s">
        <v>16</v>
      </c>
      <c r="H451">
        <v>6</v>
      </c>
      <c r="I451">
        <v>86.38</v>
      </c>
      <c r="J451" t="s">
        <v>28</v>
      </c>
      <c r="K451" t="s">
        <v>18</v>
      </c>
      <c r="L451">
        <f>WEEKDAY(Table1[[#This Row],[Transaction_Date]],2)</f>
        <v>2</v>
      </c>
      <c r="M451">
        <f>IF(Table1[[#This Row],[Sale_Type]]="Buffet",1,0)</f>
        <v>0</v>
      </c>
    </row>
    <row r="452" spans="1:13" x14ac:dyDescent="0.2">
      <c r="A452" t="s">
        <v>686</v>
      </c>
      <c r="B452" t="s">
        <v>185</v>
      </c>
      <c r="C452" s="1">
        <v>45951</v>
      </c>
      <c r="D452" t="s">
        <v>250</v>
      </c>
      <c r="E452" t="s">
        <v>43</v>
      </c>
      <c r="F452" t="s">
        <v>50</v>
      </c>
      <c r="G452" t="s">
        <v>16</v>
      </c>
      <c r="H452">
        <v>3</v>
      </c>
      <c r="I452">
        <v>70.75</v>
      </c>
      <c r="J452" t="s">
        <v>34</v>
      </c>
      <c r="K452" t="s">
        <v>21</v>
      </c>
      <c r="L452">
        <f>WEEKDAY(Table1[[#This Row],[Transaction_Date]],2)</f>
        <v>2</v>
      </c>
      <c r="M452">
        <f>IF(Table1[[#This Row],[Sale_Type]]="Buffet",1,0)</f>
        <v>0</v>
      </c>
    </row>
    <row r="453" spans="1:13" x14ac:dyDescent="0.2">
      <c r="A453" t="s">
        <v>687</v>
      </c>
      <c r="B453" t="s">
        <v>109</v>
      </c>
      <c r="C453" s="1">
        <v>45951</v>
      </c>
      <c r="D453" t="s">
        <v>250</v>
      </c>
      <c r="E453" t="s">
        <v>43</v>
      </c>
      <c r="F453" t="s">
        <v>53</v>
      </c>
      <c r="G453" t="s">
        <v>16</v>
      </c>
      <c r="H453">
        <v>3</v>
      </c>
      <c r="I453">
        <v>51.98</v>
      </c>
      <c r="J453" t="s">
        <v>17</v>
      </c>
      <c r="K453" t="s">
        <v>18</v>
      </c>
      <c r="L453">
        <f>WEEKDAY(Table1[[#This Row],[Transaction_Date]],2)</f>
        <v>2</v>
      </c>
      <c r="M453">
        <f>IF(Table1[[#This Row],[Sale_Type]]="Buffet",1,0)</f>
        <v>0</v>
      </c>
    </row>
    <row r="454" spans="1:13" x14ac:dyDescent="0.2">
      <c r="A454" t="s">
        <v>688</v>
      </c>
      <c r="B454" t="s">
        <v>231</v>
      </c>
      <c r="C454" s="1">
        <v>45951</v>
      </c>
      <c r="D454" t="s">
        <v>250</v>
      </c>
      <c r="E454" t="s">
        <v>43</v>
      </c>
      <c r="F454" t="s">
        <v>53</v>
      </c>
      <c r="G454" t="s">
        <v>16</v>
      </c>
      <c r="H454">
        <v>3</v>
      </c>
      <c r="I454">
        <v>77.239999999999995</v>
      </c>
      <c r="J454" t="s">
        <v>17</v>
      </c>
      <c r="K454" t="s">
        <v>21</v>
      </c>
      <c r="L454">
        <f>WEEKDAY(Table1[[#This Row],[Transaction_Date]],2)</f>
        <v>2</v>
      </c>
      <c r="M454">
        <f>IF(Table1[[#This Row],[Sale_Type]]="Buffet",1,0)</f>
        <v>0</v>
      </c>
    </row>
    <row r="455" spans="1:13" x14ac:dyDescent="0.2">
      <c r="A455" t="s">
        <v>689</v>
      </c>
      <c r="B455" t="s">
        <v>404</v>
      </c>
      <c r="C455" s="1">
        <v>45951</v>
      </c>
      <c r="D455" t="s">
        <v>250</v>
      </c>
      <c r="E455" t="s">
        <v>43</v>
      </c>
      <c r="F455" t="s">
        <v>57</v>
      </c>
      <c r="G455" t="s">
        <v>16</v>
      </c>
      <c r="H455">
        <v>3</v>
      </c>
      <c r="I455">
        <v>51.92</v>
      </c>
      <c r="J455" t="s">
        <v>17</v>
      </c>
      <c r="K455" t="s">
        <v>18</v>
      </c>
      <c r="L455">
        <f>WEEKDAY(Table1[[#This Row],[Transaction_Date]],2)</f>
        <v>2</v>
      </c>
      <c r="M455">
        <f>IF(Table1[[#This Row],[Sale_Type]]="Buffet",1,0)</f>
        <v>0</v>
      </c>
    </row>
    <row r="456" spans="1:13" x14ac:dyDescent="0.2">
      <c r="A456" t="s">
        <v>690</v>
      </c>
      <c r="B456" t="s">
        <v>647</v>
      </c>
      <c r="C456" s="1">
        <v>45951</v>
      </c>
      <c r="D456" t="s">
        <v>250</v>
      </c>
      <c r="E456" t="s">
        <v>43</v>
      </c>
      <c r="F456" t="s">
        <v>57</v>
      </c>
      <c r="G456" t="s">
        <v>16</v>
      </c>
      <c r="H456">
        <v>4</v>
      </c>
      <c r="I456">
        <v>57.35</v>
      </c>
      <c r="J456" t="s">
        <v>17</v>
      </c>
      <c r="K456" t="s">
        <v>18</v>
      </c>
      <c r="L456">
        <f>WEEKDAY(Table1[[#This Row],[Transaction_Date]],2)</f>
        <v>2</v>
      </c>
      <c r="M456">
        <f>IF(Table1[[#This Row],[Sale_Type]]="Buffet",1,0)</f>
        <v>0</v>
      </c>
    </row>
    <row r="457" spans="1:13" x14ac:dyDescent="0.2">
      <c r="A457" t="s">
        <v>691</v>
      </c>
      <c r="B457" t="s">
        <v>678</v>
      </c>
      <c r="C457" s="1">
        <v>45951</v>
      </c>
      <c r="D457" t="s">
        <v>250</v>
      </c>
      <c r="E457" t="s">
        <v>43</v>
      </c>
      <c r="F457" t="s">
        <v>57</v>
      </c>
      <c r="G457" t="s">
        <v>16</v>
      </c>
      <c r="H457">
        <v>3</v>
      </c>
      <c r="I457">
        <v>70.31</v>
      </c>
      <c r="J457" t="s">
        <v>34</v>
      </c>
      <c r="K457" t="s">
        <v>21</v>
      </c>
      <c r="L457">
        <f>WEEKDAY(Table1[[#This Row],[Transaction_Date]],2)</f>
        <v>2</v>
      </c>
      <c r="M457">
        <f>IF(Table1[[#This Row],[Sale_Type]]="Buffet",1,0)</f>
        <v>0</v>
      </c>
    </row>
    <row r="458" spans="1:13" x14ac:dyDescent="0.2">
      <c r="A458" t="s">
        <v>692</v>
      </c>
      <c r="B458" t="s">
        <v>64</v>
      </c>
      <c r="C458" s="1">
        <v>45952</v>
      </c>
      <c r="D458" t="s">
        <v>13</v>
      </c>
      <c r="E458" t="s">
        <v>14</v>
      </c>
      <c r="F458" t="s">
        <v>15</v>
      </c>
      <c r="G458" t="s">
        <v>16</v>
      </c>
      <c r="H458">
        <v>4</v>
      </c>
      <c r="I458">
        <v>156.69999999999999</v>
      </c>
      <c r="J458" t="s">
        <v>17</v>
      </c>
      <c r="K458" t="s">
        <v>18</v>
      </c>
      <c r="L458">
        <f>WEEKDAY(Table1[[#This Row],[Transaction_Date]],2)</f>
        <v>3</v>
      </c>
      <c r="M458">
        <f>IF(Table1[[#This Row],[Sale_Type]]="Buffet",1,0)</f>
        <v>0</v>
      </c>
    </row>
    <row r="459" spans="1:13" x14ac:dyDescent="0.2">
      <c r="A459" t="s">
        <v>693</v>
      </c>
      <c r="B459" t="s">
        <v>254</v>
      </c>
      <c r="C459" s="1">
        <v>45952</v>
      </c>
      <c r="D459" t="s">
        <v>13</v>
      </c>
      <c r="E459" t="s">
        <v>14</v>
      </c>
      <c r="F459" t="s">
        <v>24</v>
      </c>
      <c r="G459" t="s">
        <v>16</v>
      </c>
      <c r="H459">
        <v>4</v>
      </c>
      <c r="I459">
        <v>153.4</v>
      </c>
      <c r="J459" t="s">
        <v>28</v>
      </c>
      <c r="K459" t="s">
        <v>21</v>
      </c>
      <c r="L459">
        <f>WEEKDAY(Table1[[#This Row],[Transaction_Date]],2)</f>
        <v>3</v>
      </c>
      <c r="M459">
        <f>IF(Table1[[#This Row],[Sale_Type]]="Buffet",1,0)</f>
        <v>0</v>
      </c>
    </row>
    <row r="460" spans="1:13" x14ac:dyDescent="0.2">
      <c r="A460" t="s">
        <v>694</v>
      </c>
      <c r="B460" t="s">
        <v>584</v>
      </c>
      <c r="C460" s="1">
        <v>45952</v>
      </c>
      <c r="D460" t="s">
        <v>13</v>
      </c>
      <c r="E460" t="s">
        <v>14</v>
      </c>
      <c r="F460" t="s">
        <v>27</v>
      </c>
      <c r="G460" t="s">
        <v>16</v>
      </c>
      <c r="H460">
        <v>3</v>
      </c>
      <c r="I460">
        <v>72.989999999999995</v>
      </c>
      <c r="J460" t="s">
        <v>17</v>
      </c>
      <c r="K460" t="s">
        <v>18</v>
      </c>
      <c r="L460">
        <f>WEEKDAY(Table1[[#This Row],[Transaction_Date]],2)</f>
        <v>3</v>
      </c>
      <c r="M460">
        <f>IF(Table1[[#This Row],[Sale_Type]]="Buffet",1,0)</f>
        <v>0</v>
      </c>
    </row>
    <row r="461" spans="1:13" x14ac:dyDescent="0.2">
      <c r="A461" t="s">
        <v>695</v>
      </c>
      <c r="B461" t="s">
        <v>208</v>
      </c>
      <c r="C461" s="1">
        <v>45952</v>
      </c>
      <c r="D461" t="s">
        <v>13</v>
      </c>
      <c r="E461" t="s">
        <v>14</v>
      </c>
      <c r="F461" t="s">
        <v>27</v>
      </c>
      <c r="G461" t="s">
        <v>16</v>
      </c>
      <c r="H461">
        <v>3</v>
      </c>
      <c r="I461">
        <v>67.77</v>
      </c>
      <c r="J461" t="s">
        <v>34</v>
      </c>
      <c r="K461" t="s">
        <v>21</v>
      </c>
      <c r="L461">
        <f>WEEKDAY(Table1[[#This Row],[Transaction_Date]],2)</f>
        <v>3</v>
      </c>
      <c r="M461">
        <f>IF(Table1[[#This Row],[Sale_Type]]="Buffet",1,0)</f>
        <v>0</v>
      </c>
    </row>
    <row r="462" spans="1:13" x14ac:dyDescent="0.2">
      <c r="A462" t="s">
        <v>696</v>
      </c>
      <c r="B462" t="s">
        <v>59</v>
      </c>
      <c r="C462" s="1">
        <v>45952</v>
      </c>
      <c r="D462" t="s">
        <v>13</v>
      </c>
      <c r="E462" t="s">
        <v>14</v>
      </c>
      <c r="F462" t="s">
        <v>31</v>
      </c>
      <c r="G462" t="s">
        <v>16</v>
      </c>
      <c r="H462">
        <v>2</v>
      </c>
      <c r="I462">
        <v>60.43</v>
      </c>
      <c r="J462" t="s">
        <v>17</v>
      </c>
      <c r="K462" t="s">
        <v>18</v>
      </c>
      <c r="L462">
        <f>WEEKDAY(Table1[[#This Row],[Transaction_Date]],2)</f>
        <v>3</v>
      </c>
      <c r="M462">
        <f>IF(Table1[[#This Row],[Sale_Type]]="Buffet",1,0)</f>
        <v>0</v>
      </c>
    </row>
    <row r="463" spans="1:13" x14ac:dyDescent="0.2">
      <c r="A463" t="s">
        <v>697</v>
      </c>
      <c r="B463" t="s">
        <v>135</v>
      </c>
      <c r="C463" s="1">
        <v>45952</v>
      </c>
      <c r="D463" t="s">
        <v>13</v>
      </c>
      <c r="E463" t="s">
        <v>14</v>
      </c>
      <c r="F463" t="s">
        <v>40</v>
      </c>
      <c r="G463" t="s">
        <v>16</v>
      </c>
      <c r="H463">
        <v>4</v>
      </c>
      <c r="I463">
        <v>81.95</v>
      </c>
      <c r="J463" t="s">
        <v>17</v>
      </c>
      <c r="K463" t="s">
        <v>18</v>
      </c>
      <c r="L463">
        <f>WEEKDAY(Table1[[#This Row],[Transaction_Date]],2)</f>
        <v>3</v>
      </c>
      <c r="M463">
        <f>IF(Table1[[#This Row],[Sale_Type]]="Buffet",1,0)</f>
        <v>0</v>
      </c>
    </row>
    <row r="464" spans="1:13" x14ac:dyDescent="0.2">
      <c r="A464" t="s">
        <v>698</v>
      </c>
      <c r="B464" t="s">
        <v>699</v>
      </c>
      <c r="C464" s="1">
        <v>45952</v>
      </c>
      <c r="D464" t="s">
        <v>13</v>
      </c>
      <c r="E464" t="s">
        <v>14</v>
      </c>
      <c r="F464" t="s">
        <v>40</v>
      </c>
      <c r="G464" t="s">
        <v>16</v>
      </c>
      <c r="H464">
        <v>2</v>
      </c>
      <c r="I464">
        <v>46.57</v>
      </c>
      <c r="J464" t="s">
        <v>17</v>
      </c>
      <c r="K464" t="s">
        <v>18</v>
      </c>
      <c r="L464">
        <f>WEEKDAY(Table1[[#This Row],[Transaction_Date]],2)</f>
        <v>3</v>
      </c>
      <c r="M464">
        <f>IF(Table1[[#This Row],[Sale_Type]]="Buffet",1,0)</f>
        <v>0</v>
      </c>
    </row>
    <row r="465" spans="1:13" x14ac:dyDescent="0.2">
      <c r="A465" t="s">
        <v>700</v>
      </c>
      <c r="B465" t="s">
        <v>356</v>
      </c>
      <c r="C465" s="1">
        <v>45952</v>
      </c>
      <c r="D465" t="s">
        <v>13</v>
      </c>
      <c r="E465" t="s">
        <v>43</v>
      </c>
      <c r="F465" t="s">
        <v>44</v>
      </c>
      <c r="G465" t="s">
        <v>45</v>
      </c>
      <c r="H465">
        <v>2</v>
      </c>
      <c r="I465">
        <v>40</v>
      </c>
      <c r="J465" t="s">
        <v>17</v>
      </c>
      <c r="K465" t="s">
        <v>21</v>
      </c>
      <c r="L465">
        <f>WEEKDAY(Table1[[#This Row],[Transaction_Date]],2)</f>
        <v>3</v>
      </c>
      <c r="M465">
        <f>IF(Table1[[#This Row],[Sale_Type]]="Buffet",1,0)</f>
        <v>1</v>
      </c>
    </row>
    <row r="466" spans="1:13" x14ac:dyDescent="0.2">
      <c r="A466" t="s">
        <v>701</v>
      </c>
      <c r="B466" t="s">
        <v>89</v>
      </c>
      <c r="C466" s="1">
        <v>45952</v>
      </c>
      <c r="D466" t="s">
        <v>13</v>
      </c>
      <c r="E466" t="s">
        <v>43</v>
      </c>
      <c r="F466" t="s">
        <v>44</v>
      </c>
      <c r="G466" t="s">
        <v>16</v>
      </c>
      <c r="H466">
        <v>3</v>
      </c>
      <c r="I466">
        <v>100.77</v>
      </c>
      <c r="J466" t="s">
        <v>17</v>
      </c>
      <c r="K466" t="s">
        <v>18</v>
      </c>
      <c r="L466">
        <f>WEEKDAY(Table1[[#This Row],[Transaction_Date]],2)</f>
        <v>3</v>
      </c>
      <c r="M466">
        <f>IF(Table1[[#This Row],[Sale_Type]]="Buffet",1,0)</f>
        <v>0</v>
      </c>
    </row>
    <row r="467" spans="1:13" x14ac:dyDescent="0.2">
      <c r="A467" t="s">
        <v>702</v>
      </c>
      <c r="B467" t="s">
        <v>133</v>
      </c>
      <c r="C467" s="1">
        <v>45952</v>
      </c>
      <c r="D467" t="s">
        <v>13</v>
      </c>
      <c r="E467" t="s">
        <v>43</v>
      </c>
      <c r="F467" t="s">
        <v>50</v>
      </c>
      <c r="G467" t="s">
        <v>45</v>
      </c>
      <c r="H467">
        <v>2</v>
      </c>
      <c r="I467">
        <v>40</v>
      </c>
      <c r="J467" t="s">
        <v>17</v>
      </c>
      <c r="K467" t="s">
        <v>18</v>
      </c>
      <c r="L467">
        <f>WEEKDAY(Table1[[#This Row],[Transaction_Date]],2)</f>
        <v>3</v>
      </c>
      <c r="M467">
        <f>IF(Table1[[#This Row],[Sale_Type]]="Buffet",1,0)</f>
        <v>1</v>
      </c>
    </row>
    <row r="468" spans="1:13" x14ac:dyDescent="0.2">
      <c r="A468" t="s">
        <v>703</v>
      </c>
      <c r="B468" t="s">
        <v>704</v>
      </c>
      <c r="C468" s="1">
        <v>45952</v>
      </c>
      <c r="D468" t="s">
        <v>13</v>
      </c>
      <c r="E468" t="s">
        <v>43</v>
      </c>
      <c r="F468" t="s">
        <v>50</v>
      </c>
      <c r="G468" t="s">
        <v>16</v>
      </c>
      <c r="H468">
        <v>3</v>
      </c>
      <c r="I468">
        <v>57.39</v>
      </c>
      <c r="J468" t="s">
        <v>28</v>
      </c>
      <c r="K468" t="s">
        <v>18</v>
      </c>
      <c r="L468">
        <f>WEEKDAY(Table1[[#This Row],[Transaction_Date]],2)</f>
        <v>3</v>
      </c>
      <c r="M468">
        <f>IF(Table1[[#This Row],[Sale_Type]]="Buffet",1,0)</f>
        <v>0</v>
      </c>
    </row>
    <row r="469" spans="1:13" x14ac:dyDescent="0.2">
      <c r="A469" t="s">
        <v>705</v>
      </c>
      <c r="B469" t="s">
        <v>180</v>
      </c>
      <c r="C469" s="1">
        <v>45952</v>
      </c>
      <c r="D469" t="s">
        <v>13</v>
      </c>
      <c r="E469" t="s">
        <v>43</v>
      </c>
      <c r="F469" t="s">
        <v>53</v>
      </c>
      <c r="G469" t="s">
        <v>45</v>
      </c>
      <c r="H469">
        <v>3</v>
      </c>
      <c r="I469">
        <v>64.5</v>
      </c>
      <c r="J469" t="s">
        <v>28</v>
      </c>
      <c r="K469" t="s">
        <v>18</v>
      </c>
      <c r="L469">
        <f>WEEKDAY(Table1[[#This Row],[Transaction_Date]],2)</f>
        <v>3</v>
      </c>
      <c r="M469">
        <f>IF(Table1[[#This Row],[Sale_Type]]="Buffet",1,0)</f>
        <v>1</v>
      </c>
    </row>
    <row r="470" spans="1:13" x14ac:dyDescent="0.2">
      <c r="A470" t="s">
        <v>706</v>
      </c>
      <c r="B470" t="s">
        <v>98</v>
      </c>
      <c r="C470" s="1">
        <v>45953</v>
      </c>
      <c r="D470" t="s">
        <v>62</v>
      </c>
      <c r="E470" t="s">
        <v>14</v>
      </c>
      <c r="F470" t="s">
        <v>15</v>
      </c>
      <c r="G470" t="s">
        <v>16</v>
      </c>
      <c r="H470">
        <v>3</v>
      </c>
      <c r="I470">
        <v>76.72</v>
      </c>
      <c r="J470" t="s">
        <v>28</v>
      </c>
      <c r="K470" t="s">
        <v>18</v>
      </c>
      <c r="L470">
        <f>WEEKDAY(Table1[[#This Row],[Transaction_Date]],2)</f>
        <v>4</v>
      </c>
      <c r="M470">
        <f>IF(Table1[[#This Row],[Sale_Type]]="Buffet",1,0)</f>
        <v>0</v>
      </c>
    </row>
    <row r="471" spans="1:13" x14ac:dyDescent="0.2">
      <c r="A471" t="s">
        <v>707</v>
      </c>
      <c r="B471" t="s">
        <v>144</v>
      </c>
      <c r="C471" s="1">
        <v>45953</v>
      </c>
      <c r="D471" t="s">
        <v>62</v>
      </c>
      <c r="E471" t="s">
        <v>14</v>
      </c>
      <c r="F471" t="s">
        <v>15</v>
      </c>
      <c r="G471" t="s">
        <v>16</v>
      </c>
      <c r="H471">
        <v>3</v>
      </c>
      <c r="I471">
        <v>71.12</v>
      </c>
      <c r="J471" t="s">
        <v>17</v>
      </c>
      <c r="K471" t="s">
        <v>18</v>
      </c>
      <c r="L471">
        <f>WEEKDAY(Table1[[#This Row],[Transaction_Date]],2)</f>
        <v>4</v>
      </c>
      <c r="M471">
        <f>IF(Table1[[#This Row],[Sale_Type]]="Buffet",1,0)</f>
        <v>0</v>
      </c>
    </row>
    <row r="472" spans="1:13" x14ac:dyDescent="0.2">
      <c r="A472" t="s">
        <v>708</v>
      </c>
      <c r="B472" t="s">
        <v>480</v>
      </c>
      <c r="C472" s="1">
        <v>45953</v>
      </c>
      <c r="D472" t="s">
        <v>62</v>
      </c>
      <c r="E472" t="s">
        <v>14</v>
      </c>
      <c r="F472" t="s">
        <v>15</v>
      </c>
      <c r="G472" t="s">
        <v>16</v>
      </c>
      <c r="H472">
        <v>4</v>
      </c>
      <c r="I472">
        <v>192.95</v>
      </c>
      <c r="J472" t="s">
        <v>28</v>
      </c>
      <c r="K472" t="s">
        <v>18</v>
      </c>
      <c r="L472">
        <f>WEEKDAY(Table1[[#This Row],[Transaction_Date]],2)</f>
        <v>4</v>
      </c>
      <c r="M472">
        <f>IF(Table1[[#This Row],[Sale_Type]]="Buffet",1,0)</f>
        <v>0</v>
      </c>
    </row>
    <row r="473" spans="1:13" x14ac:dyDescent="0.2">
      <c r="A473" t="s">
        <v>709</v>
      </c>
      <c r="B473" t="s">
        <v>146</v>
      </c>
      <c r="C473" s="1">
        <v>45953</v>
      </c>
      <c r="D473" t="s">
        <v>62</v>
      </c>
      <c r="E473" t="s">
        <v>14</v>
      </c>
      <c r="F473" t="s">
        <v>15</v>
      </c>
      <c r="G473" t="s">
        <v>16</v>
      </c>
      <c r="H473">
        <v>2</v>
      </c>
      <c r="I473">
        <v>62.02</v>
      </c>
      <c r="J473" t="s">
        <v>28</v>
      </c>
      <c r="K473" t="s">
        <v>18</v>
      </c>
      <c r="L473">
        <f>WEEKDAY(Table1[[#This Row],[Transaction_Date]],2)</f>
        <v>4</v>
      </c>
      <c r="M473">
        <f>IF(Table1[[#This Row],[Sale_Type]]="Buffet",1,0)</f>
        <v>0</v>
      </c>
    </row>
    <row r="474" spans="1:13" x14ac:dyDescent="0.2">
      <c r="A474" t="s">
        <v>710</v>
      </c>
      <c r="B474" t="s">
        <v>704</v>
      </c>
      <c r="C474" s="1">
        <v>45953</v>
      </c>
      <c r="D474" t="s">
        <v>62</v>
      </c>
      <c r="E474" t="s">
        <v>14</v>
      </c>
      <c r="F474" t="s">
        <v>15</v>
      </c>
      <c r="G474" t="s">
        <v>16</v>
      </c>
      <c r="H474">
        <v>1</v>
      </c>
      <c r="I474">
        <v>19.079999999999998</v>
      </c>
      <c r="J474" t="s">
        <v>17</v>
      </c>
      <c r="K474" t="s">
        <v>18</v>
      </c>
      <c r="L474">
        <f>WEEKDAY(Table1[[#This Row],[Transaction_Date]],2)</f>
        <v>4</v>
      </c>
      <c r="M474">
        <f>IF(Table1[[#This Row],[Sale_Type]]="Buffet",1,0)</f>
        <v>0</v>
      </c>
    </row>
    <row r="475" spans="1:13" x14ac:dyDescent="0.2">
      <c r="A475" t="s">
        <v>711</v>
      </c>
      <c r="B475" t="s">
        <v>194</v>
      </c>
      <c r="C475" s="1">
        <v>45953</v>
      </c>
      <c r="D475" t="s">
        <v>62</v>
      </c>
      <c r="E475" t="s">
        <v>14</v>
      </c>
      <c r="F475" t="s">
        <v>31</v>
      </c>
      <c r="G475" t="s">
        <v>16</v>
      </c>
      <c r="H475">
        <v>3</v>
      </c>
      <c r="I475">
        <v>65.790000000000006</v>
      </c>
      <c r="J475" t="s">
        <v>17</v>
      </c>
      <c r="K475" t="s">
        <v>18</v>
      </c>
      <c r="L475">
        <f>WEEKDAY(Table1[[#This Row],[Transaction_Date]],2)</f>
        <v>4</v>
      </c>
      <c r="M475">
        <f>IF(Table1[[#This Row],[Sale_Type]]="Buffet",1,0)</f>
        <v>0</v>
      </c>
    </row>
    <row r="476" spans="1:13" x14ac:dyDescent="0.2">
      <c r="A476" t="s">
        <v>712</v>
      </c>
      <c r="B476" t="s">
        <v>165</v>
      </c>
      <c r="C476" s="1">
        <v>45953</v>
      </c>
      <c r="D476" t="s">
        <v>62</v>
      </c>
      <c r="E476" t="s">
        <v>14</v>
      </c>
      <c r="F476" t="s">
        <v>31</v>
      </c>
      <c r="G476" t="s">
        <v>16</v>
      </c>
      <c r="H476">
        <v>3</v>
      </c>
      <c r="I476">
        <v>46.06</v>
      </c>
      <c r="J476" t="s">
        <v>17</v>
      </c>
      <c r="K476" t="s">
        <v>21</v>
      </c>
      <c r="L476">
        <f>WEEKDAY(Table1[[#This Row],[Transaction_Date]],2)</f>
        <v>4</v>
      </c>
      <c r="M476">
        <f>IF(Table1[[#This Row],[Sale_Type]]="Buffet",1,0)</f>
        <v>0</v>
      </c>
    </row>
    <row r="477" spans="1:13" x14ac:dyDescent="0.2">
      <c r="A477" t="s">
        <v>713</v>
      </c>
      <c r="B477" t="s">
        <v>154</v>
      </c>
      <c r="C477" s="1">
        <v>45953</v>
      </c>
      <c r="D477" t="s">
        <v>62</v>
      </c>
      <c r="E477" t="s">
        <v>14</v>
      </c>
      <c r="F477" t="s">
        <v>40</v>
      </c>
      <c r="G477" t="s">
        <v>16</v>
      </c>
      <c r="H477">
        <v>3</v>
      </c>
      <c r="I477">
        <v>61.84</v>
      </c>
      <c r="J477" t="s">
        <v>17</v>
      </c>
      <c r="K477" t="s">
        <v>18</v>
      </c>
      <c r="L477">
        <f>WEEKDAY(Table1[[#This Row],[Transaction_Date]],2)</f>
        <v>4</v>
      </c>
      <c r="M477">
        <f>IF(Table1[[#This Row],[Sale_Type]]="Buffet",1,0)</f>
        <v>0</v>
      </c>
    </row>
    <row r="478" spans="1:13" x14ac:dyDescent="0.2">
      <c r="A478" t="s">
        <v>714</v>
      </c>
      <c r="B478" t="s">
        <v>415</v>
      </c>
      <c r="C478" s="1">
        <v>45953</v>
      </c>
      <c r="D478" t="s">
        <v>62</v>
      </c>
      <c r="E478" t="s">
        <v>14</v>
      </c>
      <c r="F478" t="s">
        <v>40</v>
      </c>
      <c r="G478" t="s">
        <v>16</v>
      </c>
      <c r="H478">
        <v>4</v>
      </c>
      <c r="I478">
        <v>73.56</v>
      </c>
      <c r="J478" t="s">
        <v>17</v>
      </c>
      <c r="K478" t="s">
        <v>18</v>
      </c>
      <c r="L478">
        <f>WEEKDAY(Table1[[#This Row],[Transaction_Date]],2)</f>
        <v>4</v>
      </c>
      <c r="M478">
        <f>IF(Table1[[#This Row],[Sale_Type]]="Buffet",1,0)</f>
        <v>0</v>
      </c>
    </row>
    <row r="479" spans="1:13" x14ac:dyDescent="0.2">
      <c r="A479" t="s">
        <v>715</v>
      </c>
      <c r="B479" t="s">
        <v>346</v>
      </c>
      <c r="C479" s="1">
        <v>45953</v>
      </c>
      <c r="D479" t="s">
        <v>62</v>
      </c>
      <c r="E479" t="s">
        <v>14</v>
      </c>
      <c r="F479" t="s">
        <v>40</v>
      </c>
      <c r="G479" t="s">
        <v>16</v>
      </c>
      <c r="H479">
        <v>2</v>
      </c>
      <c r="I479">
        <v>124.9</v>
      </c>
      <c r="J479" t="s">
        <v>17</v>
      </c>
      <c r="K479" t="s">
        <v>21</v>
      </c>
      <c r="L479">
        <f>WEEKDAY(Table1[[#This Row],[Transaction_Date]],2)</f>
        <v>4</v>
      </c>
      <c r="M479">
        <f>IF(Table1[[#This Row],[Sale_Type]]="Buffet",1,0)</f>
        <v>0</v>
      </c>
    </row>
    <row r="480" spans="1:13" x14ac:dyDescent="0.2">
      <c r="A480" t="s">
        <v>716</v>
      </c>
      <c r="B480" t="s">
        <v>242</v>
      </c>
      <c r="C480" s="1">
        <v>45953</v>
      </c>
      <c r="D480" t="s">
        <v>62</v>
      </c>
      <c r="E480" t="s">
        <v>43</v>
      </c>
      <c r="F480" t="s">
        <v>44</v>
      </c>
      <c r="G480" t="s">
        <v>45</v>
      </c>
      <c r="H480">
        <v>2</v>
      </c>
      <c r="I480">
        <v>40</v>
      </c>
      <c r="J480" t="s">
        <v>34</v>
      </c>
      <c r="K480" t="s">
        <v>21</v>
      </c>
      <c r="L480">
        <f>WEEKDAY(Table1[[#This Row],[Transaction_Date]],2)</f>
        <v>4</v>
      </c>
      <c r="M480">
        <f>IF(Table1[[#This Row],[Sale_Type]]="Buffet",1,0)</f>
        <v>1</v>
      </c>
    </row>
    <row r="481" spans="1:13" x14ac:dyDescent="0.2">
      <c r="A481" t="s">
        <v>717</v>
      </c>
      <c r="B481" t="s">
        <v>26</v>
      </c>
      <c r="C481" s="1">
        <v>45953</v>
      </c>
      <c r="D481" t="s">
        <v>62</v>
      </c>
      <c r="E481" t="s">
        <v>43</v>
      </c>
      <c r="F481" t="s">
        <v>44</v>
      </c>
      <c r="G481" t="s">
        <v>16</v>
      </c>
      <c r="H481">
        <v>3</v>
      </c>
      <c r="I481">
        <v>64.13</v>
      </c>
      <c r="J481" t="s">
        <v>17</v>
      </c>
      <c r="K481" t="s">
        <v>21</v>
      </c>
      <c r="L481">
        <f>WEEKDAY(Table1[[#This Row],[Transaction_Date]],2)</f>
        <v>4</v>
      </c>
      <c r="M481">
        <f>IF(Table1[[#This Row],[Sale_Type]]="Buffet",1,0)</f>
        <v>0</v>
      </c>
    </row>
    <row r="482" spans="1:13" x14ac:dyDescent="0.2">
      <c r="A482" t="s">
        <v>718</v>
      </c>
      <c r="B482" t="s">
        <v>74</v>
      </c>
      <c r="C482" s="1">
        <v>45953</v>
      </c>
      <c r="D482" t="s">
        <v>62</v>
      </c>
      <c r="E482" t="s">
        <v>43</v>
      </c>
      <c r="F482" t="s">
        <v>44</v>
      </c>
      <c r="G482" t="s">
        <v>16</v>
      </c>
      <c r="H482">
        <v>2</v>
      </c>
      <c r="I482">
        <v>27.83</v>
      </c>
      <c r="J482" t="s">
        <v>17</v>
      </c>
      <c r="K482" t="s">
        <v>18</v>
      </c>
      <c r="L482">
        <f>WEEKDAY(Table1[[#This Row],[Transaction_Date]],2)</f>
        <v>4</v>
      </c>
      <c r="M482">
        <f>IF(Table1[[#This Row],[Sale_Type]]="Buffet",1,0)</f>
        <v>0</v>
      </c>
    </row>
    <row r="483" spans="1:13" x14ac:dyDescent="0.2">
      <c r="A483" t="s">
        <v>719</v>
      </c>
      <c r="B483" t="s">
        <v>148</v>
      </c>
      <c r="C483" s="1">
        <v>45953</v>
      </c>
      <c r="D483" t="s">
        <v>62</v>
      </c>
      <c r="E483" t="s">
        <v>43</v>
      </c>
      <c r="F483" t="s">
        <v>44</v>
      </c>
      <c r="G483" t="s">
        <v>45</v>
      </c>
      <c r="H483">
        <v>4</v>
      </c>
      <c r="I483">
        <v>84.5</v>
      </c>
      <c r="J483" t="s">
        <v>28</v>
      </c>
      <c r="K483" t="s">
        <v>18</v>
      </c>
      <c r="L483">
        <f>WEEKDAY(Table1[[#This Row],[Transaction_Date]],2)</f>
        <v>4</v>
      </c>
      <c r="M483">
        <f>IF(Table1[[#This Row],[Sale_Type]]="Buffet",1,0)</f>
        <v>1</v>
      </c>
    </row>
    <row r="484" spans="1:13" x14ac:dyDescent="0.2">
      <c r="A484" t="s">
        <v>720</v>
      </c>
      <c r="B484" t="s">
        <v>678</v>
      </c>
      <c r="C484" s="1">
        <v>45953</v>
      </c>
      <c r="D484" t="s">
        <v>62</v>
      </c>
      <c r="E484" t="s">
        <v>43</v>
      </c>
      <c r="F484" t="s">
        <v>50</v>
      </c>
      <c r="G484" t="s">
        <v>45</v>
      </c>
      <c r="H484">
        <v>4</v>
      </c>
      <c r="I484">
        <v>89</v>
      </c>
      <c r="J484" t="s">
        <v>17</v>
      </c>
      <c r="K484" t="s">
        <v>18</v>
      </c>
      <c r="L484">
        <f>WEEKDAY(Table1[[#This Row],[Transaction_Date]],2)</f>
        <v>4</v>
      </c>
      <c r="M484">
        <f>IF(Table1[[#This Row],[Sale_Type]]="Buffet",1,0)</f>
        <v>1</v>
      </c>
    </row>
    <row r="485" spans="1:13" x14ac:dyDescent="0.2">
      <c r="A485" t="s">
        <v>721</v>
      </c>
      <c r="B485" t="s">
        <v>356</v>
      </c>
      <c r="C485" s="1">
        <v>45953</v>
      </c>
      <c r="D485" t="s">
        <v>62</v>
      </c>
      <c r="E485" t="s">
        <v>43</v>
      </c>
      <c r="F485" t="s">
        <v>53</v>
      </c>
      <c r="G485" t="s">
        <v>16</v>
      </c>
      <c r="H485">
        <v>1</v>
      </c>
      <c r="I485">
        <v>10.9</v>
      </c>
      <c r="J485" t="s">
        <v>34</v>
      </c>
      <c r="K485" t="s">
        <v>18</v>
      </c>
      <c r="L485">
        <f>WEEKDAY(Table1[[#This Row],[Transaction_Date]],2)</f>
        <v>4</v>
      </c>
      <c r="M485">
        <f>IF(Table1[[#This Row],[Sale_Type]]="Buffet",1,0)</f>
        <v>0</v>
      </c>
    </row>
    <row r="486" spans="1:13" x14ac:dyDescent="0.2">
      <c r="A486" t="s">
        <v>722</v>
      </c>
      <c r="B486" t="s">
        <v>480</v>
      </c>
      <c r="C486" s="1">
        <v>45953</v>
      </c>
      <c r="D486" t="s">
        <v>62</v>
      </c>
      <c r="E486" t="s">
        <v>43</v>
      </c>
      <c r="F486" t="s">
        <v>53</v>
      </c>
      <c r="G486" t="s">
        <v>45</v>
      </c>
      <c r="H486">
        <v>3</v>
      </c>
      <c r="I486">
        <v>64.5</v>
      </c>
      <c r="J486" t="s">
        <v>17</v>
      </c>
      <c r="K486" t="s">
        <v>18</v>
      </c>
      <c r="L486">
        <f>WEEKDAY(Table1[[#This Row],[Transaction_Date]],2)</f>
        <v>4</v>
      </c>
      <c r="M486">
        <f>IF(Table1[[#This Row],[Sale_Type]]="Buffet",1,0)</f>
        <v>1</v>
      </c>
    </row>
    <row r="487" spans="1:13" x14ac:dyDescent="0.2">
      <c r="A487" t="s">
        <v>723</v>
      </c>
      <c r="B487" t="s">
        <v>542</v>
      </c>
      <c r="C487" s="1">
        <v>45953</v>
      </c>
      <c r="D487" t="s">
        <v>62</v>
      </c>
      <c r="E487" t="s">
        <v>43</v>
      </c>
      <c r="F487" t="s">
        <v>53</v>
      </c>
      <c r="G487" t="s">
        <v>45</v>
      </c>
      <c r="H487">
        <v>5</v>
      </c>
      <c r="I487">
        <v>104.5</v>
      </c>
      <c r="J487" t="s">
        <v>17</v>
      </c>
      <c r="K487" t="s">
        <v>18</v>
      </c>
      <c r="L487">
        <f>WEEKDAY(Table1[[#This Row],[Transaction_Date]],2)</f>
        <v>4</v>
      </c>
      <c r="M487">
        <f>IF(Table1[[#This Row],[Sale_Type]]="Buffet",1,0)</f>
        <v>1</v>
      </c>
    </row>
    <row r="488" spans="1:13" x14ac:dyDescent="0.2">
      <c r="A488" t="s">
        <v>724</v>
      </c>
      <c r="B488" t="s">
        <v>725</v>
      </c>
      <c r="C488" s="1">
        <v>45953</v>
      </c>
      <c r="D488" t="s">
        <v>62</v>
      </c>
      <c r="E488" t="s">
        <v>43</v>
      </c>
      <c r="F488" t="s">
        <v>53</v>
      </c>
      <c r="G488" t="s">
        <v>45</v>
      </c>
      <c r="H488">
        <v>6</v>
      </c>
      <c r="I488">
        <v>133.5</v>
      </c>
      <c r="J488" t="s">
        <v>17</v>
      </c>
      <c r="K488" t="s">
        <v>21</v>
      </c>
      <c r="L488">
        <f>WEEKDAY(Table1[[#This Row],[Transaction_Date]],2)</f>
        <v>4</v>
      </c>
      <c r="M488">
        <f>IF(Table1[[#This Row],[Sale_Type]]="Buffet",1,0)</f>
        <v>1</v>
      </c>
    </row>
    <row r="489" spans="1:13" x14ac:dyDescent="0.2">
      <c r="A489" t="s">
        <v>726</v>
      </c>
      <c r="B489" t="s">
        <v>658</v>
      </c>
      <c r="C489" s="1">
        <v>45953</v>
      </c>
      <c r="D489" t="s">
        <v>62</v>
      </c>
      <c r="E489" t="s">
        <v>43</v>
      </c>
      <c r="F489" t="s">
        <v>53</v>
      </c>
      <c r="G489" t="s">
        <v>45</v>
      </c>
      <c r="H489">
        <v>3</v>
      </c>
      <c r="I489">
        <v>64.5</v>
      </c>
      <c r="J489" t="s">
        <v>28</v>
      </c>
      <c r="K489" t="s">
        <v>18</v>
      </c>
      <c r="L489">
        <f>WEEKDAY(Table1[[#This Row],[Transaction_Date]],2)</f>
        <v>4</v>
      </c>
      <c r="M489">
        <f>IF(Table1[[#This Row],[Sale_Type]]="Buffet",1,0)</f>
        <v>1</v>
      </c>
    </row>
    <row r="490" spans="1:13" x14ac:dyDescent="0.2">
      <c r="A490" t="s">
        <v>727</v>
      </c>
      <c r="B490" t="s">
        <v>356</v>
      </c>
      <c r="C490" s="1">
        <v>45953</v>
      </c>
      <c r="D490" t="s">
        <v>62</v>
      </c>
      <c r="E490" t="s">
        <v>43</v>
      </c>
      <c r="F490" t="s">
        <v>57</v>
      </c>
      <c r="G490" t="s">
        <v>16</v>
      </c>
      <c r="H490">
        <v>2</v>
      </c>
      <c r="I490">
        <v>67.98</v>
      </c>
      <c r="J490" t="s">
        <v>17</v>
      </c>
      <c r="K490" t="s">
        <v>21</v>
      </c>
      <c r="L490">
        <f>WEEKDAY(Table1[[#This Row],[Transaction_Date]],2)</f>
        <v>4</v>
      </c>
      <c r="M490">
        <f>IF(Table1[[#This Row],[Sale_Type]]="Buffet",1,0)</f>
        <v>0</v>
      </c>
    </row>
    <row r="491" spans="1:13" x14ac:dyDescent="0.2">
      <c r="A491" t="s">
        <v>728</v>
      </c>
      <c r="B491" t="s">
        <v>202</v>
      </c>
      <c r="C491" s="1">
        <v>45953</v>
      </c>
      <c r="D491" t="s">
        <v>62</v>
      </c>
      <c r="E491" t="s">
        <v>43</v>
      </c>
      <c r="F491" t="s">
        <v>57</v>
      </c>
      <c r="G491" t="s">
        <v>45</v>
      </c>
      <c r="H491">
        <v>5</v>
      </c>
      <c r="I491">
        <v>113.5</v>
      </c>
      <c r="J491" t="s">
        <v>34</v>
      </c>
      <c r="K491" t="s">
        <v>21</v>
      </c>
      <c r="L491">
        <f>WEEKDAY(Table1[[#This Row],[Transaction_Date]],2)</f>
        <v>4</v>
      </c>
      <c r="M491">
        <f>IF(Table1[[#This Row],[Sale_Type]]="Buffet",1,0)</f>
        <v>1</v>
      </c>
    </row>
    <row r="492" spans="1:13" x14ac:dyDescent="0.2">
      <c r="A492" t="s">
        <v>729</v>
      </c>
      <c r="B492" t="s">
        <v>730</v>
      </c>
      <c r="C492" s="1">
        <v>45954</v>
      </c>
      <c r="D492" t="s">
        <v>96</v>
      </c>
      <c r="E492" t="s">
        <v>14</v>
      </c>
      <c r="F492" t="s">
        <v>15</v>
      </c>
      <c r="G492" t="s">
        <v>16</v>
      </c>
      <c r="H492">
        <v>1</v>
      </c>
      <c r="I492">
        <v>30.48</v>
      </c>
      <c r="J492" t="s">
        <v>34</v>
      </c>
      <c r="K492" t="s">
        <v>18</v>
      </c>
      <c r="L492">
        <f>WEEKDAY(Table1[[#This Row],[Transaction_Date]],2)</f>
        <v>5</v>
      </c>
      <c r="M492">
        <f>IF(Table1[[#This Row],[Sale_Type]]="Buffet",1,0)</f>
        <v>0</v>
      </c>
    </row>
    <row r="493" spans="1:13" x14ac:dyDescent="0.2">
      <c r="A493" t="s">
        <v>731</v>
      </c>
      <c r="B493" t="s">
        <v>624</v>
      </c>
      <c r="C493" s="1">
        <v>45954</v>
      </c>
      <c r="D493" t="s">
        <v>96</v>
      </c>
      <c r="E493" t="s">
        <v>14</v>
      </c>
      <c r="F493" t="s">
        <v>24</v>
      </c>
      <c r="G493" t="s">
        <v>16</v>
      </c>
      <c r="H493">
        <v>4</v>
      </c>
      <c r="I493">
        <v>215.32</v>
      </c>
      <c r="J493" t="s">
        <v>17</v>
      </c>
      <c r="K493" t="s">
        <v>21</v>
      </c>
      <c r="L493">
        <f>WEEKDAY(Table1[[#This Row],[Transaction_Date]],2)</f>
        <v>5</v>
      </c>
      <c r="M493">
        <f>IF(Table1[[#This Row],[Sale_Type]]="Buffet",1,0)</f>
        <v>0</v>
      </c>
    </row>
    <row r="494" spans="1:13" x14ac:dyDescent="0.2">
      <c r="A494" t="s">
        <v>732</v>
      </c>
      <c r="B494" t="s">
        <v>733</v>
      </c>
      <c r="C494" s="1">
        <v>45954</v>
      </c>
      <c r="D494" t="s">
        <v>96</v>
      </c>
      <c r="E494" t="s">
        <v>14</v>
      </c>
      <c r="F494" t="s">
        <v>27</v>
      </c>
      <c r="G494" t="s">
        <v>16</v>
      </c>
      <c r="H494">
        <v>1</v>
      </c>
      <c r="I494">
        <v>36.33</v>
      </c>
      <c r="J494" t="s">
        <v>34</v>
      </c>
      <c r="K494" t="s">
        <v>18</v>
      </c>
      <c r="L494">
        <f>WEEKDAY(Table1[[#This Row],[Transaction_Date]],2)</f>
        <v>5</v>
      </c>
      <c r="M494">
        <f>IF(Table1[[#This Row],[Sale_Type]]="Buffet",1,0)</f>
        <v>0</v>
      </c>
    </row>
    <row r="495" spans="1:13" x14ac:dyDescent="0.2">
      <c r="A495" t="s">
        <v>734</v>
      </c>
      <c r="B495" t="s">
        <v>233</v>
      </c>
      <c r="C495" s="1">
        <v>45954</v>
      </c>
      <c r="D495" t="s">
        <v>96</v>
      </c>
      <c r="E495" t="s">
        <v>14</v>
      </c>
      <c r="F495" t="s">
        <v>27</v>
      </c>
      <c r="G495" t="s">
        <v>16</v>
      </c>
      <c r="H495">
        <v>3</v>
      </c>
      <c r="I495">
        <v>45.83</v>
      </c>
      <c r="J495" t="s">
        <v>28</v>
      </c>
      <c r="K495" t="s">
        <v>21</v>
      </c>
      <c r="L495">
        <f>WEEKDAY(Table1[[#This Row],[Transaction_Date]],2)</f>
        <v>5</v>
      </c>
      <c r="M495">
        <f>IF(Table1[[#This Row],[Sale_Type]]="Buffet",1,0)</f>
        <v>0</v>
      </c>
    </row>
    <row r="496" spans="1:13" x14ac:dyDescent="0.2">
      <c r="A496" t="s">
        <v>735</v>
      </c>
      <c r="B496" t="s">
        <v>480</v>
      </c>
      <c r="C496" s="1">
        <v>45954</v>
      </c>
      <c r="D496" t="s">
        <v>96</v>
      </c>
      <c r="E496" t="s">
        <v>43</v>
      </c>
      <c r="F496" t="s">
        <v>50</v>
      </c>
      <c r="G496" t="s">
        <v>45</v>
      </c>
      <c r="H496">
        <v>1</v>
      </c>
      <c r="I496">
        <v>20</v>
      </c>
      <c r="J496" t="s">
        <v>17</v>
      </c>
      <c r="K496" t="s">
        <v>18</v>
      </c>
      <c r="L496">
        <f>WEEKDAY(Table1[[#This Row],[Transaction_Date]],2)</f>
        <v>5</v>
      </c>
      <c r="M496">
        <f>IF(Table1[[#This Row],[Sale_Type]]="Buffet",1,0)</f>
        <v>1</v>
      </c>
    </row>
    <row r="497" spans="1:13" x14ac:dyDescent="0.2">
      <c r="A497" t="s">
        <v>736</v>
      </c>
      <c r="B497" t="s">
        <v>737</v>
      </c>
      <c r="C497" s="1">
        <v>45954</v>
      </c>
      <c r="D497" t="s">
        <v>96</v>
      </c>
      <c r="E497" t="s">
        <v>43</v>
      </c>
      <c r="F497" t="s">
        <v>50</v>
      </c>
      <c r="G497" t="s">
        <v>16</v>
      </c>
      <c r="H497">
        <v>1</v>
      </c>
      <c r="I497">
        <v>15.45</v>
      </c>
      <c r="J497" t="s">
        <v>17</v>
      </c>
      <c r="K497" t="s">
        <v>18</v>
      </c>
      <c r="L497">
        <f>WEEKDAY(Table1[[#This Row],[Transaction_Date]],2)</f>
        <v>5</v>
      </c>
      <c r="M497">
        <f>IF(Table1[[#This Row],[Sale_Type]]="Buffet",1,0)</f>
        <v>0</v>
      </c>
    </row>
    <row r="498" spans="1:13" x14ac:dyDescent="0.2">
      <c r="A498" t="s">
        <v>738</v>
      </c>
      <c r="B498" t="s">
        <v>581</v>
      </c>
      <c r="C498" s="1">
        <v>45954</v>
      </c>
      <c r="D498" t="s">
        <v>96</v>
      </c>
      <c r="E498" t="s">
        <v>43</v>
      </c>
      <c r="F498" t="s">
        <v>53</v>
      </c>
      <c r="G498" t="s">
        <v>16</v>
      </c>
      <c r="H498">
        <v>3</v>
      </c>
      <c r="I498">
        <v>50.42</v>
      </c>
      <c r="J498" t="s">
        <v>17</v>
      </c>
      <c r="K498" t="s">
        <v>18</v>
      </c>
      <c r="L498">
        <f>WEEKDAY(Table1[[#This Row],[Transaction_Date]],2)</f>
        <v>5</v>
      </c>
      <c r="M498">
        <f>IF(Table1[[#This Row],[Sale_Type]]="Buffet",1,0)</f>
        <v>0</v>
      </c>
    </row>
    <row r="499" spans="1:13" x14ac:dyDescent="0.2">
      <c r="A499" t="s">
        <v>739</v>
      </c>
      <c r="B499" t="s">
        <v>740</v>
      </c>
      <c r="C499" s="1">
        <v>45954</v>
      </c>
      <c r="D499" t="s">
        <v>96</v>
      </c>
      <c r="E499" t="s">
        <v>43</v>
      </c>
      <c r="F499" t="s">
        <v>53</v>
      </c>
      <c r="G499" t="s">
        <v>45</v>
      </c>
      <c r="H499">
        <v>3</v>
      </c>
      <c r="I499">
        <v>64.5</v>
      </c>
      <c r="J499" t="s">
        <v>28</v>
      </c>
      <c r="K499" t="s">
        <v>18</v>
      </c>
      <c r="L499">
        <f>WEEKDAY(Table1[[#This Row],[Transaction_Date]],2)</f>
        <v>5</v>
      </c>
      <c r="M499">
        <f>IF(Table1[[#This Row],[Sale_Type]]="Buffet",1,0)</f>
        <v>1</v>
      </c>
    </row>
    <row r="500" spans="1:13" x14ac:dyDescent="0.2">
      <c r="A500" t="s">
        <v>741</v>
      </c>
      <c r="B500" t="s">
        <v>647</v>
      </c>
      <c r="C500" s="1">
        <v>45954</v>
      </c>
      <c r="D500" t="s">
        <v>96</v>
      </c>
      <c r="E500" t="s">
        <v>43</v>
      </c>
      <c r="F500" t="s">
        <v>57</v>
      </c>
      <c r="G500" t="s">
        <v>45</v>
      </c>
      <c r="H500">
        <v>2</v>
      </c>
      <c r="I500">
        <v>40</v>
      </c>
      <c r="J500" t="s">
        <v>34</v>
      </c>
      <c r="K500" t="s">
        <v>18</v>
      </c>
      <c r="L500">
        <f>WEEKDAY(Table1[[#This Row],[Transaction_Date]],2)</f>
        <v>5</v>
      </c>
      <c r="M500">
        <f>IF(Table1[[#This Row],[Sale_Type]]="Buffet",1,0)</f>
        <v>1</v>
      </c>
    </row>
    <row r="501" spans="1:13" x14ac:dyDescent="0.2">
      <c r="A501" t="s">
        <v>742</v>
      </c>
      <c r="B501" t="s">
        <v>743</v>
      </c>
      <c r="C501" s="1">
        <v>45954</v>
      </c>
      <c r="D501" t="s">
        <v>96</v>
      </c>
      <c r="E501" t="s">
        <v>43</v>
      </c>
      <c r="F501" t="s">
        <v>57</v>
      </c>
      <c r="G501" t="s">
        <v>45</v>
      </c>
      <c r="H501">
        <v>2</v>
      </c>
      <c r="I501">
        <v>44.5</v>
      </c>
      <c r="J501" t="s">
        <v>17</v>
      </c>
      <c r="K501" t="s">
        <v>18</v>
      </c>
      <c r="L501">
        <f>WEEKDAY(Table1[[#This Row],[Transaction_Date]],2)</f>
        <v>5</v>
      </c>
      <c r="M501">
        <f>IF(Table1[[#This Row],[Sale_Type]]="Buffet",1,0)</f>
        <v>1</v>
      </c>
    </row>
    <row r="502" spans="1:13" x14ac:dyDescent="0.2">
      <c r="A502" t="s">
        <v>744</v>
      </c>
      <c r="B502" t="s">
        <v>215</v>
      </c>
      <c r="C502" s="1">
        <v>45954</v>
      </c>
      <c r="D502" t="s">
        <v>96</v>
      </c>
      <c r="E502" t="s">
        <v>43</v>
      </c>
      <c r="F502" t="s">
        <v>57</v>
      </c>
      <c r="G502" t="s">
        <v>45</v>
      </c>
      <c r="H502">
        <v>1</v>
      </c>
      <c r="I502">
        <v>24.5</v>
      </c>
      <c r="J502" t="s">
        <v>17</v>
      </c>
      <c r="K502" t="s">
        <v>18</v>
      </c>
      <c r="L502">
        <f>WEEKDAY(Table1[[#This Row],[Transaction_Date]],2)</f>
        <v>5</v>
      </c>
      <c r="M502">
        <f>IF(Table1[[#This Row],[Sale_Type]]="Buffet",1,0)</f>
        <v>1</v>
      </c>
    </row>
    <row r="503" spans="1:13" x14ac:dyDescent="0.2">
      <c r="A503" t="s">
        <v>745</v>
      </c>
      <c r="B503" t="s">
        <v>474</v>
      </c>
      <c r="C503" s="1">
        <v>45954</v>
      </c>
      <c r="D503" t="s">
        <v>96</v>
      </c>
      <c r="E503" t="s">
        <v>43</v>
      </c>
      <c r="F503" t="s">
        <v>57</v>
      </c>
      <c r="G503" t="s">
        <v>16</v>
      </c>
      <c r="H503">
        <v>1</v>
      </c>
      <c r="I503">
        <v>26.71</v>
      </c>
      <c r="J503" t="s">
        <v>17</v>
      </c>
      <c r="K503" t="s">
        <v>21</v>
      </c>
      <c r="L503">
        <f>WEEKDAY(Table1[[#This Row],[Transaction_Date]],2)</f>
        <v>5</v>
      </c>
      <c r="M503">
        <f>IF(Table1[[#This Row],[Sale_Type]]="Buffet",1,0)</f>
        <v>0</v>
      </c>
    </row>
    <row r="504" spans="1:13" x14ac:dyDescent="0.2">
      <c r="A504" t="s">
        <v>746</v>
      </c>
      <c r="B504" t="s">
        <v>737</v>
      </c>
      <c r="C504" s="1">
        <v>45954</v>
      </c>
      <c r="D504" t="s">
        <v>96</v>
      </c>
      <c r="E504" t="s">
        <v>43</v>
      </c>
      <c r="F504" t="s">
        <v>57</v>
      </c>
      <c r="G504" t="s">
        <v>45</v>
      </c>
      <c r="H504">
        <v>5</v>
      </c>
      <c r="I504">
        <v>100</v>
      </c>
      <c r="J504" t="s">
        <v>34</v>
      </c>
      <c r="K504" t="s">
        <v>18</v>
      </c>
      <c r="L504">
        <f>WEEKDAY(Table1[[#This Row],[Transaction_Date]],2)</f>
        <v>5</v>
      </c>
      <c r="M504">
        <f>IF(Table1[[#This Row],[Sale_Type]]="Buffet",1,0)</f>
        <v>1</v>
      </c>
    </row>
    <row r="505" spans="1:13" x14ac:dyDescent="0.2">
      <c r="A505" t="s">
        <v>747</v>
      </c>
      <c r="B505" t="s">
        <v>87</v>
      </c>
      <c r="C505" s="1">
        <v>45954</v>
      </c>
      <c r="D505" t="s">
        <v>96</v>
      </c>
      <c r="E505" t="s">
        <v>43</v>
      </c>
      <c r="F505" t="s">
        <v>57</v>
      </c>
      <c r="G505" t="s">
        <v>16</v>
      </c>
      <c r="H505">
        <v>1</v>
      </c>
      <c r="I505">
        <v>26.92</v>
      </c>
      <c r="J505" t="s">
        <v>17</v>
      </c>
      <c r="K505" t="s">
        <v>18</v>
      </c>
      <c r="L505">
        <f>WEEKDAY(Table1[[#This Row],[Transaction_Date]],2)</f>
        <v>5</v>
      </c>
      <c r="M505">
        <f>IF(Table1[[#This Row],[Sale_Type]]="Buffet",1,0)</f>
        <v>0</v>
      </c>
    </row>
    <row r="506" spans="1:13" x14ac:dyDescent="0.2">
      <c r="A506" t="s">
        <v>748</v>
      </c>
      <c r="B506" t="s">
        <v>392</v>
      </c>
      <c r="C506" s="1">
        <v>45955</v>
      </c>
      <c r="D506" t="s">
        <v>127</v>
      </c>
      <c r="E506" t="s">
        <v>14</v>
      </c>
      <c r="F506" t="s">
        <v>15</v>
      </c>
      <c r="G506" t="s">
        <v>16</v>
      </c>
      <c r="H506">
        <v>3</v>
      </c>
      <c r="I506">
        <v>47.5</v>
      </c>
      <c r="J506" t="s">
        <v>17</v>
      </c>
      <c r="K506" t="s">
        <v>18</v>
      </c>
      <c r="L506">
        <f>WEEKDAY(Table1[[#This Row],[Transaction_Date]],2)</f>
        <v>6</v>
      </c>
      <c r="M506">
        <f>IF(Table1[[#This Row],[Sale_Type]]="Buffet",1,0)</f>
        <v>0</v>
      </c>
    </row>
    <row r="507" spans="1:13" x14ac:dyDescent="0.2">
      <c r="A507" t="s">
        <v>749</v>
      </c>
      <c r="B507" t="s">
        <v>486</v>
      </c>
      <c r="C507" s="1">
        <v>45955</v>
      </c>
      <c r="D507" t="s">
        <v>127</v>
      </c>
      <c r="E507" t="s">
        <v>14</v>
      </c>
      <c r="F507" t="s">
        <v>15</v>
      </c>
      <c r="G507" t="s">
        <v>16</v>
      </c>
      <c r="H507">
        <v>2</v>
      </c>
      <c r="I507">
        <v>40.72</v>
      </c>
      <c r="J507" t="s">
        <v>28</v>
      </c>
      <c r="K507" t="s">
        <v>18</v>
      </c>
      <c r="L507">
        <f>WEEKDAY(Table1[[#This Row],[Transaction_Date]],2)</f>
        <v>6</v>
      </c>
      <c r="M507">
        <f>IF(Table1[[#This Row],[Sale_Type]]="Buffet",1,0)</f>
        <v>0</v>
      </c>
    </row>
    <row r="508" spans="1:13" x14ac:dyDescent="0.2">
      <c r="A508" t="s">
        <v>750</v>
      </c>
      <c r="B508" t="s">
        <v>204</v>
      </c>
      <c r="C508" s="1">
        <v>45955</v>
      </c>
      <c r="D508" t="s">
        <v>127</v>
      </c>
      <c r="E508" t="s">
        <v>14</v>
      </c>
      <c r="F508" t="s">
        <v>15</v>
      </c>
      <c r="G508" t="s">
        <v>16</v>
      </c>
      <c r="H508">
        <v>4</v>
      </c>
      <c r="I508">
        <v>68.31</v>
      </c>
      <c r="J508" t="s">
        <v>17</v>
      </c>
      <c r="K508" t="s">
        <v>21</v>
      </c>
      <c r="L508">
        <f>WEEKDAY(Table1[[#This Row],[Transaction_Date]],2)</f>
        <v>6</v>
      </c>
      <c r="M508">
        <f>IF(Table1[[#This Row],[Sale_Type]]="Buffet",1,0)</f>
        <v>0</v>
      </c>
    </row>
    <row r="509" spans="1:13" x14ac:dyDescent="0.2">
      <c r="A509" t="s">
        <v>751</v>
      </c>
      <c r="B509" t="s">
        <v>196</v>
      </c>
      <c r="C509" s="1">
        <v>45955</v>
      </c>
      <c r="D509" t="s">
        <v>127</v>
      </c>
      <c r="E509" t="s">
        <v>14</v>
      </c>
      <c r="F509" t="s">
        <v>24</v>
      </c>
      <c r="G509" t="s">
        <v>16</v>
      </c>
      <c r="H509">
        <v>2</v>
      </c>
      <c r="I509">
        <v>24.96</v>
      </c>
      <c r="J509" t="s">
        <v>34</v>
      </c>
      <c r="K509" t="s">
        <v>21</v>
      </c>
      <c r="L509">
        <f>WEEKDAY(Table1[[#This Row],[Transaction_Date]],2)</f>
        <v>6</v>
      </c>
      <c r="M509">
        <f>IF(Table1[[#This Row],[Sale_Type]]="Buffet",1,0)</f>
        <v>0</v>
      </c>
    </row>
    <row r="510" spans="1:13" x14ac:dyDescent="0.2">
      <c r="A510" t="s">
        <v>752</v>
      </c>
      <c r="B510" t="s">
        <v>178</v>
      </c>
      <c r="C510" s="1">
        <v>45955</v>
      </c>
      <c r="D510" t="s">
        <v>127</v>
      </c>
      <c r="E510" t="s">
        <v>14</v>
      </c>
      <c r="F510" t="s">
        <v>24</v>
      </c>
      <c r="G510" t="s">
        <v>16</v>
      </c>
      <c r="H510">
        <v>5</v>
      </c>
      <c r="I510">
        <v>129.97</v>
      </c>
      <c r="J510" t="s">
        <v>17</v>
      </c>
      <c r="K510" t="s">
        <v>18</v>
      </c>
      <c r="L510">
        <f>WEEKDAY(Table1[[#This Row],[Transaction_Date]],2)</f>
        <v>6</v>
      </c>
      <c r="M510">
        <f>IF(Table1[[#This Row],[Sale_Type]]="Buffet",1,0)</f>
        <v>0</v>
      </c>
    </row>
    <row r="511" spans="1:13" x14ac:dyDescent="0.2">
      <c r="A511" t="s">
        <v>753</v>
      </c>
      <c r="B511" t="s">
        <v>678</v>
      </c>
      <c r="C511" s="1">
        <v>45955</v>
      </c>
      <c r="D511" t="s">
        <v>127</v>
      </c>
      <c r="E511" t="s">
        <v>14</v>
      </c>
      <c r="F511" t="s">
        <v>24</v>
      </c>
      <c r="G511" t="s">
        <v>16</v>
      </c>
      <c r="H511">
        <v>3</v>
      </c>
      <c r="I511">
        <v>86.78</v>
      </c>
      <c r="J511" t="s">
        <v>17</v>
      </c>
      <c r="K511" t="s">
        <v>18</v>
      </c>
      <c r="L511">
        <f>WEEKDAY(Table1[[#This Row],[Transaction_Date]],2)</f>
        <v>6</v>
      </c>
      <c r="M511">
        <f>IF(Table1[[#This Row],[Sale_Type]]="Buffet",1,0)</f>
        <v>0</v>
      </c>
    </row>
    <row r="512" spans="1:13" x14ac:dyDescent="0.2">
      <c r="A512" t="s">
        <v>754</v>
      </c>
      <c r="B512" t="s">
        <v>755</v>
      </c>
      <c r="C512" s="1">
        <v>45955</v>
      </c>
      <c r="D512" t="s">
        <v>127</v>
      </c>
      <c r="E512" t="s">
        <v>14</v>
      </c>
      <c r="F512" t="s">
        <v>24</v>
      </c>
      <c r="G512" t="s">
        <v>16</v>
      </c>
      <c r="H512">
        <v>3</v>
      </c>
      <c r="I512">
        <v>123.2</v>
      </c>
      <c r="J512" t="s">
        <v>17</v>
      </c>
      <c r="K512" t="s">
        <v>21</v>
      </c>
      <c r="L512">
        <f>WEEKDAY(Table1[[#This Row],[Transaction_Date]],2)</f>
        <v>6</v>
      </c>
      <c r="M512">
        <f>IF(Table1[[#This Row],[Sale_Type]]="Buffet",1,0)</f>
        <v>0</v>
      </c>
    </row>
    <row r="513" spans="1:13" x14ac:dyDescent="0.2">
      <c r="A513" t="s">
        <v>756</v>
      </c>
      <c r="B513" t="s">
        <v>61</v>
      </c>
      <c r="C513" s="1">
        <v>45955</v>
      </c>
      <c r="D513" t="s">
        <v>127</v>
      </c>
      <c r="E513" t="s">
        <v>14</v>
      </c>
      <c r="F513" t="s">
        <v>24</v>
      </c>
      <c r="G513" t="s">
        <v>16</v>
      </c>
      <c r="H513">
        <v>2</v>
      </c>
      <c r="I513">
        <v>42.92</v>
      </c>
      <c r="J513" t="s">
        <v>17</v>
      </c>
      <c r="K513" t="s">
        <v>18</v>
      </c>
      <c r="L513">
        <f>WEEKDAY(Table1[[#This Row],[Transaction_Date]],2)</f>
        <v>6</v>
      </c>
      <c r="M513">
        <f>IF(Table1[[#This Row],[Sale_Type]]="Buffet",1,0)</f>
        <v>0</v>
      </c>
    </row>
    <row r="514" spans="1:13" x14ac:dyDescent="0.2">
      <c r="A514" t="s">
        <v>757</v>
      </c>
      <c r="B514" t="s">
        <v>758</v>
      </c>
      <c r="C514" s="1">
        <v>45955</v>
      </c>
      <c r="D514" t="s">
        <v>127</v>
      </c>
      <c r="E514" t="s">
        <v>14</v>
      </c>
      <c r="F514" t="s">
        <v>27</v>
      </c>
      <c r="G514" t="s">
        <v>16</v>
      </c>
      <c r="H514">
        <v>4</v>
      </c>
      <c r="I514">
        <v>97.64</v>
      </c>
      <c r="J514" t="s">
        <v>17</v>
      </c>
      <c r="K514" t="s">
        <v>21</v>
      </c>
      <c r="L514">
        <f>WEEKDAY(Table1[[#This Row],[Transaction_Date]],2)</f>
        <v>6</v>
      </c>
      <c r="M514">
        <f>IF(Table1[[#This Row],[Sale_Type]]="Buffet",1,0)</f>
        <v>0</v>
      </c>
    </row>
    <row r="515" spans="1:13" x14ac:dyDescent="0.2">
      <c r="A515" t="s">
        <v>759</v>
      </c>
      <c r="B515" t="s">
        <v>423</v>
      </c>
      <c r="C515" s="1">
        <v>45955</v>
      </c>
      <c r="D515" t="s">
        <v>127</v>
      </c>
      <c r="E515" t="s">
        <v>14</v>
      </c>
      <c r="F515" t="s">
        <v>27</v>
      </c>
      <c r="G515" t="s">
        <v>16</v>
      </c>
      <c r="H515">
        <v>4</v>
      </c>
      <c r="I515">
        <v>51.55</v>
      </c>
      <c r="J515" t="s">
        <v>28</v>
      </c>
      <c r="K515" t="s">
        <v>18</v>
      </c>
      <c r="L515">
        <f>WEEKDAY(Table1[[#This Row],[Transaction_Date]],2)</f>
        <v>6</v>
      </c>
      <c r="M515">
        <f>IF(Table1[[#This Row],[Sale_Type]]="Buffet",1,0)</f>
        <v>0</v>
      </c>
    </row>
    <row r="516" spans="1:13" x14ac:dyDescent="0.2">
      <c r="A516" t="s">
        <v>760</v>
      </c>
      <c r="B516" t="s">
        <v>323</v>
      </c>
      <c r="C516" s="1">
        <v>45955</v>
      </c>
      <c r="D516" t="s">
        <v>127</v>
      </c>
      <c r="E516" t="s">
        <v>14</v>
      </c>
      <c r="F516" t="s">
        <v>27</v>
      </c>
      <c r="G516" t="s">
        <v>16</v>
      </c>
      <c r="H516">
        <v>3</v>
      </c>
      <c r="I516">
        <v>69.680000000000007</v>
      </c>
      <c r="J516" t="s">
        <v>17</v>
      </c>
      <c r="K516" t="s">
        <v>18</v>
      </c>
      <c r="L516">
        <f>WEEKDAY(Table1[[#This Row],[Transaction_Date]],2)</f>
        <v>6</v>
      </c>
      <c r="M516">
        <f>IF(Table1[[#This Row],[Sale_Type]]="Buffet",1,0)</f>
        <v>0</v>
      </c>
    </row>
    <row r="517" spans="1:13" x14ac:dyDescent="0.2">
      <c r="A517" t="s">
        <v>761</v>
      </c>
      <c r="B517" t="s">
        <v>272</v>
      </c>
      <c r="C517" s="1">
        <v>45955</v>
      </c>
      <c r="D517" t="s">
        <v>127</v>
      </c>
      <c r="E517" t="s">
        <v>14</v>
      </c>
      <c r="F517" t="s">
        <v>27</v>
      </c>
      <c r="G517" t="s">
        <v>16</v>
      </c>
      <c r="H517">
        <v>3</v>
      </c>
      <c r="I517">
        <v>113.84</v>
      </c>
      <c r="J517" t="s">
        <v>28</v>
      </c>
      <c r="K517" t="s">
        <v>18</v>
      </c>
      <c r="L517">
        <f>WEEKDAY(Table1[[#This Row],[Transaction_Date]],2)</f>
        <v>6</v>
      </c>
      <c r="M517">
        <f>IF(Table1[[#This Row],[Sale_Type]]="Buffet",1,0)</f>
        <v>0</v>
      </c>
    </row>
    <row r="518" spans="1:13" x14ac:dyDescent="0.2">
      <c r="A518" t="s">
        <v>762</v>
      </c>
      <c r="B518" t="s">
        <v>260</v>
      </c>
      <c r="C518" s="1">
        <v>45955</v>
      </c>
      <c r="D518" t="s">
        <v>127</v>
      </c>
      <c r="E518" t="s">
        <v>14</v>
      </c>
      <c r="F518" t="s">
        <v>27</v>
      </c>
      <c r="G518" t="s">
        <v>16</v>
      </c>
      <c r="H518">
        <v>2</v>
      </c>
      <c r="I518">
        <v>28.33</v>
      </c>
      <c r="J518" t="s">
        <v>34</v>
      </c>
      <c r="K518" t="s">
        <v>18</v>
      </c>
      <c r="L518">
        <f>WEEKDAY(Table1[[#This Row],[Transaction_Date]],2)</f>
        <v>6</v>
      </c>
      <c r="M518">
        <f>IF(Table1[[#This Row],[Sale_Type]]="Buffet",1,0)</f>
        <v>0</v>
      </c>
    </row>
    <row r="519" spans="1:13" x14ac:dyDescent="0.2">
      <c r="A519" t="s">
        <v>763</v>
      </c>
      <c r="B519" t="s">
        <v>202</v>
      </c>
      <c r="C519" s="1">
        <v>45955</v>
      </c>
      <c r="D519" t="s">
        <v>127</v>
      </c>
      <c r="E519" t="s">
        <v>14</v>
      </c>
      <c r="F519" t="s">
        <v>27</v>
      </c>
      <c r="G519" t="s">
        <v>16</v>
      </c>
      <c r="H519">
        <v>4</v>
      </c>
      <c r="I519">
        <v>105.18</v>
      </c>
      <c r="J519" t="s">
        <v>34</v>
      </c>
      <c r="K519" t="s">
        <v>18</v>
      </c>
      <c r="L519">
        <f>WEEKDAY(Table1[[#This Row],[Transaction_Date]],2)</f>
        <v>6</v>
      </c>
      <c r="M519">
        <f>IF(Table1[[#This Row],[Sale_Type]]="Buffet",1,0)</f>
        <v>0</v>
      </c>
    </row>
    <row r="520" spans="1:13" x14ac:dyDescent="0.2">
      <c r="A520" t="s">
        <v>764</v>
      </c>
      <c r="B520" t="s">
        <v>170</v>
      </c>
      <c r="C520" s="1">
        <v>45955</v>
      </c>
      <c r="D520" t="s">
        <v>127</v>
      </c>
      <c r="E520" t="s">
        <v>14</v>
      </c>
      <c r="F520" t="s">
        <v>31</v>
      </c>
      <c r="G520" t="s">
        <v>16</v>
      </c>
      <c r="H520">
        <v>3</v>
      </c>
      <c r="I520">
        <v>91.35</v>
      </c>
      <c r="J520" t="s">
        <v>28</v>
      </c>
      <c r="K520" t="s">
        <v>18</v>
      </c>
      <c r="L520">
        <f>WEEKDAY(Table1[[#This Row],[Transaction_Date]],2)</f>
        <v>6</v>
      </c>
      <c r="M520">
        <f>IF(Table1[[#This Row],[Sale_Type]]="Buffet",1,0)</f>
        <v>0</v>
      </c>
    </row>
    <row r="521" spans="1:13" x14ac:dyDescent="0.2">
      <c r="A521" t="s">
        <v>765</v>
      </c>
      <c r="B521" t="s">
        <v>174</v>
      </c>
      <c r="C521" s="1">
        <v>45955</v>
      </c>
      <c r="D521" t="s">
        <v>127</v>
      </c>
      <c r="E521" t="s">
        <v>14</v>
      </c>
      <c r="F521" t="s">
        <v>31</v>
      </c>
      <c r="G521" t="s">
        <v>16</v>
      </c>
      <c r="H521">
        <v>3</v>
      </c>
      <c r="I521">
        <v>87.4</v>
      </c>
      <c r="J521" t="s">
        <v>28</v>
      </c>
      <c r="K521" t="s">
        <v>18</v>
      </c>
      <c r="L521">
        <f>WEEKDAY(Table1[[#This Row],[Transaction_Date]],2)</f>
        <v>6</v>
      </c>
      <c r="M521">
        <f>IF(Table1[[#This Row],[Sale_Type]]="Buffet",1,0)</f>
        <v>0</v>
      </c>
    </row>
    <row r="522" spans="1:13" x14ac:dyDescent="0.2">
      <c r="A522" t="s">
        <v>766</v>
      </c>
      <c r="B522" t="s">
        <v>258</v>
      </c>
      <c r="C522" s="1">
        <v>45955</v>
      </c>
      <c r="D522" t="s">
        <v>127</v>
      </c>
      <c r="E522" t="s">
        <v>14</v>
      </c>
      <c r="F522" t="s">
        <v>31</v>
      </c>
      <c r="G522" t="s">
        <v>16</v>
      </c>
      <c r="H522">
        <v>3</v>
      </c>
      <c r="I522">
        <v>145.34</v>
      </c>
      <c r="J522" t="s">
        <v>28</v>
      </c>
      <c r="K522" t="s">
        <v>21</v>
      </c>
      <c r="L522">
        <f>WEEKDAY(Table1[[#This Row],[Transaction_Date]],2)</f>
        <v>6</v>
      </c>
      <c r="M522">
        <f>IF(Table1[[#This Row],[Sale_Type]]="Buffet",1,0)</f>
        <v>0</v>
      </c>
    </row>
    <row r="523" spans="1:13" x14ac:dyDescent="0.2">
      <c r="A523" t="s">
        <v>767</v>
      </c>
      <c r="B523" t="s">
        <v>262</v>
      </c>
      <c r="C523" s="1">
        <v>45955</v>
      </c>
      <c r="D523" t="s">
        <v>127</v>
      </c>
      <c r="E523" t="s">
        <v>14</v>
      </c>
      <c r="F523" t="s">
        <v>40</v>
      </c>
      <c r="G523" t="s">
        <v>16</v>
      </c>
      <c r="H523">
        <v>4</v>
      </c>
      <c r="I523">
        <v>119.06</v>
      </c>
      <c r="J523" t="s">
        <v>34</v>
      </c>
      <c r="K523" t="s">
        <v>18</v>
      </c>
      <c r="L523">
        <f>WEEKDAY(Table1[[#This Row],[Transaction_Date]],2)</f>
        <v>6</v>
      </c>
      <c r="M523">
        <f>IF(Table1[[#This Row],[Sale_Type]]="Buffet",1,0)</f>
        <v>0</v>
      </c>
    </row>
    <row r="524" spans="1:13" x14ac:dyDescent="0.2">
      <c r="A524" t="s">
        <v>768</v>
      </c>
      <c r="B524" t="s">
        <v>476</v>
      </c>
      <c r="C524" s="1">
        <v>45955</v>
      </c>
      <c r="D524" t="s">
        <v>127</v>
      </c>
      <c r="E524" t="s">
        <v>14</v>
      </c>
      <c r="F524" t="s">
        <v>40</v>
      </c>
      <c r="G524" t="s">
        <v>16</v>
      </c>
      <c r="H524">
        <v>3</v>
      </c>
      <c r="I524">
        <v>88.27</v>
      </c>
      <c r="J524" t="s">
        <v>17</v>
      </c>
      <c r="K524" t="s">
        <v>18</v>
      </c>
      <c r="L524">
        <f>WEEKDAY(Table1[[#This Row],[Transaction_Date]],2)</f>
        <v>6</v>
      </c>
      <c r="M524">
        <f>IF(Table1[[#This Row],[Sale_Type]]="Buffet",1,0)</f>
        <v>0</v>
      </c>
    </row>
    <row r="525" spans="1:13" x14ac:dyDescent="0.2">
      <c r="A525" t="s">
        <v>769</v>
      </c>
      <c r="B525" t="s">
        <v>111</v>
      </c>
      <c r="C525" s="1">
        <v>45955</v>
      </c>
      <c r="D525" t="s">
        <v>127</v>
      </c>
      <c r="E525" t="s">
        <v>14</v>
      </c>
      <c r="F525" t="s">
        <v>40</v>
      </c>
      <c r="G525" t="s">
        <v>16</v>
      </c>
      <c r="H525">
        <v>3</v>
      </c>
      <c r="I525">
        <v>88.25</v>
      </c>
      <c r="J525" t="s">
        <v>17</v>
      </c>
      <c r="K525" t="s">
        <v>18</v>
      </c>
      <c r="L525">
        <f>WEEKDAY(Table1[[#This Row],[Transaction_Date]],2)</f>
        <v>6</v>
      </c>
      <c r="M525">
        <f>IF(Table1[[#This Row],[Sale_Type]]="Buffet",1,0)</f>
        <v>0</v>
      </c>
    </row>
    <row r="526" spans="1:13" x14ac:dyDescent="0.2">
      <c r="A526" t="s">
        <v>770</v>
      </c>
      <c r="B526" t="s">
        <v>68</v>
      </c>
      <c r="C526" s="1">
        <v>45955</v>
      </c>
      <c r="D526" t="s">
        <v>127</v>
      </c>
      <c r="E526" t="s">
        <v>14</v>
      </c>
      <c r="F526" t="s">
        <v>40</v>
      </c>
      <c r="G526" t="s">
        <v>16</v>
      </c>
      <c r="H526">
        <v>1</v>
      </c>
      <c r="I526">
        <v>37.39</v>
      </c>
      <c r="J526" t="s">
        <v>17</v>
      </c>
      <c r="K526" t="s">
        <v>18</v>
      </c>
      <c r="L526">
        <f>WEEKDAY(Table1[[#This Row],[Transaction_Date]],2)</f>
        <v>6</v>
      </c>
      <c r="M526">
        <f>IF(Table1[[#This Row],[Sale_Type]]="Buffet",1,0)</f>
        <v>0</v>
      </c>
    </row>
    <row r="527" spans="1:13" x14ac:dyDescent="0.2">
      <c r="A527" t="s">
        <v>771</v>
      </c>
      <c r="B527" t="s">
        <v>262</v>
      </c>
      <c r="C527" s="1">
        <v>45955</v>
      </c>
      <c r="D527" t="s">
        <v>127</v>
      </c>
      <c r="E527" t="s">
        <v>14</v>
      </c>
      <c r="F527" t="s">
        <v>40</v>
      </c>
      <c r="G527" t="s">
        <v>16</v>
      </c>
      <c r="H527">
        <v>5</v>
      </c>
      <c r="I527">
        <v>139.13</v>
      </c>
      <c r="J527" t="s">
        <v>28</v>
      </c>
      <c r="K527" t="s">
        <v>18</v>
      </c>
      <c r="L527">
        <f>WEEKDAY(Table1[[#This Row],[Transaction_Date]],2)</f>
        <v>6</v>
      </c>
      <c r="M527">
        <f>IF(Table1[[#This Row],[Sale_Type]]="Buffet",1,0)</f>
        <v>0</v>
      </c>
    </row>
    <row r="528" spans="1:13" x14ac:dyDescent="0.2">
      <c r="A528" t="s">
        <v>772</v>
      </c>
      <c r="B528" t="s">
        <v>106</v>
      </c>
      <c r="C528" s="1">
        <v>45955</v>
      </c>
      <c r="D528" t="s">
        <v>127</v>
      </c>
      <c r="E528" t="s">
        <v>14</v>
      </c>
      <c r="F528" t="s">
        <v>40</v>
      </c>
      <c r="G528" t="s">
        <v>16</v>
      </c>
      <c r="H528">
        <v>6</v>
      </c>
      <c r="I528">
        <v>170.22</v>
      </c>
      <c r="J528" t="s">
        <v>17</v>
      </c>
      <c r="K528" t="s">
        <v>18</v>
      </c>
      <c r="L528">
        <f>WEEKDAY(Table1[[#This Row],[Transaction_Date]],2)</f>
        <v>6</v>
      </c>
      <c r="M528">
        <f>IF(Table1[[#This Row],[Sale_Type]]="Buffet",1,0)</f>
        <v>0</v>
      </c>
    </row>
    <row r="529" spans="1:13" x14ac:dyDescent="0.2">
      <c r="A529" t="s">
        <v>773</v>
      </c>
      <c r="B529" t="s">
        <v>495</v>
      </c>
      <c r="C529" s="1">
        <v>45955</v>
      </c>
      <c r="D529" t="s">
        <v>127</v>
      </c>
      <c r="E529" t="s">
        <v>43</v>
      </c>
      <c r="F529" t="s">
        <v>44</v>
      </c>
      <c r="G529" t="s">
        <v>16</v>
      </c>
      <c r="H529">
        <v>2</v>
      </c>
      <c r="I529">
        <v>45.43</v>
      </c>
      <c r="J529" t="s">
        <v>34</v>
      </c>
      <c r="K529" t="s">
        <v>18</v>
      </c>
      <c r="L529">
        <f>WEEKDAY(Table1[[#This Row],[Transaction_Date]],2)</f>
        <v>6</v>
      </c>
      <c r="M529">
        <f>IF(Table1[[#This Row],[Sale_Type]]="Buffet",1,0)</f>
        <v>0</v>
      </c>
    </row>
    <row r="530" spans="1:13" x14ac:dyDescent="0.2">
      <c r="A530" t="s">
        <v>774</v>
      </c>
      <c r="B530" t="s">
        <v>98</v>
      </c>
      <c r="C530" s="1">
        <v>45955</v>
      </c>
      <c r="D530" t="s">
        <v>127</v>
      </c>
      <c r="E530" t="s">
        <v>43</v>
      </c>
      <c r="F530" t="s">
        <v>53</v>
      </c>
      <c r="G530" t="s">
        <v>16</v>
      </c>
      <c r="H530">
        <v>2</v>
      </c>
      <c r="I530">
        <v>40.44</v>
      </c>
      <c r="J530" t="s">
        <v>28</v>
      </c>
      <c r="K530" t="s">
        <v>21</v>
      </c>
      <c r="L530">
        <f>WEEKDAY(Table1[[#This Row],[Transaction_Date]],2)</f>
        <v>6</v>
      </c>
      <c r="M530">
        <f>IF(Table1[[#This Row],[Sale_Type]]="Buffet",1,0)</f>
        <v>0</v>
      </c>
    </row>
    <row r="531" spans="1:13" x14ac:dyDescent="0.2">
      <c r="A531" t="s">
        <v>775</v>
      </c>
      <c r="B531" t="s">
        <v>309</v>
      </c>
      <c r="C531" s="1">
        <v>45955</v>
      </c>
      <c r="D531" t="s">
        <v>127</v>
      </c>
      <c r="E531" t="s">
        <v>43</v>
      </c>
      <c r="F531" t="s">
        <v>53</v>
      </c>
      <c r="G531" t="s">
        <v>16</v>
      </c>
      <c r="H531">
        <v>5</v>
      </c>
      <c r="I531">
        <v>64.77</v>
      </c>
      <c r="J531" t="s">
        <v>28</v>
      </c>
      <c r="K531" t="s">
        <v>21</v>
      </c>
      <c r="L531">
        <f>WEEKDAY(Table1[[#This Row],[Transaction_Date]],2)</f>
        <v>6</v>
      </c>
      <c r="M531">
        <f>IF(Table1[[#This Row],[Sale_Type]]="Buffet",1,0)</f>
        <v>0</v>
      </c>
    </row>
    <row r="532" spans="1:13" x14ac:dyDescent="0.2">
      <c r="A532" t="s">
        <v>776</v>
      </c>
      <c r="B532" t="s">
        <v>656</v>
      </c>
      <c r="C532" s="1">
        <v>45955</v>
      </c>
      <c r="D532" t="s">
        <v>127</v>
      </c>
      <c r="E532" t="s">
        <v>43</v>
      </c>
      <c r="F532" t="s">
        <v>53</v>
      </c>
      <c r="G532" t="s">
        <v>16</v>
      </c>
      <c r="H532">
        <v>3</v>
      </c>
      <c r="I532">
        <v>69.430000000000007</v>
      </c>
      <c r="J532" t="s">
        <v>34</v>
      </c>
      <c r="K532" t="s">
        <v>18</v>
      </c>
      <c r="L532">
        <f>WEEKDAY(Table1[[#This Row],[Transaction_Date]],2)</f>
        <v>6</v>
      </c>
      <c r="M532">
        <f>IF(Table1[[#This Row],[Sale_Type]]="Buffet",1,0)</f>
        <v>0</v>
      </c>
    </row>
    <row r="533" spans="1:13" x14ac:dyDescent="0.2">
      <c r="A533" t="s">
        <v>777</v>
      </c>
      <c r="B533" t="s">
        <v>778</v>
      </c>
      <c r="C533" s="1">
        <v>45955</v>
      </c>
      <c r="D533" t="s">
        <v>127</v>
      </c>
      <c r="E533" t="s">
        <v>43</v>
      </c>
      <c r="F533" t="s">
        <v>53</v>
      </c>
      <c r="G533" t="s">
        <v>16</v>
      </c>
      <c r="H533">
        <v>5</v>
      </c>
      <c r="I533">
        <v>152.37</v>
      </c>
      <c r="J533" t="s">
        <v>34</v>
      </c>
      <c r="K533" t="s">
        <v>18</v>
      </c>
      <c r="L533">
        <f>WEEKDAY(Table1[[#This Row],[Transaction_Date]],2)</f>
        <v>6</v>
      </c>
      <c r="M533">
        <f>IF(Table1[[#This Row],[Sale_Type]]="Buffet",1,0)</f>
        <v>0</v>
      </c>
    </row>
    <row r="534" spans="1:13" x14ac:dyDescent="0.2">
      <c r="A534" t="s">
        <v>779</v>
      </c>
      <c r="B534" t="s">
        <v>656</v>
      </c>
      <c r="C534" s="1">
        <v>45955</v>
      </c>
      <c r="D534" t="s">
        <v>127</v>
      </c>
      <c r="E534" t="s">
        <v>43</v>
      </c>
      <c r="F534" t="s">
        <v>57</v>
      </c>
      <c r="G534" t="s">
        <v>16</v>
      </c>
      <c r="H534">
        <v>3</v>
      </c>
      <c r="I534">
        <v>62.72</v>
      </c>
      <c r="J534" t="s">
        <v>17</v>
      </c>
      <c r="K534" t="s">
        <v>18</v>
      </c>
      <c r="L534">
        <f>WEEKDAY(Table1[[#This Row],[Transaction_Date]],2)</f>
        <v>6</v>
      </c>
      <c r="M534">
        <f>IF(Table1[[#This Row],[Sale_Type]]="Buffet",1,0)</f>
        <v>0</v>
      </c>
    </row>
    <row r="535" spans="1:13" x14ac:dyDescent="0.2">
      <c r="A535" t="s">
        <v>780</v>
      </c>
      <c r="B535" t="s">
        <v>202</v>
      </c>
      <c r="C535" s="1">
        <v>45956</v>
      </c>
      <c r="D535" t="s">
        <v>171</v>
      </c>
      <c r="E535" t="s">
        <v>14</v>
      </c>
      <c r="F535" t="s">
        <v>15</v>
      </c>
      <c r="G535" t="s">
        <v>16</v>
      </c>
      <c r="H535">
        <v>4</v>
      </c>
      <c r="I535">
        <v>112.13</v>
      </c>
      <c r="J535" t="s">
        <v>28</v>
      </c>
      <c r="K535" t="s">
        <v>21</v>
      </c>
      <c r="L535">
        <f>WEEKDAY(Table1[[#This Row],[Transaction_Date]],2)</f>
        <v>7</v>
      </c>
      <c r="M535">
        <f>IF(Table1[[#This Row],[Sale_Type]]="Buffet",1,0)</f>
        <v>0</v>
      </c>
    </row>
    <row r="536" spans="1:13" x14ac:dyDescent="0.2">
      <c r="A536" t="s">
        <v>781</v>
      </c>
      <c r="B536" t="s">
        <v>211</v>
      </c>
      <c r="C536" s="1">
        <v>45956</v>
      </c>
      <c r="D536" t="s">
        <v>171</v>
      </c>
      <c r="E536" t="s">
        <v>14</v>
      </c>
      <c r="F536" t="s">
        <v>24</v>
      </c>
      <c r="G536" t="s">
        <v>16</v>
      </c>
      <c r="H536">
        <v>2</v>
      </c>
      <c r="I536">
        <v>77.84</v>
      </c>
      <c r="J536" t="s">
        <v>17</v>
      </c>
      <c r="K536" t="s">
        <v>18</v>
      </c>
      <c r="L536">
        <f>WEEKDAY(Table1[[#This Row],[Transaction_Date]],2)</f>
        <v>7</v>
      </c>
      <c r="M536">
        <f>IF(Table1[[#This Row],[Sale_Type]]="Buffet",1,0)</f>
        <v>0</v>
      </c>
    </row>
    <row r="537" spans="1:13" x14ac:dyDescent="0.2">
      <c r="A537" t="s">
        <v>782</v>
      </c>
      <c r="B537" t="s">
        <v>146</v>
      </c>
      <c r="C537" s="1">
        <v>45956</v>
      </c>
      <c r="D537" t="s">
        <v>171</v>
      </c>
      <c r="E537" t="s">
        <v>14</v>
      </c>
      <c r="F537" t="s">
        <v>24</v>
      </c>
      <c r="G537" t="s">
        <v>16</v>
      </c>
      <c r="H537">
        <v>1</v>
      </c>
      <c r="I537">
        <v>21.95</v>
      </c>
      <c r="J537" t="s">
        <v>17</v>
      </c>
      <c r="K537" t="s">
        <v>18</v>
      </c>
      <c r="L537">
        <f>WEEKDAY(Table1[[#This Row],[Transaction_Date]],2)</f>
        <v>7</v>
      </c>
      <c r="M537">
        <f>IF(Table1[[#This Row],[Sale_Type]]="Buffet",1,0)</f>
        <v>0</v>
      </c>
    </row>
    <row r="538" spans="1:13" x14ac:dyDescent="0.2">
      <c r="A538" t="s">
        <v>783</v>
      </c>
      <c r="B538" t="s">
        <v>390</v>
      </c>
      <c r="C538" s="1">
        <v>45956</v>
      </c>
      <c r="D538" t="s">
        <v>171</v>
      </c>
      <c r="E538" t="s">
        <v>14</v>
      </c>
      <c r="F538" t="s">
        <v>27</v>
      </c>
      <c r="G538" t="s">
        <v>16</v>
      </c>
      <c r="H538">
        <v>5</v>
      </c>
      <c r="I538">
        <v>166.76</v>
      </c>
      <c r="J538" t="s">
        <v>28</v>
      </c>
      <c r="K538" t="s">
        <v>18</v>
      </c>
      <c r="L538">
        <f>WEEKDAY(Table1[[#This Row],[Transaction_Date]],2)</f>
        <v>7</v>
      </c>
      <c r="M538">
        <f>IF(Table1[[#This Row],[Sale_Type]]="Buffet",1,0)</f>
        <v>0</v>
      </c>
    </row>
    <row r="539" spans="1:13" x14ac:dyDescent="0.2">
      <c r="A539" t="s">
        <v>784</v>
      </c>
      <c r="B539" t="s">
        <v>33</v>
      </c>
      <c r="C539" s="1">
        <v>45956</v>
      </c>
      <c r="D539" t="s">
        <v>171</v>
      </c>
      <c r="E539" t="s">
        <v>14</v>
      </c>
      <c r="F539" t="s">
        <v>27</v>
      </c>
      <c r="G539" t="s">
        <v>16</v>
      </c>
      <c r="H539">
        <v>2</v>
      </c>
      <c r="I539">
        <v>45.05</v>
      </c>
      <c r="J539" t="s">
        <v>34</v>
      </c>
      <c r="K539" t="s">
        <v>21</v>
      </c>
      <c r="L539">
        <f>WEEKDAY(Table1[[#This Row],[Transaction_Date]],2)</f>
        <v>7</v>
      </c>
      <c r="M539">
        <f>IF(Table1[[#This Row],[Sale_Type]]="Buffet",1,0)</f>
        <v>0</v>
      </c>
    </row>
    <row r="540" spans="1:13" x14ac:dyDescent="0.2">
      <c r="A540" t="s">
        <v>785</v>
      </c>
      <c r="B540" t="s">
        <v>545</v>
      </c>
      <c r="C540" s="1">
        <v>45956</v>
      </c>
      <c r="D540" t="s">
        <v>171</v>
      </c>
      <c r="E540" t="s">
        <v>14</v>
      </c>
      <c r="F540" t="s">
        <v>27</v>
      </c>
      <c r="G540" t="s">
        <v>16</v>
      </c>
      <c r="H540">
        <v>4</v>
      </c>
      <c r="I540">
        <v>104.72</v>
      </c>
      <c r="J540" t="s">
        <v>28</v>
      </c>
      <c r="K540" t="s">
        <v>18</v>
      </c>
      <c r="L540">
        <f>WEEKDAY(Table1[[#This Row],[Transaction_Date]],2)</f>
        <v>7</v>
      </c>
      <c r="M540">
        <f>IF(Table1[[#This Row],[Sale_Type]]="Buffet",1,0)</f>
        <v>0</v>
      </c>
    </row>
    <row r="541" spans="1:13" x14ac:dyDescent="0.2">
      <c r="A541" t="s">
        <v>786</v>
      </c>
      <c r="B541" t="s">
        <v>699</v>
      </c>
      <c r="C541" s="1">
        <v>45956</v>
      </c>
      <c r="D541" t="s">
        <v>171</v>
      </c>
      <c r="E541" t="s">
        <v>14</v>
      </c>
      <c r="F541" t="s">
        <v>27</v>
      </c>
      <c r="G541" t="s">
        <v>16</v>
      </c>
      <c r="H541">
        <v>1</v>
      </c>
      <c r="I541">
        <v>26.55</v>
      </c>
      <c r="J541" t="s">
        <v>17</v>
      </c>
      <c r="K541" t="s">
        <v>18</v>
      </c>
      <c r="L541">
        <f>WEEKDAY(Table1[[#This Row],[Transaction_Date]],2)</f>
        <v>7</v>
      </c>
      <c r="M541">
        <f>IF(Table1[[#This Row],[Sale_Type]]="Buffet",1,0)</f>
        <v>0</v>
      </c>
    </row>
    <row r="542" spans="1:13" x14ac:dyDescent="0.2">
      <c r="A542" t="s">
        <v>787</v>
      </c>
      <c r="B542" t="s">
        <v>129</v>
      </c>
      <c r="C542" s="1">
        <v>45956</v>
      </c>
      <c r="D542" t="s">
        <v>171</v>
      </c>
      <c r="E542" t="s">
        <v>14</v>
      </c>
      <c r="F542" t="s">
        <v>27</v>
      </c>
      <c r="G542" t="s">
        <v>16</v>
      </c>
      <c r="H542">
        <v>3</v>
      </c>
      <c r="I542">
        <v>48.76</v>
      </c>
      <c r="J542" t="s">
        <v>17</v>
      </c>
      <c r="K542" t="s">
        <v>18</v>
      </c>
      <c r="L542">
        <f>WEEKDAY(Table1[[#This Row],[Transaction_Date]],2)</f>
        <v>7</v>
      </c>
      <c r="M542">
        <f>IF(Table1[[#This Row],[Sale_Type]]="Buffet",1,0)</f>
        <v>0</v>
      </c>
    </row>
    <row r="543" spans="1:13" x14ac:dyDescent="0.2">
      <c r="A543" t="s">
        <v>788</v>
      </c>
      <c r="B543" t="s">
        <v>789</v>
      </c>
      <c r="C543" s="1">
        <v>45956</v>
      </c>
      <c r="D543" t="s">
        <v>171</v>
      </c>
      <c r="E543" t="s">
        <v>14</v>
      </c>
      <c r="F543" t="s">
        <v>31</v>
      </c>
      <c r="G543" t="s">
        <v>16</v>
      </c>
      <c r="H543">
        <v>3</v>
      </c>
      <c r="I543">
        <v>99.64</v>
      </c>
      <c r="J543" t="s">
        <v>28</v>
      </c>
      <c r="K543" t="s">
        <v>18</v>
      </c>
      <c r="L543">
        <f>WEEKDAY(Table1[[#This Row],[Transaction_Date]],2)</f>
        <v>7</v>
      </c>
      <c r="M543">
        <f>IF(Table1[[#This Row],[Sale_Type]]="Buffet",1,0)</f>
        <v>0</v>
      </c>
    </row>
    <row r="544" spans="1:13" x14ac:dyDescent="0.2">
      <c r="A544" t="s">
        <v>790</v>
      </c>
      <c r="B544" t="s">
        <v>445</v>
      </c>
      <c r="C544" s="1">
        <v>45956</v>
      </c>
      <c r="D544" t="s">
        <v>171</v>
      </c>
      <c r="E544" t="s">
        <v>14</v>
      </c>
      <c r="F544" t="s">
        <v>31</v>
      </c>
      <c r="G544" t="s">
        <v>16</v>
      </c>
      <c r="H544">
        <v>4</v>
      </c>
      <c r="I544">
        <v>81.22</v>
      </c>
      <c r="J544" t="s">
        <v>28</v>
      </c>
      <c r="K544" t="s">
        <v>18</v>
      </c>
      <c r="L544">
        <f>WEEKDAY(Table1[[#This Row],[Transaction_Date]],2)</f>
        <v>7</v>
      </c>
      <c r="M544">
        <f>IF(Table1[[#This Row],[Sale_Type]]="Buffet",1,0)</f>
        <v>0</v>
      </c>
    </row>
    <row r="545" spans="1:13" x14ac:dyDescent="0.2">
      <c r="A545" t="s">
        <v>791</v>
      </c>
      <c r="B545" t="s">
        <v>377</v>
      </c>
      <c r="C545" s="1">
        <v>45956</v>
      </c>
      <c r="D545" t="s">
        <v>171</v>
      </c>
      <c r="E545" t="s">
        <v>14</v>
      </c>
      <c r="F545" t="s">
        <v>31</v>
      </c>
      <c r="G545" t="s">
        <v>16</v>
      </c>
      <c r="H545">
        <v>5</v>
      </c>
      <c r="I545">
        <v>150.13</v>
      </c>
      <c r="J545" t="s">
        <v>17</v>
      </c>
      <c r="K545" t="s">
        <v>18</v>
      </c>
      <c r="L545">
        <f>WEEKDAY(Table1[[#This Row],[Transaction_Date]],2)</f>
        <v>7</v>
      </c>
      <c r="M545">
        <f>IF(Table1[[#This Row],[Sale_Type]]="Buffet",1,0)</f>
        <v>0</v>
      </c>
    </row>
    <row r="546" spans="1:13" x14ac:dyDescent="0.2">
      <c r="A546" t="s">
        <v>792</v>
      </c>
      <c r="B546" t="s">
        <v>379</v>
      </c>
      <c r="C546" s="1">
        <v>45956</v>
      </c>
      <c r="D546" t="s">
        <v>171</v>
      </c>
      <c r="E546" t="s">
        <v>14</v>
      </c>
      <c r="F546" t="s">
        <v>31</v>
      </c>
      <c r="G546" t="s">
        <v>16</v>
      </c>
      <c r="H546">
        <v>3</v>
      </c>
      <c r="I546">
        <v>66.569999999999993</v>
      </c>
      <c r="J546" t="s">
        <v>17</v>
      </c>
      <c r="K546" t="s">
        <v>18</v>
      </c>
      <c r="L546">
        <f>WEEKDAY(Table1[[#This Row],[Transaction_Date]],2)</f>
        <v>7</v>
      </c>
      <c r="M546">
        <f>IF(Table1[[#This Row],[Sale_Type]]="Buffet",1,0)</f>
        <v>0</v>
      </c>
    </row>
    <row r="547" spans="1:13" x14ac:dyDescent="0.2">
      <c r="A547" t="s">
        <v>793</v>
      </c>
      <c r="B547" t="s">
        <v>740</v>
      </c>
      <c r="C547" s="1">
        <v>45956</v>
      </c>
      <c r="D547" t="s">
        <v>171</v>
      </c>
      <c r="E547" t="s">
        <v>14</v>
      </c>
      <c r="F547" t="s">
        <v>40</v>
      </c>
      <c r="G547" t="s">
        <v>16</v>
      </c>
      <c r="H547">
        <v>1</v>
      </c>
      <c r="I547">
        <v>23.27</v>
      </c>
      <c r="J547" t="s">
        <v>28</v>
      </c>
      <c r="K547" t="s">
        <v>18</v>
      </c>
      <c r="L547">
        <f>WEEKDAY(Table1[[#This Row],[Transaction_Date]],2)</f>
        <v>7</v>
      </c>
      <c r="M547">
        <f>IF(Table1[[#This Row],[Sale_Type]]="Buffet",1,0)</f>
        <v>0</v>
      </c>
    </row>
    <row r="548" spans="1:13" x14ac:dyDescent="0.2">
      <c r="A548" t="s">
        <v>794</v>
      </c>
      <c r="B548" t="s">
        <v>160</v>
      </c>
      <c r="C548" s="1">
        <v>45956</v>
      </c>
      <c r="D548" t="s">
        <v>171</v>
      </c>
      <c r="E548" t="s">
        <v>43</v>
      </c>
      <c r="F548" t="s">
        <v>44</v>
      </c>
      <c r="G548" t="s">
        <v>16</v>
      </c>
      <c r="H548">
        <v>2</v>
      </c>
      <c r="I548">
        <v>40.17</v>
      </c>
      <c r="J548" t="s">
        <v>17</v>
      </c>
      <c r="K548" t="s">
        <v>18</v>
      </c>
      <c r="L548">
        <f>WEEKDAY(Table1[[#This Row],[Transaction_Date]],2)</f>
        <v>7</v>
      </c>
      <c r="M548">
        <f>IF(Table1[[#This Row],[Sale_Type]]="Buffet",1,0)</f>
        <v>0</v>
      </c>
    </row>
    <row r="549" spans="1:13" x14ac:dyDescent="0.2">
      <c r="A549" t="s">
        <v>795</v>
      </c>
      <c r="B549" t="s">
        <v>79</v>
      </c>
      <c r="C549" s="1">
        <v>45956</v>
      </c>
      <c r="D549" t="s">
        <v>171</v>
      </c>
      <c r="E549" t="s">
        <v>43</v>
      </c>
      <c r="F549" t="s">
        <v>50</v>
      </c>
      <c r="G549" t="s">
        <v>16</v>
      </c>
      <c r="H549">
        <v>2</v>
      </c>
      <c r="I549">
        <v>28.6</v>
      </c>
      <c r="J549" t="s">
        <v>34</v>
      </c>
      <c r="K549" t="s">
        <v>18</v>
      </c>
      <c r="L549">
        <f>WEEKDAY(Table1[[#This Row],[Transaction_Date]],2)</f>
        <v>7</v>
      </c>
      <c r="M549">
        <f>IF(Table1[[#This Row],[Sale_Type]]="Buffet",1,0)</f>
        <v>0</v>
      </c>
    </row>
    <row r="550" spans="1:13" x14ac:dyDescent="0.2">
      <c r="A550" t="s">
        <v>796</v>
      </c>
      <c r="B550" t="s">
        <v>797</v>
      </c>
      <c r="C550" s="1">
        <v>45956</v>
      </c>
      <c r="D550" t="s">
        <v>171</v>
      </c>
      <c r="E550" t="s">
        <v>43</v>
      </c>
      <c r="F550" t="s">
        <v>57</v>
      </c>
      <c r="G550" t="s">
        <v>16</v>
      </c>
      <c r="H550">
        <v>2</v>
      </c>
      <c r="I550">
        <v>75.069999999999993</v>
      </c>
      <c r="J550" t="s">
        <v>34</v>
      </c>
      <c r="K550" t="s">
        <v>18</v>
      </c>
      <c r="L550">
        <f>WEEKDAY(Table1[[#This Row],[Transaction_Date]],2)</f>
        <v>7</v>
      </c>
      <c r="M550">
        <f>IF(Table1[[#This Row],[Sale_Type]]="Buffet",1,0)</f>
        <v>0</v>
      </c>
    </row>
    <row r="551" spans="1:13" x14ac:dyDescent="0.2">
      <c r="A551" t="s">
        <v>798</v>
      </c>
      <c r="B551" t="s">
        <v>443</v>
      </c>
      <c r="C551" s="1">
        <v>45957</v>
      </c>
      <c r="D551" t="s">
        <v>213</v>
      </c>
      <c r="E551" t="s">
        <v>14</v>
      </c>
      <c r="F551" t="s">
        <v>15</v>
      </c>
      <c r="G551" t="s">
        <v>16</v>
      </c>
      <c r="H551">
        <v>2</v>
      </c>
      <c r="I551">
        <v>65.05</v>
      </c>
      <c r="J551" t="s">
        <v>34</v>
      </c>
      <c r="K551" t="s">
        <v>18</v>
      </c>
      <c r="L551">
        <f>WEEKDAY(Table1[[#This Row],[Transaction_Date]],2)</f>
        <v>1</v>
      </c>
      <c r="M551">
        <f>IF(Table1[[#This Row],[Sale_Type]]="Buffet",1,0)</f>
        <v>0</v>
      </c>
    </row>
    <row r="552" spans="1:13" x14ac:dyDescent="0.2">
      <c r="A552" t="s">
        <v>799</v>
      </c>
      <c r="B552" t="s">
        <v>419</v>
      </c>
      <c r="C552" s="1">
        <v>45957</v>
      </c>
      <c r="D552" t="s">
        <v>213</v>
      </c>
      <c r="E552" t="s">
        <v>14</v>
      </c>
      <c r="F552" t="s">
        <v>15</v>
      </c>
      <c r="G552" t="s">
        <v>16</v>
      </c>
      <c r="H552">
        <v>4</v>
      </c>
      <c r="I552">
        <v>122.4</v>
      </c>
      <c r="J552" t="s">
        <v>17</v>
      </c>
      <c r="K552" t="s">
        <v>18</v>
      </c>
      <c r="L552">
        <f>WEEKDAY(Table1[[#This Row],[Transaction_Date]],2)</f>
        <v>1</v>
      </c>
      <c r="M552">
        <f>IF(Table1[[#This Row],[Sale_Type]]="Buffet",1,0)</f>
        <v>0</v>
      </c>
    </row>
    <row r="553" spans="1:13" x14ac:dyDescent="0.2">
      <c r="A553" t="s">
        <v>800</v>
      </c>
      <c r="B553" t="s">
        <v>326</v>
      </c>
      <c r="C553" s="1">
        <v>45957</v>
      </c>
      <c r="D553" t="s">
        <v>213</v>
      </c>
      <c r="E553" t="s">
        <v>14</v>
      </c>
      <c r="F553" t="s">
        <v>24</v>
      </c>
      <c r="G553" t="s">
        <v>16</v>
      </c>
      <c r="H553">
        <v>1</v>
      </c>
      <c r="I553">
        <v>46.93</v>
      </c>
      <c r="J553" t="s">
        <v>34</v>
      </c>
      <c r="K553" t="s">
        <v>18</v>
      </c>
      <c r="L553">
        <f>WEEKDAY(Table1[[#This Row],[Transaction_Date]],2)</f>
        <v>1</v>
      </c>
      <c r="M553">
        <f>IF(Table1[[#This Row],[Sale_Type]]="Buffet",1,0)</f>
        <v>0</v>
      </c>
    </row>
    <row r="554" spans="1:13" x14ac:dyDescent="0.2">
      <c r="A554" t="s">
        <v>801</v>
      </c>
      <c r="B554" t="s">
        <v>238</v>
      </c>
      <c r="C554" s="1">
        <v>45957</v>
      </c>
      <c r="D554" t="s">
        <v>213</v>
      </c>
      <c r="E554" t="s">
        <v>14</v>
      </c>
      <c r="F554" t="s">
        <v>24</v>
      </c>
      <c r="G554" t="s">
        <v>16</v>
      </c>
      <c r="H554">
        <v>5</v>
      </c>
      <c r="I554">
        <v>214.1</v>
      </c>
      <c r="J554" t="s">
        <v>28</v>
      </c>
      <c r="K554" t="s">
        <v>18</v>
      </c>
      <c r="L554">
        <f>WEEKDAY(Table1[[#This Row],[Transaction_Date]],2)</f>
        <v>1</v>
      </c>
      <c r="M554">
        <f>IF(Table1[[#This Row],[Sale_Type]]="Buffet",1,0)</f>
        <v>0</v>
      </c>
    </row>
    <row r="555" spans="1:13" x14ac:dyDescent="0.2">
      <c r="A555" t="s">
        <v>802</v>
      </c>
      <c r="B555" t="s">
        <v>755</v>
      </c>
      <c r="C555" s="1">
        <v>45957</v>
      </c>
      <c r="D555" t="s">
        <v>213</v>
      </c>
      <c r="E555" t="s">
        <v>14</v>
      </c>
      <c r="F555" t="s">
        <v>24</v>
      </c>
      <c r="G555" t="s">
        <v>16</v>
      </c>
      <c r="H555">
        <v>2</v>
      </c>
      <c r="I555">
        <v>54.14</v>
      </c>
      <c r="J555" t="s">
        <v>34</v>
      </c>
      <c r="K555" t="s">
        <v>21</v>
      </c>
      <c r="L555">
        <f>WEEKDAY(Table1[[#This Row],[Transaction_Date]],2)</f>
        <v>1</v>
      </c>
      <c r="M555">
        <f>IF(Table1[[#This Row],[Sale_Type]]="Buffet",1,0)</f>
        <v>0</v>
      </c>
    </row>
    <row r="556" spans="1:13" x14ac:dyDescent="0.2">
      <c r="A556" t="s">
        <v>803</v>
      </c>
      <c r="B556" t="s">
        <v>102</v>
      </c>
      <c r="C556" s="1">
        <v>45957</v>
      </c>
      <c r="D556" t="s">
        <v>213</v>
      </c>
      <c r="E556" t="s">
        <v>14</v>
      </c>
      <c r="F556" t="s">
        <v>24</v>
      </c>
      <c r="G556" t="s">
        <v>16</v>
      </c>
      <c r="H556">
        <v>4</v>
      </c>
      <c r="I556">
        <v>106.58</v>
      </c>
      <c r="J556" t="s">
        <v>17</v>
      </c>
      <c r="K556" t="s">
        <v>18</v>
      </c>
      <c r="L556">
        <f>WEEKDAY(Table1[[#This Row],[Transaction_Date]],2)</f>
        <v>1</v>
      </c>
      <c r="M556">
        <f>IF(Table1[[#This Row],[Sale_Type]]="Buffet",1,0)</f>
        <v>0</v>
      </c>
    </row>
    <row r="557" spans="1:13" x14ac:dyDescent="0.2">
      <c r="A557" t="s">
        <v>804</v>
      </c>
      <c r="B557" t="s">
        <v>72</v>
      </c>
      <c r="C557" s="1">
        <v>45957</v>
      </c>
      <c r="D557" t="s">
        <v>213</v>
      </c>
      <c r="E557" t="s">
        <v>14</v>
      </c>
      <c r="F557" t="s">
        <v>24</v>
      </c>
      <c r="G557" t="s">
        <v>16</v>
      </c>
      <c r="H557">
        <v>4</v>
      </c>
      <c r="I557">
        <v>258.72000000000003</v>
      </c>
      <c r="J557" t="s">
        <v>34</v>
      </c>
      <c r="K557" t="s">
        <v>18</v>
      </c>
      <c r="L557">
        <f>WEEKDAY(Table1[[#This Row],[Transaction_Date]],2)</f>
        <v>1</v>
      </c>
      <c r="M557">
        <f>IF(Table1[[#This Row],[Sale_Type]]="Buffet",1,0)</f>
        <v>0</v>
      </c>
    </row>
    <row r="558" spans="1:13" x14ac:dyDescent="0.2">
      <c r="A558" t="s">
        <v>805</v>
      </c>
      <c r="B558" t="s">
        <v>293</v>
      </c>
      <c r="C558" s="1">
        <v>45957</v>
      </c>
      <c r="D558" t="s">
        <v>213</v>
      </c>
      <c r="E558" t="s">
        <v>14</v>
      </c>
      <c r="F558" t="s">
        <v>27</v>
      </c>
      <c r="G558" t="s">
        <v>16</v>
      </c>
      <c r="H558">
        <v>2</v>
      </c>
      <c r="I558">
        <v>79.36</v>
      </c>
      <c r="J558" t="s">
        <v>17</v>
      </c>
      <c r="K558" t="s">
        <v>18</v>
      </c>
      <c r="L558">
        <f>WEEKDAY(Table1[[#This Row],[Transaction_Date]],2)</f>
        <v>1</v>
      </c>
      <c r="M558">
        <f>IF(Table1[[#This Row],[Sale_Type]]="Buffet",1,0)</f>
        <v>0</v>
      </c>
    </row>
    <row r="559" spans="1:13" x14ac:dyDescent="0.2">
      <c r="A559" t="s">
        <v>806</v>
      </c>
      <c r="B559" t="s">
        <v>47</v>
      </c>
      <c r="C559" s="1">
        <v>45957</v>
      </c>
      <c r="D559" t="s">
        <v>213</v>
      </c>
      <c r="E559" t="s">
        <v>14</v>
      </c>
      <c r="F559" t="s">
        <v>27</v>
      </c>
      <c r="G559" t="s">
        <v>16</v>
      </c>
      <c r="H559">
        <v>2</v>
      </c>
      <c r="I559">
        <v>52.05</v>
      </c>
      <c r="J559" t="s">
        <v>34</v>
      </c>
      <c r="K559" t="s">
        <v>18</v>
      </c>
      <c r="L559">
        <f>WEEKDAY(Table1[[#This Row],[Transaction_Date]],2)</f>
        <v>1</v>
      </c>
      <c r="M559">
        <f>IF(Table1[[#This Row],[Sale_Type]]="Buffet",1,0)</f>
        <v>0</v>
      </c>
    </row>
    <row r="560" spans="1:13" x14ac:dyDescent="0.2">
      <c r="A560" t="s">
        <v>807</v>
      </c>
      <c r="B560" t="s">
        <v>70</v>
      </c>
      <c r="C560" s="1">
        <v>45957</v>
      </c>
      <c r="D560" t="s">
        <v>213</v>
      </c>
      <c r="E560" t="s">
        <v>14</v>
      </c>
      <c r="F560" t="s">
        <v>27</v>
      </c>
      <c r="G560" t="s">
        <v>16</v>
      </c>
      <c r="H560">
        <v>3</v>
      </c>
      <c r="I560">
        <v>127.07</v>
      </c>
      <c r="J560" t="s">
        <v>17</v>
      </c>
      <c r="K560" t="s">
        <v>21</v>
      </c>
      <c r="L560">
        <f>WEEKDAY(Table1[[#This Row],[Transaction_Date]],2)</f>
        <v>1</v>
      </c>
      <c r="M560">
        <f>IF(Table1[[#This Row],[Sale_Type]]="Buffet",1,0)</f>
        <v>0</v>
      </c>
    </row>
    <row r="561" spans="1:13" x14ac:dyDescent="0.2">
      <c r="A561" t="s">
        <v>808</v>
      </c>
      <c r="B561" t="s">
        <v>730</v>
      </c>
      <c r="C561" s="1">
        <v>45957</v>
      </c>
      <c r="D561" t="s">
        <v>213</v>
      </c>
      <c r="E561" t="s">
        <v>14</v>
      </c>
      <c r="F561" t="s">
        <v>27</v>
      </c>
      <c r="G561" t="s">
        <v>16</v>
      </c>
      <c r="H561">
        <v>1</v>
      </c>
      <c r="I561">
        <v>36.44</v>
      </c>
      <c r="J561" t="s">
        <v>17</v>
      </c>
      <c r="K561" t="s">
        <v>18</v>
      </c>
      <c r="L561">
        <f>WEEKDAY(Table1[[#This Row],[Transaction_Date]],2)</f>
        <v>1</v>
      </c>
      <c r="M561">
        <f>IF(Table1[[#This Row],[Sale_Type]]="Buffet",1,0)</f>
        <v>0</v>
      </c>
    </row>
    <row r="562" spans="1:13" x14ac:dyDescent="0.2">
      <c r="A562" t="s">
        <v>809</v>
      </c>
      <c r="B562" t="s">
        <v>415</v>
      </c>
      <c r="C562" s="1">
        <v>45957</v>
      </c>
      <c r="D562" t="s">
        <v>213</v>
      </c>
      <c r="E562" t="s">
        <v>14</v>
      </c>
      <c r="F562" t="s">
        <v>27</v>
      </c>
      <c r="G562" t="s">
        <v>16</v>
      </c>
      <c r="H562">
        <v>1</v>
      </c>
      <c r="I562">
        <v>13.53</v>
      </c>
      <c r="J562" t="s">
        <v>17</v>
      </c>
      <c r="K562" t="s">
        <v>18</v>
      </c>
      <c r="L562">
        <f>WEEKDAY(Table1[[#This Row],[Transaction_Date]],2)</f>
        <v>1</v>
      </c>
      <c r="M562">
        <f>IF(Table1[[#This Row],[Sale_Type]]="Buffet",1,0)</f>
        <v>0</v>
      </c>
    </row>
    <row r="563" spans="1:13" x14ac:dyDescent="0.2">
      <c r="A563" t="s">
        <v>810</v>
      </c>
      <c r="B563" t="s">
        <v>95</v>
      </c>
      <c r="C563" s="1">
        <v>45957</v>
      </c>
      <c r="D563" t="s">
        <v>213</v>
      </c>
      <c r="E563" t="s">
        <v>14</v>
      </c>
      <c r="F563" t="s">
        <v>27</v>
      </c>
      <c r="G563" t="s">
        <v>16</v>
      </c>
      <c r="H563">
        <v>1</v>
      </c>
      <c r="I563">
        <v>35.590000000000003</v>
      </c>
      <c r="J563" t="s">
        <v>17</v>
      </c>
      <c r="K563" t="s">
        <v>18</v>
      </c>
      <c r="L563">
        <f>WEEKDAY(Table1[[#This Row],[Transaction_Date]],2)</f>
        <v>1</v>
      </c>
      <c r="M563">
        <f>IF(Table1[[#This Row],[Sale_Type]]="Buffet",1,0)</f>
        <v>0</v>
      </c>
    </row>
    <row r="564" spans="1:13" x14ac:dyDescent="0.2">
      <c r="A564" t="s">
        <v>811</v>
      </c>
      <c r="B564" t="s">
        <v>283</v>
      </c>
      <c r="C564" s="1">
        <v>45957</v>
      </c>
      <c r="D564" t="s">
        <v>213</v>
      </c>
      <c r="E564" t="s">
        <v>14</v>
      </c>
      <c r="F564" t="s">
        <v>27</v>
      </c>
      <c r="G564" t="s">
        <v>16</v>
      </c>
      <c r="H564">
        <v>5</v>
      </c>
      <c r="I564">
        <v>86.01</v>
      </c>
      <c r="J564" t="s">
        <v>34</v>
      </c>
      <c r="K564" t="s">
        <v>18</v>
      </c>
      <c r="L564">
        <f>WEEKDAY(Table1[[#This Row],[Transaction_Date]],2)</f>
        <v>1</v>
      </c>
      <c r="M564">
        <f>IF(Table1[[#This Row],[Sale_Type]]="Buffet",1,0)</f>
        <v>0</v>
      </c>
    </row>
    <row r="565" spans="1:13" x14ac:dyDescent="0.2">
      <c r="A565" t="s">
        <v>812</v>
      </c>
      <c r="B565" t="s">
        <v>486</v>
      </c>
      <c r="C565" s="1">
        <v>45957</v>
      </c>
      <c r="D565" t="s">
        <v>213</v>
      </c>
      <c r="E565" t="s">
        <v>14</v>
      </c>
      <c r="F565" t="s">
        <v>31</v>
      </c>
      <c r="G565" t="s">
        <v>16</v>
      </c>
      <c r="H565">
        <v>1</v>
      </c>
      <c r="I565">
        <v>18.329999999999998</v>
      </c>
      <c r="J565" t="s">
        <v>34</v>
      </c>
      <c r="K565" t="s">
        <v>21</v>
      </c>
      <c r="L565">
        <f>WEEKDAY(Table1[[#This Row],[Transaction_Date]],2)</f>
        <v>1</v>
      </c>
      <c r="M565">
        <f>IF(Table1[[#This Row],[Sale_Type]]="Buffet",1,0)</f>
        <v>0</v>
      </c>
    </row>
    <row r="566" spans="1:13" x14ac:dyDescent="0.2">
      <c r="A566" t="s">
        <v>813</v>
      </c>
      <c r="B566" t="s">
        <v>204</v>
      </c>
      <c r="C566" s="1">
        <v>45957</v>
      </c>
      <c r="D566" t="s">
        <v>213</v>
      </c>
      <c r="E566" t="s">
        <v>14</v>
      </c>
      <c r="F566" t="s">
        <v>31</v>
      </c>
      <c r="G566" t="s">
        <v>16</v>
      </c>
      <c r="H566">
        <v>5</v>
      </c>
      <c r="I566">
        <v>190.12</v>
      </c>
      <c r="J566" t="s">
        <v>17</v>
      </c>
      <c r="K566" t="s">
        <v>18</v>
      </c>
      <c r="L566">
        <f>WEEKDAY(Table1[[#This Row],[Transaction_Date]],2)</f>
        <v>1</v>
      </c>
      <c r="M566">
        <f>IF(Table1[[#This Row],[Sale_Type]]="Buffet",1,0)</f>
        <v>0</v>
      </c>
    </row>
    <row r="567" spans="1:13" x14ac:dyDescent="0.2">
      <c r="A567" t="s">
        <v>814</v>
      </c>
      <c r="B567" t="s">
        <v>567</v>
      </c>
      <c r="C567" s="1">
        <v>45957</v>
      </c>
      <c r="D567" t="s">
        <v>213</v>
      </c>
      <c r="E567" t="s">
        <v>14</v>
      </c>
      <c r="F567" t="s">
        <v>31</v>
      </c>
      <c r="G567" t="s">
        <v>16</v>
      </c>
      <c r="H567">
        <v>1</v>
      </c>
      <c r="I567">
        <v>39.47</v>
      </c>
      <c r="J567" t="s">
        <v>17</v>
      </c>
      <c r="K567" t="s">
        <v>18</v>
      </c>
      <c r="L567">
        <f>WEEKDAY(Table1[[#This Row],[Transaction_Date]],2)</f>
        <v>1</v>
      </c>
      <c r="M567">
        <f>IF(Table1[[#This Row],[Sale_Type]]="Buffet",1,0)</f>
        <v>0</v>
      </c>
    </row>
    <row r="568" spans="1:13" x14ac:dyDescent="0.2">
      <c r="A568" t="s">
        <v>815</v>
      </c>
      <c r="B568" t="s">
        <v>730</v>
      </c>
      <c r="C568" s="1">
        <v>45957</v>
      </c>
      <c r="D568" t="s">
        <v>213</v>
      </c>
      <c r="E568" t="s">
        <v>14</v>
      </c>
      <c r="F568" t="s">
        <v>40</v>
      </c>
      <c r="G568" t="s">
        <v>16</v>
      </c>
      <c r="H568">
        <v>5</v>
      </c>
      <c r="I568">
        <v>161.53</v>
      </c>
      <c r="J568" t="s">
        <v>28</v>
      </c>
      <c r="K568" t="s">
        <v>18</v>
      </c>
      <c r="L568">
        <f>WEEKDAY(Table1[[#This Row],[Transaction_Date]],2)</f>
        <v>1</v>
      </c>
      <c r="M568">
        <f>IF(Table1[[#This Row],[Sale_Type]]="Buffet",1,0)</f>
        <v>0</v>
      </c>
    </row>
    <row r="569" spans="1:13" x14ac:dyDescent="0.2">
      <c r="A569" t="s">
        <v>816</v>
      </c>
      <c r="B569" t="s">
        <v>256</v>
      </c>
      <c r="C569" s="1">
        <v>45957</v>
      </c>
      <c r="D569" t="s">
        <v>213</v>
      </c>
      <c r="E569" t="s">
        <v>14</v>
      </c>
      <c r="F569" t="s">
        <v>40</v>
      </c>
      <c r="G569" t="s">
        <v>16</v>
      </c>
      <c r="H569">
        <v>6</v>
      </c>
      <c r="I569">
        <v>285.29000000000002</v>
      </c>
      <c r="J569" t="s">
        <v>17</v>
      </c>
      <c r="K569" t="s">
        <v>21</v>
      </c>
      <c r="L569">
        <f>WEEKDAY(Table1[[#This Row],[Transaction_Date]],2)</f>
        <v>1</v>
      </c>
      <c r="M569">
        <f>IF(Table1[[#This Row],[Sale_Type]]="Buffet",1,0)</f>
        <v>0</v>
      </c>
    </row>
    <row r="570" spans="1:13" x14ac:dyDescent="0.2">
      <c r="A570" t="s">
        <v>817</v>
      </c>
      <c r="B570" t="s">
        <v>87</v>
      </c>
      <c r="C570" s="1">
        <v>45957</v>
      </c>
      <c r="D570" t="s">
        <v>213</v>
      </c>
      <c r="E570" t="s">
        <v>14</v>
      </c>
      <c r="F570" t="s">
        <v>40</v>
      </c>
      <c r="G570" t="s">
        <v>16</v>
      </c>
      <c r="H570">
        <v>2</v>
      </c>
      <c r="I570">
        <v>49.32</v>
      </c>
      <c r="J570" t="s">
        <v>28</v>
      </c>
      <c r="K570" t="s">
        <v>18</v>
      </c>
      <c r="L570">
        <f>WEEKDAY(Table1[[#This Row],[Transaction_Date]],2)</f>
        <v>1</v>
      </c>
      <c r="M570">
        <f>IF(Table1[[#This Row],[Sale_Type]]="Buffet",1,0)</f>
        <v>0</v>
      </c>
    </row>
    <row r="571" spans="1:13" x14ac:dyDescent="0.2">
      <c r="A571" t="s">
        <v>818</v>
      </c>
      <c r="B571" t="s">
        <v>219</v>
      </c>
      <c r="C571" s="1">
        <v>45957</v>
      </c>
      <c r="D571" t="s">
        <v>213</v>
      </c>
      <c r="E571" t="s">
        <v>14</v>
      </c>
      <c r="F571" t="s">
        <v>40</v>
      </c>
      <c r="G571" t="s">
        <v>16</v>
      </c>
      <c r="H571">
        <v>4</v>
      </c>
      <c r="I571">
        <v>99.18</v>
      </c>
      <c r="J571" t="s">
        <v>34</v>
      </c>
      <c r="K571" t="s">
        <v>21</v>
      </c>
      <c r="L571">
        <f>WEEKDAY(Table1[[#This Row],[Transaction_Date]],2)</f>
        <v>1</v>
      </c>
      <c r="M571">
        <f>IF(Table1[[#This Row],[Sale_Type]]="Buffet",1,0)</f>
        <v>0</v>
      </c>
    </row>
    <row r="572" spans="1:13" x14ac:dyDescent="0.2">
      <c r="A572" t="s">
        <v>819</v>
      </c>
      <c r="B572" t="s">
        <v>89</v>
      </c>
      <c r="C572" s="1">
        <v>45957</v>
      </c>
      <c r="D572" t="s">
        <v>213</v>
      </c>
      <c r="E572" t="s">
        <v>43</v>
      </c>
      <c r="F572" t="s">
        <v>44</v>
      </c>
      <c r="G572" t="s">
        <v>16</v>
      </c>
      <c r="H572">
        <v>1</v>
      </c>
      <c r="I572">
        <v>19.260000000000002</v>
      </c>
      <c r="J572" t="s">
        <v>34</v>
      </c>
      <c r="K572" t="s">
        <v>18</v>
      </c>
      <c r="L572">
        <f>WEEKDAY(Table1[[#This Row],[Transaction_Date]],2)</f>
        <v>1</v>
      </c>
      <c r="M572">
        <f>IF(Table1[[#This Row],[Sale_Type]]="Buffet",1,0)</f>
        <v>0</v>
      </c>
    </row>
    <row r="573" spans="1:13" x14ac:dyDescent="0.2">
      <c r="A573" t="s">
        <v>820</v>
      </c>
      <c r="B573" t="s">
        <v>591</v>
      </c>
      <c r="C573" s="1">
        <v>45957</v>
      </c>
      <c r="D573" t="s">
        <v>213</v>
      </c>
      <c r="E573" t="s">
        <v>43</v>
      </c>
      <c r="F573" t="s">
        <v>50</v>
      </c>
      <c r="G573" t="s">
        <v>16</v>
      </c>
      <c r="H573">
        <v>3</v>
      </c>
      <c r="I573">
        <v>109.12</v>
      </c>
      <c r="J573" t="s">
        <v>17</v>
      </c>
      <c r="K573" t="s">
        <v>18</v>
      </c>
      <c r="L573">
        <f>WEEKDAY(Table1[[#This Row],[Transaction_Date]],2)</f>
        <v>1</v>
      </c>
      <c r="M573">
        <f>IF(Table1[[#This Row],[Sale_Type]]="Buffet",1,0)</f>
        <v>0</v>
      </c>
    </row>
    <row r="574" spans="1:13" x14ac:dyDescent="0.2">
      <c r="A574" t="s">
        <v>821</v>
      </c>
      <c r="B574" t="s">
        <v>822</v>
      </c>
      <c r="C574" s="1">
        <v>45957</v>
      </c>
      <c r="D574" t="s">
        <v>213</v>
      </c>
      <c r="E574" t="s">
        <v>43</v>
      </c>
      <c r="F574" t="s">
        <v>50</v>
      </c>
      <c r="G574" t="s">
        <v>16</v>
      </c>
      <c r="H574">
        <v>3</v>
      </c>
      <c r="I574">
        <v>37.49</v>
      </c>
      <c r="J574" t="s">
        <v>17</v>
      </c>
      <c r="K574" t="s">
        <v>21</v>
      </c>
      <c r="L574">
        <f>WEEKDAY(Table1[[#This Row],[Transaction_Date]],2)</f>
        <v>1</v>
      </c>
      <c r="M574">
        <f>IF(Table1[[#This Row],[Sale_Type]]="Buffet",1,0)</f>
        <v>0</v>
      </c>
    </row>
    <row r="575" spans="1:13" x14ac:dyDescent="0.2">
      <c r="A575" t="s">
        <v>823</v>
      </c>
      <c r="B575" t="s">
        <v>318</v>
      </c>
      <c r="C575" s="1">
        <v>45957</v>
      </c>
      <c r="D575" t="s">
        <v>213</v>
      </c>
      <c r="E575" t="s">
        <v>43</v>
      </c>
      <c r="F575" t="s">
        <v>50</v>
      </c>
      <c r="G575" t="s">
        <v>16</v>
      </c>
      <c r="H575">
        <v>3</v>
      </c>
      <c r="I575">
        <v>74.930000000000007</v>
      </c>
      <c r="J575" t="s">
        <v>17</v>
      </c>
      <c r="K575" t="s">
        <v>18</v>
      </c>
      <c r="L575">
        <f>WEEKDAY(Table1[[#This Row],[Transaction_Date]],2)</f>
        <v>1</v>
      </c>
      <c r="M575">
        <f>IF(Table1[[#This Row],[Sale_Type]]="Buffet",1,0)</f>
        <v>0</v>
      </c>
    </row>
    <row r="576" spans="1:13" x14ac:dyDescent="0.2">
      <c r="A576" t="s">
        <v>824</v>
      </c>
      <c r="B576" t="s">
        <v>663</v>
      </c>
      <c r="C576" s="1">
        <v>45957</v>
      </c>
      <c r="D576" t="s">
        <v>213</v>
      </c>
      <c r="E576" t="s">
        <v>43</v>
      </c>
      <c r="F576" t="s">
        <v>53</v>
      </c>
      <c r="G576" t="s">
        <v>16</v>
      </c>
      <c r="H576">
        <v>3</v>
      </c>
      <c r="I576">
        <v>50.39</v>
      </c>
      <c r="J576" t="s">
        <v>34</v>
      </c>
      <c r="K576" t="s">
        <v>18</v>
      </c>
      <c r="L576">
        <f>WEEKDAY(Table1[[#This Row],[Transaction_Date]],2)</f>
        <v>1</v>
      </c>
      <c r="M576">
        <f>IF(Table1[[#This Row],[Sale_Type]]="Buffet",1,0)</f>
        <v>0</v>
      </c>
    </row>
    <row r="577" spans="1:13" x14ac:dyDescent="0.2">
      <c r="A577" t="s">
        <v>825</v>
      </c>
      <c r="B577" t="s">
        <v>245</v>
      </c>
      <c r="C577" s="1">
        <v>45957</v>
      </c>
      <c r="D577" t="s">
        <v>213</v>
      </c>
      <c r="E577" t="s">
        <v>43</v>
      </c>
      <c r="F577" t="s">
        <v>53</v>
      </c>
      <c r="G577" t="s">
        <v>16</v>
      </c>
      <c r="H577">
        <v>2</v>
      </c>
      <c r="I577">
        <v>41.76</v>
      </c>
      <c r="J577" t="s">
        <v>28</v>
      </c>
      <c r="K577" t="s">
        <v>18</v>
      </c>
      <c r="L577">
        <f>WEEKDAY(Table1[[#This Row],[Transaction_Date]],2)</f>
        <v>1</v>
      </c>
      <c r="M577">
        <f>IF(Table1[[#This Row],[Sale_Type]]="Buffet",1,0)</f>
        <v>0</v>
      </c>
    </row>
    <row r="578" spans="1:13" x14ac:dyDescent="0.2">
      <c r="A578" t="s">
        <v>826</v>
      </c>
      <c r="B578" t="s">
        <v>537</v>
      </c>
      <c r="C578" s="1">
        <v>45958</v>
      </c>
      <c r="D578" t="s">
        <v>250</v>
      </c>
      <c r="E578" t="s">
        <v>14</v>
      </c>
      <c r="F578" t="s">
        <v>15</v>
      </c>
      <c r="G578" t="s">
        <v>16</v>
      </c>
      <c r="H578">
        <v>3</v>
      </c>
      <c r="I578">
        <v>83.03</v>
      </c>
      <c r="J578" t="s">
        <v>28</v>
      </c>
      <c r="K578" t="s">
        <v>18</v>
      </c>
      <c r="L578">
        <f>WEEKDAY(Table1[[#This Row],[Transaction_Date]],2)</f>
        <v>2</v>
      </c>
      <c r="M578">
        <f>IF(Table1[[#This Row],[Sale_Type]]="Buffet",1,0)</f>
        <v>0</v>
      </c>
    </row>
    <row r="579" spans="1:13" x14ac:dyDescent="0.2">
      <c r="A579" t="s">
        <v>827</v>
      </c>
      <c r="B579" t="s">
        <v>233</v>
      </c>
      <c r="C579" s="1">
        <v>45958</v>
      </c>
      <c r="D579" t="s">
        <v>250</v>
      </c>
      <c r="E579" t="s">
        <v>14</v>
      </c>
      <c r="F579" t="s">
        <v>15</v>
      </c>
      <c r="G579" t="s">
        <v>16</v>
      </c>
      <c r="H579">
        <v>2</v>
      </c>
      <c r="I579">
        <v>78.06</v>
      </c>
      <c r="J579" t="s">
        <v>34</v>
      </c>
      <c r="K579" t="s">
        <v>18</v>
      </c>
      <c r="L579">
        <f>WEEKDAY(Table1[[#This Row],[Transaction_Date]],2)</f>
        <v>2</v>
      </c>
      <c r="M579">
        <f>IF(Table1[[#This Row],[Sale_Type]]="Buffet",1,0)</f>
        <v>0</v>
      </c>
    </row>
    <row r="580" spans="1:13" x14ac:dyDescent="0.2">
      <c r="A580" t="s">
        <v>828</v>
      </c>
      <c r="B580" t="s">
        <v>537</v>
      </c>
      <c r="C580" s="1">
        <v>45958</v>
      </c>
      <c r="D580" t="s">
        <v>250</v>
      </c>
      <c r="E580" t="s">
        <v>14</v>
      </c>
      <c r="F580" t="s">
        <v>24</v>
      </c>
      <c r="G580" t="s">
        <v>16</v>
      </c>
      <c r="H580">
        <v>4</v>
      </c>
      <c r="I580">
        <v>103</v>
      </c>
      <c r="J580" t="s">
        <v>17</v>
      </c>
      <c r="K580" t="s">
        <v>18</v>
      </c>
      <c r="L580">
        <f>WEEKDAY(Table1[[#This Row],[Transaction_Date]],2)</f>
        <v>2</v>
      </c>
      <c r="M580">
        <f>IF(Table1[[#This Row],[Sale_Type]]="Buffet",1,0)</f>
        <v>0</v>
      </c>
    </row>
    <row r="581" spans="1:13" x14ac:dyDescent="0.2">
      <c r="A581" t="s">
        <v>829</v>
      </c>
      <c r="B581" t="s">
        <v>684</v>
      </c>
      <c r="C581" s="1">
        <v>45958</v>
      </c>
      <c r="D581" t="s">
        <v>250</v>
      </c>
      <c r="E581" t="s">
        <v>14</v>
      </c>
      <c r="F581" t="s">
        <v>24</v>
      </c>
      <c r="G581" t="s">
        <v>16</v>
      </c>
      <c r="H581">
        <v>2</v>
      </c>
      <c r="I581">
        <v>65.5</v>
      </c>
      <c r="J581" t="s">
        <v>17</v>
      </c>
      <c r="K581" t="s">
        <v>18</v>
      </c>
      <c r="L581">
        <f>WEEKDAY(Table1[[#This Row],[Transaction_Date]],2)</f>
        <v>2</v>
      </c>
      <c r="M581">
        <f>IF(Table1[[#This Row],[Sale_Type]]="Buffet",1,0)</f>
        <v>0</v>
      </c>
    </row>
    <row r="582" spans="1:13" x14ac:dyDescent="0.2">
      <c r="A582" t="s">
        <v>830</v>
      </c>
      <c r="B582" t="s">
        <v>486</v>
      </c>
      <c r="C582" s="1">
        <v>45958</v>
      </c>
      <c r="D582" t="s">
        <v>250</v>
      </c>
      <c r="E582" t="s">
        <v>14</v>
      </c>
      <c r="F582" t="s">
        <v>24</v>
      </c>
      <c r="G582" t="s">
        <v>16</v>
      </c>
      <c r="H582">
        <v>2</v>
      </c>
      <c r="I582">
        <v>80.290000000000006</v>
      </c>
      <c r="J582" t="s">
        <v>34</v>
      </c>
      <c r="K582" t="s">
        <v>18</v>
      </c>
      <c r="L582">
        <f>WEEKDAY(Table1[[#This Row],[Transaction_Date]],2)</f>
        <v>2</v>
      </c>
      <c r="M582">
        <f>IF(Table1[[#This Row],[Sale_Type]]="Buffet",1,0)</f>
        <v>0</v>
      </c>
    </row>
    <row r="583" spans="1:13" x14ac:dyDescent="0.2">
      <c r="A583" t="s">
        <v>831</v>
      </c>
      <c r="B583" t="s">
        <v>423</v>
      </c>
      <c r="C583" s="1">
        <v>45958</v>
      </c>
      <c r="D583" t="s">
        <v>250</v>
      </c>
      <c r="E583" t="s">
        <v>14</v>
      </c>
      <c r="F583" t="s">
        <v>27</v>
      </c>
      <c r="G583" t="s">
        <v>16</v>
      </c>
      <c r="H583">
        <v>1</v>
      </c>
      <c r="I583">
        <v>63.07</v>
      </c>
      <c r="J583" t="s">
        <v>34</v>
      </c>
      <c r="K583" t="s">
        <v>18</v>
      </c>
      <c r="L583">
        <f>WEEKDAY(Table1[[#This Row],[Transaction_Date]],2)</f>
        <v>2</v>
      </c>
      <c r="M583">
        <f>IF(Table1[[#This Row],[Sale_Type]]="Buffet",1,0)</f>
        <v>0</v>
      </c>
    </row>
    <row r="584" spans="1:13" x14ac:dyDescent="0.2">
      <c r="A584" t="s">
        <v>832</v>
      </c>
      <c r="B584" t="s">
        <v>833</v>
      </c>
      <c r="C584" s="1">
        <v>45958</v>
      </c>
      <c r="D584" t="s">
        <v>250</v>
      </c>
      <c r="E584" t="s">
        <v>14</v>
      </c>
      <c r="F584" t="s">
        <v>27</v>
      </c>
      <c r="G584" t="s">
        <v>16</v>
      </c>
      <c r="H584">
        <v>5</v>
      </c>
      <c r="I584">
        <v>141.61000000000001</v>
      </c>
      <c r="J584" t="s">
        <v>17</v>
      </c>
      <c r="K584" t="s">
        <v>18</v>
      </c>
      <c r="L584">
        <f>WEEKDAY(Table1[[#This Row],[Transaction_Date]],2)</f>
        <v>2</v>
      </c>
      <c r="M584">
        <f>IF(Table1[[#This Row],[Sale_Type]]="Buffet",1,0)</f>
        <v>0</v>
      </c>
    </row>
    <row r="585" spans="1:13" x14ac:dyDescent="0.2">
      <c r="A585" t="s">
        <v>834</v>
      </c>
      <c r="B585" t="s">
        <v>245</v>
      </c>
      <c r="C585" s="1">
        <v>45958</v>
      </c>
      <c r="D585" t="s">
        <v>250</v>
      </c>
      <c r="E585" t="s">
        <v>14</v>
      </c>
      <c r="F585" t="s">
        <v>27</v>
      </c>
      <c r="G585" t="s">
        <v>16</v>
      </c>
      <c r="H585">
        <v>3</v>
      </c>
      <c r="I585">
        <v>59.99</v>
      </c>
      <c r="J585" t="s">
        <v>17</v>
      </c>
      <c r="K585" t="s">
        <v>21</v>
      </c>
      <c r="L585">
        <f>WEEKDAY(Table1[[#This Row],[Transaction_Date]],2)</f>
        <v>2</v>
      </c>
      <c r="M585">
        <f>IF(Table1[[#This Row],[Sale_Type]]="Buffet",1,0)</f>
        <v>0</v>
      </c>
    </row>
    <row r="586" spans="1:13" x14ac:dyDescent="0.2">
      <c r="A586" t="s">
        <v>835</v>
      </c>
      <c r="B586" t="s">
        <v>95</v>
      </c>
      <c r="C586" s="1">
        <v>45958</v>
      </c>
      <c r="D586" t="s">
        <v>250</v>
      </c>
      <c r="E586" t="s">
        <v>14</v>
      </c>
      <c r="F586" t="s">
        <v>27</v>
      </c>
      <c r="G586" t="s">
        <v>16</v>
      </c>
      <c r="H586">
        <v>3</v>
      </c>
      <c r="I586">
        <v>66.95</v>
      </c>
      <c r="J586" t="s">
        <v>34</v>
      </c>
      <c r="K586" t="s">
        <v>18</v>
      </c>
      <c r="L586">
        <f>WEEKDAY(Table1[[#This Row],[Transaction_Date]],2)</f>
        <v>2</v>
      </c>
      <c r="M586">
        <f>IF(Table1[[#This Row],[Sale_Type]]="Buffet",1,0)</f>
        <v>0</v>
      </c>
    </row>
    <row r="587" spans="1:13" x14ac:dyDescent="0.2">
      <c r="A587" t="s">
        <v>836</v>
      </c>
      <c r="B587" t="s">
        <v>160</v>
      </c>
      <c r="C587" s="1">
        <v>45958</v>
      </c>
      <c r="D587" t="s">
        <v>250</v>
      </c>
      <c r="E587" t="s">
        <v>14</v>
      </c>
      <c r="F587" t="s">
        <v>31</v>
      </c>
      <c r="G587" t="s">
        <v>16</v>
      </c>
      <c r="H587">
        <v>5</v>
      </c>
      <c r="I587">
        <v>132.47</v>
      </c>
      <c r="J587" t="s">
        <v>34</v>
      </c>
      <c r="K587" t="s">
        <v>18</v>
      </c>
      <c r="L587">
        <f>WEEKDAY(Table1[[#This Row],[Transaction_Date]],2)</f>
        <v>2</v>
      </c>
      <c r="M587">
        <f>IF(Table1[[#This Row],[Sale_Type]]="Buffet",1,0)</f>
        <v>0</v>
      </c>
    </row>
    <row r="588" spans="1:13" x14ac:dyDescent="0.2">
      <c r="A588" t="s">
        <v>837</v>
      </c>
      <c r="B588" t="s">
        <v>174</v>
      </c>
      <c r="C588" s="1">
        <v>45958</v>
      </c>
      <c r="D588" t="s">
        <v>250</v>
      </c>
      <c r="E588" t="s">
        <v>14</v>
      </c>
      <c r="F588" t="s">
        <v>31</v>
      </c>
      <c r="G588" t="s">
        <v>16</v>
      </c>
      <c r="H588">
        <v>3</v>
      </c>
      <c r="I588">
        <v>77.91</v>
      </c>
      <c r="J588" t="s">
        <v>17</v>
      </c>
      <c r="K588" t="s">
        <v>21</v>
      </c>
      <c r="L588">
        <f>WEEKDAY(Table1[[#This Row],[Transaction_Date]],2)</f>
        <v>2</v>
      </c>
      <c r="M588">
        <f>IF(Table1[[#This Row],[Sale_Type]]="Buffet",1,0)</f>
        <v>0</v>
      </c>
    </row>
    <row r="589" spans="1:13" x14ac:dyDescent="0.2">
      <c r="A589" t="s">
        <v>838</v>
      </c>
      <c r="B589" t="s">
        <v>98</v>
      </c>
      <c r="C589" s="1">
        <v>45958</v>
      </c>
      <c r="D589" t="s">
        <v>250</v>
      </c>
      <c r="E589" t="s">
        <v>14</v>
      </c>
      <c r="F589" t="s">
        <v>31</v>
      </c>
      <c r="G589" t="s">
        <v>16</v>
      </c>
      <c r="H589">
        <v>2</v>
      </c>
      <c r="I589">
        <v>92.54</v>
      </c>
      <c r="J589" t="s">
        <v>17</v>
      </c>
      <c r="K589" t="s">
        <v>21</v>
      </c>
      <c r="L589">
        <f>WEEKDAY(Table1[[#This Row],[Transaction_Date]],2)</f>
        <v>2</v>
      </c>
      <c r="M589">
        <f>IF(Table1[[#This Row],[Sale_Type]]="Buffet",1,0)</f>
        <v>0</v>
      </c>
    </row>
    <row r="590" spans="1:13" x14ac:dyDescent="0.2">
      <c r="A590" t="s">
        <v>839</v>
      </c>
      <c r="B590" t="s">
        <v>102</v>
      </c>
      <c r="C590" s="1">
        <v>45958</v>
      </c>
      <c r="D590" t="s">
        <v>250</v>
      </c>
      <c r="E590" t="s">
        <v>14</v>
      </c>
      <c r="F590" t="s">
        <v>40</v>
      </c>
      <c r="G590" t="s">
        <v>16</v>
      </c>
      <c r="H590">
        <v>2</v>
      </c>
      <c r="I590">
        <v>63.84</v>
      </c>
      <c r="J590" t="s">
        <v>34</v>
      </c>
      <c r="K590" t="s">
        <v>21</v>
      </c>
      <c r="L590">
        <f>WEEKDAY(Table1[[#This Row],[Transaction_Date]],2)</f>
        <v>2</v>
      </c>
      <c r="M590">
        <f>IF(Table1[[#This Row],[Sale_Type]]="Buffet",1,0)</f>
        <v>0</v>
      </c>
    </row>
    <row r="591" spans="1:13" x14ac:dyDescent="0.2">
      <c r="A591" t="s">
        <v>840</v>
      </c>
      <c r="B591" t="s">
        <v>372</v>
      </c>
      <c r="C591" s="1">
        <v>45958</v>
      </c>
      <c r="D591" t="s">
        <v>250</v>
      </c>
      <c r="E591" t="s">
        <v>14</v>
      </c>
      <c r="F591" t="s">
        <v>40</v>
      </c>
      <c r="G591" t="s">
        <v>16</v>
      </c>
      <c r="H591">
        <v>2</v>
      </c>
      <c r="I591">
        <v>57.5</v>
      </c>
      <c r="J591" t="s">
        <v>28</v>
      </c>
      <c r="K591" t="s">
        <v>18</v>
      </c>
      <c r="L591">
        <f>WEEKDAY(Table1[[#This Row],[Transaction_Date]],2)</f>
        <v>2</v>
      </c>
      <c r="M591">
        <f>IF(Table1[[#This Row],[Sale_Type]]="Buffet",1,0)</f>
        <v>0</v>
      </c>
    </row>
    <row r="592" spans="1:13" x14ac:dyDescent="0.2">
      <c r="A592" t="s">
        <v>841</v>
      </c>
      <c r="B592" t="s">
        <v>59</v>
      </c>
      <c r="C592" s="1">
        <v>45958</v>
      </c>
      <c r="D592" t="s">
        <v>250</v>
      </c>
      <c r="E592" t="s">
        <v>43</v>
      </c>
      <c r="F592" t="s">
        <v>44</v>
      </c>
      <c r="G592" t="s">
        <v>16</v>
      </c>
      <c r="H592">
        <v>6</v>
      </c>
      <c r="I592">
        <v>48.69</v>
      </c>
      <c r="J592" t="s">
        <v>17</v>
      </c>
      <c r="K592" t="s">
        <v>18</v>
      </c>
      <c r="L592">
        <f>WEEKDAY(Table1[[#This Row],[Transaction_Date]],2)</f>
        <v>2</v>
      </c>
      <c r="M592">
        <f>IF(Table1[[#This Row],[Sale_Type]]="Buffet",1,0)</f>
        <v>0</v>
      </c>
    </row>
    <row r="593" spans="1:13" x14ac:dyDescent="0.2">
      <c r="A593" t="s">
        <v>842</v>
      </c>
      <c r="B593" t="s">
        <v>843</v>
      </c>
      <c r="C593" s="1">
        <v>45958</v>
      </c>
      <c r="D593" t="s">
        <v>250</v>
      </c>
      <c r="E593" t="s">
        <v>43</v>
      </c>
      <c r="F593" t="s">
        <v>44</v>
      </c>
      <c r="G593" t="s">
        <v>16</v>
      </c>
      <c r="H593">
        <v>4</v>
      </c>
      <c r="I593">
        <v>75.900000000000006</v>
      </c>
      <c r="J593" t="s">
        <v>17</v>
      </c>
      <c r="K593" t="s">
        <v>18</v>
      </c>
      <c r="L593">
        <f>WEEKDAY(Table1[[#This Row],[Transaction_Date]],2)</f>
        <v>2</v>
      </c>
      <c r="M593">
        <f>IF(Table1[[#This Row],[Sale_Type]]="Buffet",1,0)</f>
        <v>0</v>
      </c>
    </row>
    <row r="594" spans="1:13" x14ac:dyDescent="0.2">
      <c r="A594" t="s">
        <v>844</v>
      </c>
      <c r="B594" t="s">
        <v>733</v>
      </c>
      <c r="C594" s="1">
        <v>45958</v>
      </c>
      <c r="D594" t="s">
        <v>250</v>
      </c>
      <c r="E594" t="s">
        <v>43</v>
      </c>
      <c r="F594" t="s">
        <v>44</v>
      </c>
      <c r="G594" t="s">
        <v>16</v>
      </c>
      <c r="H594">
        <v>4</v>
      </c>
      <c r="I594">
        <v>103.03</v>
      </c>
      <c r="J594" t="s">
        <v>17</v>
      </c>
      <c r="K594" t="s">
        <v>18</v>
      </c>
      <c r="L594">
        <f>WEEKDAY(Table1[[#This Row],[Transaction_Date]],2)</f>
        <v>2</v>
      </c>
      <c r="M594">
        <f>IF(Table1[[#This Row],[Sale_Type]]="Buffet",1,0)</f>
        <v>0</v>
      </c>
    </row>
    <row r="595" spans="1:13" x14ac:dyDescent="0.2">
      <c r="A595" t="s">
        <v>845</v>
      </c>
      <c r="B595" t="s">
        <v>228</v>
      </c>
      <c r="C595" s="1">
        <v>45958</v>
      </c>
      <c r="D595" t="s">
        <v>250</v>
      </c>
      <c r="E595" t="s">
        <v>43</v>
      </c>
      <c r="F595" t="s">
        <v>50</v>
      </c>
      <c r="G595" t="s">
        <v>16</v>
      </c>
      <c r="H595">
        <v>3</v>
      </c>
      <c r="I595">
        <v>68.540000000000006</v>
      </c>
      <c r="J595" t="s">
        <v>17</v>
      </c>
      <c r="K595" t="s">
        <v>21</v>
      </c>
      <c r="L595">
        <f>WEEKDAY(Table1[[#This Row],[Transaction_Date]],2)</f>
        <v>2</v>
      </c>
      <c r="M595">
        <f>IF(Table1[[#This Row],[Sale_Type]]="Buffet",1,0)</f>
        <v>0</v>
      </c>
    </row>
    <row r="596" spans="1:13" x14ac:dyDescent="0.2">
      <c r="A596" t="s">
        <v>846</v>
      </c>
      <c r="B596" t="s">
        <v>300</v>
      </c>
      <c r="C596" s="1">
        <v>45958</v>
      </c>
      <c r="D596" t="s">
        <v>250</v>
      </c>
      <c r="E596" t="s">
        <v>43</v>
      </c>
      <c r="F596" t="s">
        <v>50</v>
      </c>
      <c r="G596" t="s">
        <v>16</v>
      </c>
      <c r="H596">
        <v>2</v>
      </c>
      <c r="I596">
        <v>23.13</v>
      </c>
      <c r="J596" t="s">
        <v>28</v>
      </c>
      <c r="K596" t="s">
        <v>21</v>
      </c>
      <c r="L596">
        <f>WEEKDAY(Table1[[#This Row],[Transaction_Date]],2)</f>
        <v>2</v>
      </c>
      <c r="M596">
        <f>IF(Table1[[#This Row],[Sale_Type]]="Buffet",1,0)</f>
        <v>0</v>
      </c>
    </row>
    <row r="597" spans="1:13" x14ac:dyDescent="0.2">
      <c r="A597" t="s">
        <v>847</v>
      </c>
      <c r="B597" t="s">
        <v>495</v>
      </c>
      <c r="C597" s="1">
        <v>45958</v>
      </c>
      <c r="D597" t="s">
        <v>250</v>
      </c>
      <c r="E597" t="s">
        <v>43</v>
      </c>
      <c r="F597" t="s">
        <v>50</v>
      </c>
      <c r="G597" t="s">
        <v>16</v>
      </c>
      <c r="H597">
        <v>1</v>
      </c>
      <c r="I597">
        <v>23.75</v>
      </c>
      <c r="J597" t="s">
        <v>17</v>
      </c>
      <c r="K597" t="s">
        <v>21</v>
      </c>
      <c r="L597">
        <f>WEEKDAY(Table1[[#This Row],[Transaction_Date]],2)</f>
        <v>2</v>
      </c>
      <c r="M597">
        <f>IF(Table1[[#This Row],[Sale_Type]]="Buffet",1,0)</f>
        <v>0</v>
      </c>
    </row>
    <row r="598" spans="1:13" x14ac:dyDescent="0.2">
      <c r="A598" t="s">
        <v>848</v>
      </c>
      <c r="B598" t="s">
        <v>564</v>
      </c>
      <c r="C598" s="1">
        <v>45958</v>
      </c>
      <c r="D598" t="s">
        <v>250</v>
      </c>
      <c r="E598" t="s">
        <v>43</v>
      </c>
      <c r="F598" t="s">
        <v>50</v>
      </c>
      <c r="G598" t="s">
        <v>16</v>
      </c>
      <c r="H598">
        <v>4</v>
      </c>
      <c r="I598">
        <v>47.68</v>
      </c>
      <c r="J598" t="s">
        <v>34</v>
      </c>
      <c r="K598" t="s">
        <v>18</v>
      </c>
      <c r="L598">
        <f>WEEKDAY(Table1[[#This Row],[Transaction_Date]],2)</f>
        <v>2</v>
      </c>
      <c r="M598">
        <f>IF(Table1[[#This Row],[Sale_Type]]="Buffet",1,0)</f>
        <v>0</v>
      </c>
    </row>
    <row r="599" spans="1:13" x14ac:dyDescent="0.2">
      <c r="A599" t="s">
        <v>849</v>
      </c>
      <c r="B599" t="s">
        <v>740</v>
      </c>
      <c r="C599" s="1">
        <v>45958</v>
      </c>
      <c r="D599" t="s">
        <v>250</v>
      </c>
      <c r="E599" t="s">
        <v>43</v>
      </c>
      <c r="F599" t="s">
        <v>57</v>
      </c>
      <c r="G599" t="s">
        <v>16</v>
      </c>
      <c r="H599">
        <v>2</v>
      </c>
      <c r="I599">
        <v>17.399999999999999</v>
      </c>
      <c r="J599" t="s">
        <v>17</v>
      </c>
      <c r="K599" t="s">
        <v>18</v>
      </c>
      <c r="L599">
        <f>WEEKDAY(Table1[[#This Row],[Transaction_Date]],2)</f>
        <v>2</v>
      </c>
      <c r="M599">
        <f>IF(Table1[[#This Row],[Sale_Type]]="Buffet",1,0)</f>
        <v>0</v>
      </c>
    </row>
    <row r="600" spans="1:13" x14ac:dyDescent="0.2">
      <c r="A600" t="s">
        <v>850</v>
      </c>
      <c r="B600" t="s">
        <v>87</v>
      </c>
      <c r="C600" s="1">
        <v>45959</v>
      </c>
      <c r="D600" t="s">
        <v>13</v>
      </c>
      <c r="E600" t="s">
        <v>14</v>
      </c>
      <c r="F600" t="s">
        <v>15</v>
      </c>
      <c r="G600" t="s">
        <v>16</v>
      </c>
      <c r="H600">
        <v>1</v>
      </c>
      <c r="I600">
        <v>32.19</v>
      </c>
      <c r="J600" t="s">
        <v>17</v>
      </c>
      <c r="K600" t="s">
        <v>18</v>
      </c>
      <c r="L600">
        <f>WEEKDAY(Table1[[#This Row],[Transaction_Date]],2)</f>
        <v>3</v>
      </c>
      <c r="M600">
        <f>IF(Table1[[#This Row],[Sale_Type]]="Buffet",1,0)</f>
        <v>0</v>
      </c>
    </row>
    <row r="601" spans="1:13" x14ac:dyDescent="0.2">
      <c r="A601" t="s">
        <v>851</v>
      </c>
      <c r="B601" t="s">
        <v>135</v>
      </c>
      <c r="C601" s="1">
        <v>45959</v>
      </c>
      <c r="D601" t="s">
        <v>13</v>
      </c>
      <c r="E601" t="s">
        <v>14</v>
      </c>
      <c r="F601" t="s">
        <v>24</v>
      </c>
      <c r="G601" t="s">
        <v>16</v>
      </c>
      <c r="H601">
        <v>3</v>
      </c>
      <c r="I601">
        <v>75.73</v>
      </c>
      <c r="J601" t="s">
        <v>17</v>
      </c>
      <c r="K601" t="s">
        <v>18</v>
      </c>
      <c r="L601">
        <f>WEEKDAY(Table1[[#This Row],[Transaction_Date]],2)</f>
        <v>3</v>
      </c>
      <c r="M601">
        <f>IF(Table1[[#This Row],[Sale_Type]]="Buffet",1,0)</f>
        <v>0</v>
      </c>
    </row>
    <row r="602" spans="1:13" x14ac:dyDescent="0.2">
      <c r="A602" t="s">
        <v>852</v>
      </c>
      <c r="B602" t="s">
        <v>70</v>
      </c>
      <c r="C602" s="1">
        <v>45959</v>
      </c>
      <c r="D602" t="s">
        <v>13</v>
      </c>
      <c r="E602" t="s">
        <v>14</v>
      </c>
      <c r="F602" t="s">
        <v>24</v>
      </c>
      <c r="G602" t="s">
        <v>16</v>
      </c>
      <c r="H602">
        <v>3</v>
      </c>
      <c r="I602">
        <v>41.6</v>
      </c>
      <c r="J602" t="s">
        <v>17</v>
      </c>
      <c r="K602" t="s">
        <v>18</v>
      </c>
      <c r="L602">
        <f>WEEKDAY(Table1[[#This Row],[Transaction_Date]],2)</f>
        <v>3</v>
      </c>
      <c r="M602">
        <f>IF(Table1[[#This Row],[Sale_Type]]="Buffet",1,0)</f>
        <v>0</v>
      </c>
    </row>
    <row r="603" spans="1:13" x14ac:dyDescent="0.2">
      <c r="A603" t="s">
        <v>853</v>
      </c>
      <c r="B603" t="s">
        <v>61</v>
      </c>
      <c r="C603" s="1">
        <v>45959</v>
      </c>
      <c r="D603" t="s">
        <v>13</v>
      </c>
      <c r="E603" t="s">
        <v>14</v>
      </c>
      <c r="F603" t="s">
        <v>24</v>
      </c>
      <c r="G603" t="s">
        <v>16</v>
      </c>
      <c r="H603">
        <v>5</v>
      </c>
      <c r="I603">
        <v>108.31</v>
      </c>
      <c r="J603" t="s">
        <v>34</v>
      </c>
      <c r="K603" t="s">
        <v>18</v>
      </c>
      <c r="L603">
        <f>WEEKDAY(Table1[[#This Row],[Transaction_Date]],2)</f>
        <v>3</v>
      </c>
      <c r="M603">
        <f>IF(Table1[[#This Row],[Sale_Type]]="Buffet",1,0)</f>
        <v>0</v>
      </c>
    </row>
    <row r="604" spans="1:13" x14ac:dyDescent="0.2">
      <c r="A604" t="s">
        <v>854</v>
      </c>
      <c r="B604" t="s">
        <v>129</v>
      </c>
      <c r="C604" s="1">
        <v>45959</v>
      </c>
      <c r="D604" t="s">
        <v>13</v>
      </c>
      <c r="E604" t="s">
        <v>14</v>
      </c>
      <c r="F604" t="s">
        <v>24</v>
      </c>
      <c r="G604" t="s">
        <v>16</v>
      </c>
      <c r="H604">
        <v>2</v>
      </c>
      <c r="I604">
        <v>48.79</v>
      </c>
      <c r="J604" t="s">
        <v>17</v>
      </c>
      <c r="K604" t="s">
        <v>21</v>
      </c>
      <c r="L604">
        <f>WEEKDAY(Table1[[#This Row],[Transaction_Date]],2)</f>
        <v>3</v>
      </c>
      <c r="M604">
        <f>IF(Table1[[#This Row],[Sale_Type]]="Buffet",1,0)</f>
        <v>0</v>
      </c>
    </row>
    <row r="605" spans="1:13" x14ac:dyDescent="0.2">
      <c r="A605" t="s">
        <v>855</v>
      </c>
      <c r="B605" t="s">
        <v>270</v>
      </c>
      <c r="C605" s="1">
        <v>45959</v>
      </c>
      <c r="D605" t="s">
        <v>13</v>
      </c>
      <c r="E605" t="s">
        <v>14</v>
      </c>
      <c r="F605" t="s">
        <v>27</v>
      </c>
      <c r="G605" t="s">
        <v>16</v>
      </c>
      <c r="H605">
        <v>1</v>
      </c>
      <c r="I605">
        <v>47.61</v>
      </c>
      <c r="J605" t="s">
        <v>28</v>
      </c>
      <c r="K605" t="s">
        <v>18</v>
      </c>
      <c r="L605">
        <f>WEEKDAY(Table1[[#This Row],[Transaction_Date]],2)</f>
        <v>3</v>
      </c>
      <c r="M605">
        <f>IF(Table1[[#This Row],[Sale_Type]]="Buffet",1,0)</f>
        <v>0</v>
      </c>
    </row>
    <row r="606" spans="1:13" x14ac:dyDescent="0.2">
      <c r="A606" t="s">
        <v>856</v>
      </c>
      <c r="B606" t="s">
        <v>503</v>
      </c>
      <c r="C606" s="1">
        <v>45959</v>
      </c>
      <c r="D606" t="s">
        <v>13</v>
      </c>
      <c r="E606" t="s">
        <v>14</v>
      </c>
      <c r="F606" t="s">
        <v>27</v>
      </c>
      <c r="G606" t="s">
        <v>16</v>
      </c>
      <c r="H606">
        <v>1</v>
      </c>
      <c r="I606">
        <v>82.82</v>
      </c>
      <c r="J606" t="s">
        <v>28</v>
      </c>
      <c r="K606" t="s">
        <v>18</v>
      </c>
      <c r="L606">
        <f>WEEKDAY(Table1[[#This Row],[Transaction_Date]],2)</f>
        <v>3</v>
      </c>
      <c r="M606">
        <f>IF(Table1[[#This Row],[Sale_Type]]="Buffet",1,0)</f>
        <v>0</v>
      </c>
    </row>
    <row r="607" spans="1:13" x14ac:dyDescent="0.2">
      <c r="A607" t="s">
        <v>857</v>
      </c>
      <c r="B607" t="s">
        <v>858</v>
      </c>
      <c r="C607" s="1">
        <v>45959</v>
      </c>
      <c r="D607" t="s">
        <v>13</v>
      </c>
      <c r="E607" t="s">
        <v>14</v>
      </c>
      <c r="F607" t="s">
        <v>40</v>
      </c>
      <c r="G607" t="s">
        <v>16</v>
      </c>
      <c r="H607">
        <v>2</v>
      </c>
      <c r="I607">
        <v>87.86</v>
      </c>
      <c r="J607" t="s">
        <v>17</v>
      </c>
      <c r="K607" t="s">
        <v>18</v>
      </c>
      <c r="L607">
        <f>WEEKDAY(Table1[[#This Row],[Transaction_Date]],2)</f>
        <v>3</v>
      </c>
      <c r="M607">
        <f>IF(Table1[[#This Row],[Sale_Type]]="Buffet",1,0)</f>
        <v>0</v>
      </c>
    </row>
    <row r="608" spans="1:13" x14ac:dyDescent="0.2">
      <c r="A608" t="s">
        <v>859</v>
      </c>
      <c r="B608" t="s">
        <v>843</v>
      </c>
      <c r="C608" s="1">
        <v>45959</v>
      </c>
      <c r="D608" t="s">
        <v>13</v>
      </c>
      <c r="E608" t="s">
        <v>14</v>
      </c>
      <c r="F608" t="s">
        <v>40</v>
      </c>
      <c r="G608" t="s">
        <v>16</v>
      </c>
      <c r="H608">
        <v>5</v>
      </c>
      <c r="I608">
        <v>239.03</v>
      </c>
      <c r="J608" t="s">
        <v>28</v>
      </c>
      <c r="K608" t="s">
        <v>21</v>
      </c>
      <c r="L608">
        <f>WEEKDAY(Table1[[#This Row],[Transaction_Date]],2)</f>
        <v>3</v>
      </c>
      <c r="M608">
        <f>IF(Table1[[#This Row],[Sale_Type]]="Buffet",1,0)</f>
        <v>0</v>
      </c>
    </row>
    <row r="609" spans="1:13" x14ac:dyDescent="0.2">
      <c r="A609" t="s">
        <v>860</v>
      </c>
      <c r="B609" t="s">
        <v>512</v>
      </c>
      <c r="C609" s="1">
        <v>45959</v>
      </c>
      <c r="D609" t="s">
        <v>13</v>
      </c>
      <c r="E609" t="s">
        <v>14</v>
      </c>
      <c r="F609" t="s">
        <v>40</v>
      </c>
      <c r="G609" t="s">
        <v>16</v>
      </c>
      <c r="H609">
        <v>4</v>
      </c>
      <c r="I609">
        <v>113.82</v>
      </c>
      <c r="J609" t="s">
        <v>34</v>
      </c>
      <c r="K609" t="s">
        <v>18</v>
      </c>
      <c r="L609">
        <f>WEEKDAY(Table1[[#This Row],[Transaction_Date]],2)</f>
        <v>3</v>
      </c>
      <c r="M609">
        <f>IF(Table1[[#This Row],[Sale_Type]]="Buffet",1,0)</f>
        <v>0</v>
      </c>
    </row>
    <row r="610" spans="1:13" x14ac:dyDescent="0.2">
      <c r="A610" t="s">
        <v>861</v>
      </c>
      <c r="B610" t="s">
        <v>91</v>
      </c>
      <c r="C610" s="1">
        <v>45959</v>
      </c>
      <c r="D610" t="s">
        <v>13</v>
      </c>
      <c r="E610" t="s">
        <v>43</v>
      </c>
      <c r="F610" t="s">
        <v>44</v>
      </c>
      <c r="G610" t="s">
        <v>45</v>
      </c>
      <c r="H610">
        <v>3</v>
      </c>
      <c r="I610">
        <v>60</v>
      </c>
      <c r="J610" t="s">
        <v>28</v>
      </c>
      <c r="K610" t="s">
        <v>18</v>
      </c>
      <c r="L610">
        <f>WEEKDAY(Table1[[#This Row],[Transaction_Date]],2)</f>
        <v>3</v>
      </c>
      <c r="M610">
        <f>IF(Table1[[#This Row],[Sale_Type]]="Buffet",1,0)</f>
        <v>1</v>
      </c>
    </row>
    <row r="611" spans="1:13" x14ac:dyDescent="0.2">
      <c r="A611" t="s">
        <v>862</v>
      </c>
      <c r="B611" t="s">
        <v>356</v>
      </c>
      <c r="C611" s="1">
        <v>45959</v>
      </c>
      <c r="D611" t="s">
        <v>13</v>
      </c>
      <c r="E611" t="s">
        <v>43</v>
      </c>
      <c r="F611" t="s">
        <v>44</v>
      </c>
      <c r="G611" t="s">
        <v>45</v>
      </c>
      <c r="H611">
        <v>1</v>
      </c>
      <c r="I611">
        <v>20</v>
      </c>
      <c r="J611" t="s">
        <v>17</v>
      </c>
      <c r="K611" t="s">
        <v>21</v>
      </c>
      <c r="L611">
        <f>WEEKDAY(Table1[[#This Row],[Transaction_Date]],2)</f>
        <v>3</v>
      </c>
      <c r="M611">
        <f>IF(Table1[[#This Row],[Sale_Type]]="Buffet",1,0)</f>
        <v>1</v>
      </c>
    </row>
    <row r="612" spans="1:13" x14ac:dyDescent="0.2">
      <c r="A612" t="s">
        <v>863</v>
      </c>
      <c r="B612" t="s">
        <v>864</v>
      </c>
      <c r="C612" s="1">
        <v>45959</v>
      </c>
      <c r="D612" t="s">
        <v>13</v>
      </c>
      <c r="E612" t="s">
        <v>43</v>
      </c>
      <c r="F612" t="s">
        <v>50</v>
      </c>
      <c r="G612" t="s">
        <v>45</v>
      </c>
      <c r="H612">
        <v>2</v>
      </c>
      <c r="I612">
        <v>40</v>
      </c>
      <c r="J612" t="s">
        <v>17</v>
      </c>
      <c r="K612" t="s">
        <v>21</v>
      </c>
      <c r="L612">
        <f>WEEKDAY(Table1[[#This Row],[Transaction_Date]],2)</f>
        <v>3</v>
      </c>
      <c r="M612">
        <f>IF(Table1[[#This Row],[Sale_Type]]="Buffet",1,0)</f>
        <v>1</v>
      </c>
    </row>
    <row r="613" spans="1:13" x14ac:dyDescent="0.2">
      <c r="A613" t="s">
        <v>865</v>
      </c>
      <c r="B613" t="s">
        <v>866</v>
      </c>
      <c r="C613" s="1">
        <v>45959</v>
      </c>
      <c r="D613" t="s">
        <v>13</v>
      </c>
      <c r="E613" t="s">
        <v>43</v>
      </c>
      <c r="F613" t="s">
        <v>50</v>
      </c>
      <c r="G613" t="s">
        <v>45</v>
      </c>
      <c r="H613">
        <v>4</v>
      </c>
      <c r="I613">
        <v>80</v>
      </c>
      <c r="J613" t="s">
        <v>17</v>
      </c>
      <c r="K613" t="s">
        <v>18</v>
      </c>
      <c r="L613">
        <f>WEEKDAY(Table1[[#This Row],[Transaction_Date]],2)</f>
        <v>3</v>
      </c>
      <c r="M613">
        <f>IF(Table1[[#This Row],[Sale_Type]]="Buffet",1,0)</f>
        <v>1</v>
      </c>
    </row>
    <row r="614" spans="1:13" x14ac:dyDescent="0.2">
      <c r="A614" t="s">
        <v>867</v>
      </c>
      <c r="B614" t="s">
        <v>843</v>
      </c>
      <c r="C614" s="1">
        <v>45959</v>
      </c>
      <c r="D614" t="s">
        <v>13</v>
      </c>
      <c r="E614" t="s">
        <v>43</v>
      </c>
      <c r="F614" t="s">
        <v>50</v>
      </c>
      <c r="G614" t="s">
        <v>16</v>
      </c>
      <c r="H614">
        <v>4</v>
      </c>
      <c r="I614">
        <v>65.739999999999995</v>
      </c>
      <c r="J614" t="s">
        <v>28</v>
      </c>
      <c r="K614" t="s">
        <v>18</v>
      </c>
      <c r="L614">
        <f>WEEKDAY(Table1[[#This Row],[Transaction_Date]],2)</f>
        <v>3</v>
      </c>
      <c r="M614">
        <f>IF(Table1[[#This Row],[Sale_Type]]="Buffet",1,0)</f>
        <v>0</v>
      </c>
    </row>
    <row r="615" spans="1:13" x14ac:dyDescent="0.2">
      <c r="A615" t="s">
        <v>868</v>
      </c>
      <c r="B615" t="s">
        <v>503</v>
      </c>
      <c r="C615" s="1">
        <v>45959</v>
      </c>
      <c r="D615" t="s">
        <v>13</v>
      </c>
      <c r="E615" t="s">
        <v>43</v>
      </c>
      <c r="F615" t="s">
        <v>53</v>
      </c>
      <c r="G615" t="s">
        <v>45</v>
      </c>
      <c r="H615">
        <v>1</v>
      </c>
      <c r="I615">
        <v>24.5</v>
      </c>
      <c r="J615" t="s">
        <v>17</v>
      </c>
      <c r="K615" t="s">
        <v>18</v>
      </c>
      <c r="L615">
        <f>WEEKDAY(Table1[[#This Row],[Transaction_Date]],2)</f>
        <v>3</v>
      </c>
      <c r="M615">
        <f>IF(Table1[[#This Row],[Sale_Type]]="Buffet",1,0)</f>
        <v>1</v>
      </c>
    </row>
    <row r="616" spans="1:13" x14ac:dyDescent="0.2">
      <c r="A616" t="s">
        <v>869</v>
      </c>
      <c r="B616" t="s">
        <v>231</v>
      </c>
      <c r="C616" s="1">
        <v>45959</v>
      </c>
      <c r="D616" t="s">
        <v>13</v>
      </c>
      <c r="E616" t="s">
        <v>43</v>
      </c>
      <c r="F616" t="s">
        <v>57</v>
      </c>
      <c r="G616" t="s">
        <v>45</v>
      </c>
      <c r="H616">
        <v>3</v>
      </c>
      <c r="I616">
        <v>60</v>
      </c>
      <c r="J616" t="s">
        <v>17</v>
      </c>
      <c r="K616" t="s">
        <v>18</v>
      </c>
      <c r="L616">
        <f>WEEKDAY(Table1[[#This Row],[Transaction_Date]],2)</f>
        <v>3</v>
      </c>
      <c r="M616">
        <f>IF(Table1[[#This Row],[Sale_Type]]="Buffet",1,0)</f>
        <v>1</v>
      </c>
    </row>
    <row r="617" spans="1:13" x14ac:dyDescent="0.2">
      <c r="A617" t="s">
        <v>870</v>
      </c>
      <c r="B617" t="s">
        <v>630</v>
      </c>
      <c r="C617" s="1">
        <v>45960</v>
      </c>
      <c r="D617" t="s">
        <v>62</v>
      </c>
      <c r="E617" t="s">
        <v>14</v>
      </c>
      <c r="F617" t="s">
        <v>15</v>
      </c>
      <c r="G617" t="s">
        <v>16</v>
      </c>
      <c r="H617">
        <v>1</v>
      </c>
      <c r="I617">
        <v>44.07</v>
      </c>
      <c r="J617" t="s">
        <v>28</v>
      </c>
      <c r="K617" t="s">
        <v>18</v>
      </c>
      <c r="L617">
        <f>WEEKDAY(Table1[[#This Row],[Transaction_Date]],2)</f>
        <v>4</v>
      </c>
      <c r="M617">
        <f>IF(Table1[[#This Row],[Sale_Type]]="Buffet",1,0)</f>
        <v>0</v>
      </c>
    </row>
    <row r="618" spans="1:13" x14ac:dyDescent="0.2">
      <c r="A618" t="s">
        <v>871</v>
      </c>
      <c r="B618" t="s">
        <v>219</v>
      </c>
      <c r="C618" s="1">
        <v>45960</v>
      </c>
      <c r="D618" t="s">
        <v>62</v>
      </c>
      <c r="E618" t="s">
        <v>14</v>
      </c>
      <c r="F618" t="s">
        <v>24</v>
      </c>
      <c r="G618" t="s">
        <v>16</v>
      </c>
      <c r="H618">
        <v>3</v>
      </c>
      <c r="I618">
        <v>43.01</v>
      </c>
      <c r="J618" t="s">
        <v>17</v>
      </c>
      <c r="K618" t="s">
        <v>18</v>
      </c>
      <c r="L618">
        <f>WEEKDAY(Table1[[#This Row],[Transaction_Date]],2)</f>
        <v>4</v>
      </c>
      <c r="M618">
        <f>IF(Table1[[#This Row],[Sale_Type]]="Buffet",1,0)</f>
        <v>0</v>
      </c>
    </row>
    <row r="619" spans="1:13" x14ac:dyDescent="0.2">
      <c r="A619" t="s">
        <v>872</v>
      </c>
      <c r="B619" t="s">
        <v>202</v>
      </c>
      <c r="C619" s="1">
        <v>45960</v>
      </c>
      <c r="D619" t="s">
        <v>62</v>
      </c>
      <c r="E619" t="s">
        <v>14</v>
      </c>
      <c r="F619" t="s">
        <v>31</v>
      </c>
      <c r="G619" t="s">
        <v>16</v>
      </c>
      <c r="H619">
        <v>4</v>
      </c>
      <c r="I619">
        <v>133.34</v>
      </c>
      <c r="J619" t="s">
        <v>34</v>
      </c>
      <c r="K619" t="s">
        <v>18</v>
      </c>
      <c r="L619">
        <f>WEEKDAY(Table1[[#This Row],[Transaction_Date]],2)</f>
        <v>4</v>
      </c>
      <c r="M619">
        <f>IF(Table1[[#This Row],[Sale_Type]]="Buffet",1,0)</f>
        <v>0</v>
      </c>
    </row>
    <row r="620" spans="1:13" x14ac:dyDescent="0.2">
      <c r="A620" t="s">
        <v>873</v>
      </c>
      <c r="B620" t="s">
        <v>419</v>
      </c>
      <c r="C620" s="1">
        <v>45960</v>
      </c>
      <c r="D620" t="s">
        <v>62</v>
      </c>
      <c r="E620" t="s">
        <v>14</v>
      </c>
      <c r="F620" t="s">
        <v>31</v>
      </c>
      <c r="G620" t="s">
        <v>16</v>
      </c>
      <c r="H620">
        <v>2</v>
      </c>
      <c r="I620">
        <v>33.79</v>
      </c>
      <c r="J620" t="s">
        <v>17</v>
      </c>
      <c r="K620" t="s">
        <v>21</v>
      </c>
      <c r="L620">
        <f>WEEKDAY(Table1[[#This Row],[Transaction_Date]],2)</f>
        <v>4</v>
      </c>
      <c r="M620">
        <f>IF(Table1[[#This Row],[Sale_Type]]="Buffet",1,0)</f>
        <v>0</v>
      </c>
    </row>
    <row r="621" spans="1:13" x14ac:dyDescent="0.2">
      <c r="A621" t="s">
        <v>874</v>
      </c>
      <c r="B621" t="s">
        <v>200</v>
      </c>
      <c r="C621" s="1">
        <v>45960</v>
      </c>
      <c r="D621" t="s">
        <v>62</v>
      </c>
      <c r="E621" t="s">
        <v>14</v>
      </c>
      <c r="F621" t="s">
        <v>40</v>
      </c>
      <c r="G621" t="s">
        <v>16</v>
      </c>
      <c r="H621">
        <v>3</v>
      </c>
      <c r="I621">
        <v>94.06</v>
      </c>
      <c r="J621" t="s">
        <v>28</v>
      </c>
      <c r="K621" t="s">
        <v>18</v>
      </c>
      <c r="L621">
        <f>WEEKDAY(Table1[[#This Row],[Transaction_Date]],2)</f>
        <v>4</v>
      </c>
      <c r="M621">
        <f>IF(Table1[[#This Row],[Sale_Type]]="Buffet",1,0)</f>
        <v>0</v>
      </c>
    </row>
    <row r="622" spans="1:13" x14ac:dyDescent="0.2">
      <c r="A622" t="s">
        <v>875</v>
      </c>
      <c r="B622" t="s">
        <v>185</v>
      </c>
      <c r="C622" s="1">
        <v>45960</v>
      </c>
      <c r="D622" t="s">
        <v>62</v>
      </c>
      <c r="E622" t="s">
        <v>43</v>
      </c>
      <c r="F622" t="s">
        <v>44</v>
      </c>
      <c r="G622" t="s">
        <v>45</v>
      </c>
      <c r="H622">
        <v>2</v>
      </c>
      <c r="I622">
        <v>40</v>
      </c>
      <c r="J622" t="s">
        <v>34</v>
      </c>
      <c r="K622" t="s">
        <v>18</v>
      </c>
      <c r="L622">
        <f>WEEKDAY(Table1[[#This Row],[Transaction_Date]],2)</f>
        <v>4</v>
      </c>
      <c r="M622">
        <f>IF(Table1[[#This Row],[Sale_Type]]="Buffet",1,0)</f>
        <v>1</v>
      </c>
    </row>
    <row r="623" spans="1:13" x14ac:dyDescent="0.2">
      <c r="A623" t="s">
        <v>876</v>
      </c>
      <c r="B623" t="s">
        <v>228</v>
      </c>
      <c r="C623" s="1">
        <v>45960</v>
      </c>
      <c r="D623" t="s">
        <v>62</v>
      </c>
      <c r="E623" t="s">
        <v>43</v>
      </c>
      <c r="F623" t="s">
        <v>44</v>
      </c>
      <c r="G623" t="s">
        <v>45</v>
      </c>
      <c r="H623">
        <v>4</v>
      </c>
      <c r="I623">
        <v>84.5</v>
      </c>
      <c r="J623" t="s">
        <v>34</v>
      </c>
      <c r="K623" t="s">
        <v>18</v>
      </c>
      <c r="L623">
        <f>WEEKDAY(Table1[[#This Row],[Transaction_Date]],2)</f>
        <v>4</v>
      </c>
      <c r="M623">
        <f>IF(Table1[[#This Row],[Sale_Type]]="Buffet",1,0)</f>
        <v>1</v>
      </c>
    </row>
    <row r="624" spans="1:13" x14ac:dyDescent="0.2">
      <c r="A624" t="s">
        <v>877</v>
      </c>
      <c r="B624" t="s">
        <v>864</v>
      </c>
      <c r="C624" s="1">
        <v>45960</v>
      </c>
      <c r="D624" t="s">
        <v>62</v>
      </c>
      <c r="E624" t="s">
        <v>43</v>
      </c>
      <c r="F624" t="s">
        <v>44</v>
      </c>
      <c r="G624" t="s">
        <v>16</v>
      </c>
      <c r="H624">
        <v>1</v>
      </c>
      <c r="I624">
        <v>25.44</v>
      </c>
      <c r="J624" t="s">
        <v>17</v>
      </c>
      <c r="K624" t="s">
        <v>21</v>
      </c>
      <c r="L624">
        <f>WEEKDAY(Table1[[#This Row],[Transaction_Date]],2)</f>
        <v>4</v>
      </c>
      <c r="M624">
        <f>IF(Table1[[#This Row],[Sale_Type]]="Buffet",1,0)</f>
        <v>0</v>
      </c>
    </row>
    <row r="625" spans="1:13" x14ac:dyDescent="0.2">
      <c r="A625" t="s">
        <v>878</v>
      </c>
      <c r="B625" t="s">
        <v>591</v>
      </c>
      <c r="C625" s="1">
        <v>45960</v>
      </c>
      <c r="D625" t="s">
        <v>62</v>
      </c>
      <c r="E625" t="s">
        <v>43</v>
      </c>
      <c r="F625" t="s">
        <v>44</v>
      </c>
      <c r="G625" t="s">
        <v>45</v>
      </c>
      <c r="H625">
        <v>4</v>
      </c>
      <c r="I625">
        <v>89</v>
      </c>
      <c r="J625" t="s">
        <v>28</v>
      </c>
      <c r="K625" t="s">
        <v>21</v>
      </c>
      <c r="L625">
        <f>WEEKDAY(Table1[[#This Row],[Transaction_Date]],2)</f>
        <v>4</v>
      </c>
      <c r="M625">
        <f>IF(Table1[[#This Row],[Sale_Type]]="Buffet",1,0)</f>
        <v>1</v>
      </c>
    </row>
    <row r="626" spans="1:13" x14ac:dyDescent="0.2">
      <c r="A626" t="s">
        <v>879</v>
      </c>
      <c r="B626" t="s">
        <v>126</v>
      </c>
      <c r="C626" s="1">
        <v>45960</v>
      </c>
      <c r="D626" t="s">
        <v>62</v>
      </c>
      <c r="E626" t="s">
        <v>43</v>
      </c>
      <c r="F626" t="s">
        <v>44</v>
      </c>
      <c r="G626" t="s">
        <v>45</v>
      </c>
      <c r="H626">
        <v>3</v>
      </c>
      <c r="I626">
        <v>69</v>
      </c>
      <c r="J626" t="s">
        <v>28</v>
      </c>
      <c r="K626" t="s">
        <v>18</v>
      </c>
      <c r="L626">
        <f>WEEKDAY(Table1[[#This Row],[Transaction_Date]],2)</f>
        <v>4</v>
      </c>
      <c r="M626">
        <f>IF(Table1[[#This Row],[Sale_Type]]="Buffet",1,0)</f>
        <v>1</v>
      </c>
    </row>
    <row r="627" spans="1:13" x14ac:dyDescent="0.2">
      <c r="A627" t="s">
        <v>880</v>
      </c>
      <c r="B627" t="s">
        <v>242</v>
      </c>
      <c r="C627" s="1">
        <v>45960</v>
      </c>
      <c r="D627" t="s">
        <v>62</v>
      </c>
      <c r="E627" t="s">
        <v>43</v>
      </c>
      <c r="F627" t="s">
        <v>44</v>
      </c>
      <c r="G627" t="s">
        <v>16</v>
      </c>
      <c r="H627">
        <v>4</v>
      </c>
      <c r="I627">
        <v>54.01</v>
      </c>
      <c r="J627" t="s">
        <v>17</v>
      </c>
      <c r="K627" t="s">
        <v>18</v>
      </c>
      <c r="L627">
        <f>WEEKDAY(Table1[[#This Row],[Transaction_Date]],2)</f>
        <v>4</v>
      </c>
      <c r="M627">
        <f>IF(Table1[[#This Row],[Sale_Type]]="Buffet",1,0)</f>
        <v>0</v>
      </c>
    </row>
    <row r="628" spans="1:13" x14ac:dyDescent="0.2">
      <c r="A628" t="s">
        <v>881</v>
      </c>
      <c r="B628" t="s">
        <v>74</v>
      </c>
      <c r="C628" s="1">
        <v>45960</v>
      </c>
      <c r="D628" t="s">
        <v>62</v>
      </c>
      <c r="E628" t="s">
        <v>43</v>
      </c>
      <c r="F628" t="s">
        <v>44</v>
      </c>
      <c r="G628" t="s">
        <v>45</v>
      </c>
      <c r="H628">
        <v>2</v>
      </c>
      <c r="I628">
        <v>40</v>
      </c>
      <c r="J628" t="s">
        <v>17</v>
      </c>
      <c r="K628" t="s">
        <v>18</v>
      </c>
      <c r="L628">
        <f>WEEKDAY(Table1[[#This Row],[Transaction_Date]],2)</f>
        <v>4</v>
      </c>
      <c r="M628">
        <f>IF(Table1[[#This Row],[Sale_Type]]="Buffet",1,0)</f>
        <v>1</v>
      </c>
    </row>
    <row r="629" spans="1:13" x14ac:dyDescent="0.2">
      <c r="A629" t="s">
        <v>882</v>
      </c>
      <c r="B629" t="s">
        <v>56</v>
      </c>
      <c r="C629" s="1">
        <v>45960</v>
      </c>
      <c r="D629" t="s">
        <v>62</v>
      </c>
      <c r="E629" t="s">
        <v>43</v>
      </c>
      <c r="F629" t="s">
        <v>50</v>
      </c>
      <c r="G629" t="s">
        <v>45</v>
      </c>
      <c r="H629">
        <v>2</v>
      </c>
      <c r="I629">
        <v>49</v>
      </c>
      <c r="J629" t="s">
        <v>17</v>
      </c>
      <c r="K629" t="s">
        <v>18</v>
      </c>
      <c r="L629">
        <f>WEEKDAY(Table1[[#This Row],[Transaction_Date]],2)</f>
        <v>4</v>
      </c>
      <c r="M629">
        <f>IF(Table1[[#This Row],[Sale_Type]]="Buffet",1,0)</f>
        <v>1</v>
      </c>
    </row>
    <row r="630" spans="1:13" x14ac:dyDescent="0.2">
      <c r="A630" t="s">
        <v>883</v>
      </c>
      <c r="B630" t="s">
        <v>797</v>
      </c>
      <c r="C630" s="1">
        <v>45960</v>
      </c>
      <c r="D630" t="s">
        <v>62</v>
      </c>
      <c r="E630" t="s">
        <v>43</v>
      </c>
      <c r="F630" t="s">
        <v>50</v>
      </c>
      <c r="G630" t="s">
        <v>45</v>
      </c>
      <c r="H630">
        <v>1</v>
      </c>
      <c r="I630">
        <v>20</v>
      </c>
      <c r="J630" t="s">
        <v>34</v>
      </c>
      <c r="K630" t="s">
        <v>21</v>
      </c>
      <c r="L630">
        <f>WEEKDAY(Table1[[#This Row],[Transaction_Date]],2)</f>
        <v>4</v>
      </c>
      <c r="M630">
        <f>IF(Table1[[#This Row],[Sale_Type]]="Buffet",1,0)</f>
        <v>1</v>
      </c>
    </row>
    <row r="631" spans="1:13" x14ac:dyDescent="0.2">
      <c r="A631" t="s">
        <v>884</v>
      </c>
      <c r="B631" t="s">
        <v>379</v>
      </c>
      <c r="C631" s="1">
        <v>45960</v>
      </c>
      <c r="D631" t="s">
        <v>62</v>
      </c>
      <c r="E631" t="s">
        <v>43</v>
      </c>
      <c r="F631" t="s">
        <v>50</v>
      </c>
      <c r="G631" t="s">
        <v>45</v>
      </c>
      <c r="H631">
        <v>2</v>
      </c>
      <c r="I631">
        <v>44.5</v>
      </c>
      <c r="J631" t="s">
        <v>28</v>
      </c>
      <c r="K631" t="s">
        <v>18</v>
      </c>
      <c r="L631">
        <f>WEEKDAY(Table1[[#This Row],[Transaction_Date]],2)</f>
        <v>4</v>
      </c>
      <c r="M631">
        <f>IF(Table1[[#This Row],[Sale_Type]]="Buffet",1,0)</f>
        <v>1</v>
      </c>
    </row>
    <row r="632" spans="1:13" x14ac:dyDescent="0.2">
      <c r="A632" t="s">
        <v>885</v>
      </c>
      <c r="B632" t="s">
        <v>663</v>
      </c>
      <c r="C632" s="1">
        <v>45960</v>
      </c>
      <c r="D632" t="s">
        <v>62</v>
      </c>
      <c r="E632" t="s">
        <v>43</v>
      </c>
      <c r="F632" t="s">
        <v>50</v>
      </c>
      <c r="G632" t="s">
        <v>45</v>
      </c>
      <c r="H632">
        <v>3</v>
      </c>
      <c r="I632">
        <v>64.5</v>
      </c>
      <c r="J632" t="s">
        <v>34</v>
      </c>
      <c r="K632" t="s">
        <v>18</v>
      </c>
      <c r="L632">
        <f>WEEKDAY(Table1[[#This Row],[Transaction_Date]],2)</f>
        <v>4</v>
      </c>
      <c r="M632">
        <f>IF(Table1[[#This Row],[Sale_Type]]="Buffet",1,0)</f>
        <v>1</v>
      </c>
    </row>
    <row r="633" spans="1:13" x14ac:dyDescent="0.2">
      <c r="A633" t="s">
        <v>886</v>
      </c>
      <c r="B633" t="s">
        <v>309</v>
      </c>
      <c r="C633" s="1">
        <v>45960</v>
      </c>
      <c r="D633" t="s">
        <v>62</v>
      </c>
      <c r="E633" t="s">
        <v>43</v>
      </c>
      <c r="F633" t="s">
        <v>50</v>
      </c>
      <c r="G633" t="s">
        <v>16</v>
      </c>
      <c r="H633">
        <v>3</v>
      </c>
      <c r="I633">
        <v>79.13</v>
      </c>
      <c r="J633" t="s">
        <v>17</v>
      </c>
      <c r="K633" t="s">
        <v>18</v>
      </c>
      <c r="L633">
        <f>WEEKDAY(Table1[[#This Row],[Transaction_Date]],2)</f>
        <v>4</v>
      </c>
      <c r="M633">
        <f>IF(Table1[[#This Row],[Sale_Type]]="Buffet",1,0)</f>
        <v>0</v>
      </c>
    </row>
    <row r="634" spans="1:13" x14ac:dyDescent="0.2">
      <c r="A634" t="s">
        <v>887</v>
      </c>
      <c r="B634" t="s">
        <v>117</v>
      </c>
      <c r="C634" s="1">
        <v>45960</v>
      </c>
      <c r="D634" t="s">
        <v>62</v>
      </c>
      <c r="E634" t="s">
        <v>43</v>
      </c>
      <c r="F634" t="s">
        <v>50</v>
      </c>
      <c r="G634" t="s">
        <v>45</v>
      </c>
      <c r="H634">
        <v>3</v>
      </c>
      <c r="I634">
        <v>69</v>
      </c>
      <c r="J634" t="s">
        <v>17</v>
      </c>
      <c r="K634" t="s">
        <v>18</v>
      </c>
      <c r="L634">
        <f>WEEKDAY(Table1[[#This Row],[Transaction_Date]],2)</f>
        <v>4</v>
      </c>
      <c r="M634">
        <f>IF(Table1[[#This Row],[Sale_Type]]="Buffet",1,0)</f>
        <v>1</v>
      </c>
    </row>
    <row r="635" spans="1:13" x14ac:dyDescent="0.2">
      <c r="A635" t="s">
        <v>888</v>
      </c>
      <c r="B635" t="s">
        <v>266</v>
      </c>
      <c r="C635" s="1">
        <v>45960</v>
      </c>
      <c r="D635" t="s">
        <v>62</v>
      </c>
      <c r="E635" t="s">
        <v>43</v>
      </c>
      <c r="F635" t="s">
        <v>53</v>
      </c>
      <c r="G635" t="s">
        <v>45</v>
      </c>
      <c r="H635">
        <v>3</v>
      </c>
      <c r="I635">
        <v>60</v>
      </c>
      <c r="J635" t="s">
        <v>17</v>
      </c>
      <c r="K635" t="s">
        <v>18</v>
      </c>
      <c r="L635">
        <f>WEEKDAY(Table1[[#This Row],[Transaction_Date]],2)</f>
        <v>4</v>
      </c>
      <c r="M635">
        <f>IF(Table1[[#This Row],[Sale_Type]]="Buffet",1,0)</f>
        <v>1</v>
      </c>
    </row>
    <row r="636" spans="1:13" x14ac:dyDescent="0.2">
      <c r="A636" t="s">
        <v>889</v>
      </c>
      <c r="B636" t="s">
        <v>591</v>
      </c>
      <c r="C636" s="1">
        <v>45960</v>
      </c>
      <c r="D636" t="s">
        <v>62</v>
      </c>
      <c r="E636" t="s">
        <v>43</v>
      </c>
      <c r="F636" t="s">
        <v>57</v>
      </c>
      <c r="G636" t="s">
        <v>45</v>
      </c>
      <c r="H636">
        <v>2</v>
      </c>
      <c r="I636">
        <v>44.5</v>
      </c>
      <c r="J636" t="s">
        <v>34</v>
      </c>
      <c r="K636" t="s">
        <v>21</v>
      </c>
      <c r="L636">
        <f>WEEKDAY(Table1[[#This Row],[Transaction_Date]],2)</f>
        <v>4</v>
      </c>
      <c r="M636">
        <f>IF(Table1[[#This Row],[Sale_Type]]="Buffet",1,0)</f>
        <v>1</v>
      </c>
    </row>
    <row r="637" spans="1:13" x14ac:dyDescent="0.2">
      <c r="A637" t="s">
        <v>890</v>
      </c>
      <c r="B637" t="s">
        <v>864</v>
      </c>
      <c r="C637" s="1">
        <v>45960</v>
      </c>
      <c r="D637" t="s">
        <v>62</v>
      </c>
      <c r="E637" t="s">
        <v>43</v>
      </c>
      <c r="F637" t="s">
        <v>57</v>
      </c>
      <c r="G637" t="s">
        <v>45</v>
      </c>
      <c r="H637">
        <v>4</v>
      </c>
      <c r="I637">
        <v>80</v>
      </c>
      <c r="J637" t="s">
        <v>17</v>
      </c>
      <c r="K637" t="s">
        <v>18</v>
      </c>
      <c r="L637">
        <f>WEEKDAY(Table1[[#This Row],[Transaction_Date]],2)</f>
        <v>4</v>
      </c>
      <c r="M637">
        <f>IF(Table1[[#This Row],[Sale_Type]]="Buffet",1,0)</f>
        <v>1</v>
      </c>
    </row>
    <row r="638" spans="1:13" x14ac:dyDescent="0.2">
      <c r="A638" t="s">
        <v>891</v>
      </c>
      <c r="B638" t="s">
        <v>23</v>
      </c>
      <c r="C638" s="1">
        <v>45961</v>
      </c>
      <c r="D638" t="s">
        <v>96</v>
      </c>
      <c r="E638" t="s">
        <v>14</v>
      </c>
      <c r="F638" t="s">
        <v>15</v>
      </c>
      <c r="G638" t="s">
        <v>16</v>
      </c>
      <c r="H638">
        <v>5</v>
      </c>
      <c r="I638">
        <v>166.83</v>
      </c>
      <c r="J638" t="s">
        <v>28</v>
      </c>
      <c r="K638" t="s">
        <v>18</v>
      </c>
      <c r="L638">
        <f>WEEKDAY(Table1[[#This Row],[Transaction_Date]],2)</f>
        <v>5</v>
      </c>
      <c r="M638">
        <f>IF(Table1[[#This Row],[Sale_Type]]="Buffet",1,0)</f>
        <v>0</v>
      </c>
    </row>
    <row r="639" spans="1:13" x14ac:dyDescent="0.2">
      <c r="A639" t="s">
        <v>892</v>
      </c>
      <c r="B639" t="s">
        <v>730</v>
      </c>
      <c r="C639" s="1">
        <v>45961</v>
      </c>
      <c r="D639" t="s">
        <v>96</v>
      </c>
      <c r="E639" t="s">
        <v>14</v>
      </c>
      <c r="F639" t="s">
        <v>24</v>
      </c>
      <c r="G639" t="s">
        <v>16</v>
      </c>
      <c r="H639">
        <v>3</v>
      </c>
      <c r="I639">
        <v>99.86</v>
      </c>
      <c r="J639" t="s">
        <v>28</v>
      </c>
      <c r="K639" t="s">
        <v>18</v>
      </c>
      <c r="L639">
        <f>WEEKDAY(Table1[[#This Row],[Transaction_Date]],2)</f>
        <v>5</v>
      </c>
      <c r="M639">
        <f>IF(Table1[[#This Row],[Sale_Type]]="Buffet",1,0)</f>
        <v>0</v>
      </c>
    </row>
    <row r="640" spans="1:13" x14ac:dyDescent="0.2">
      <c r="A640" t="s">
        <v>893</v>
      </c>
      <c r="B640" t="s">
        <v>87</v>
      </c>
      <c r="C640" s="1">
        <v>45961</v>
      </c>
      <c r="D640" t="s">
        <v>96</v>
      </c>
      <c r="E640" t="s">
        <v>14</v>
      </c>
      <c r="F640" t="s">
        <v>24</v>
      </c>
      <c r="G640" t="s">
        <v>16</v>
      </c>
      <c r="H640">
        <v>3</v>
      </c>
      <c r="I640">
        <v>95.65</v>
      </c>
      <c r="J640" t="s">
        <v>28</v>
      </c>
      <c r="K640" t="s">
        <v>18</v>
      </c>
      <c r="L640">
        <f>WEEKDAY(Table1[[#This Row],[Transaction_Date]],2)</f>
        <v>5</v>
      </c>
      <c r="M640">
        <f>IF(Table1[[#This Row],[Sale_Type]]="Buffet",1,0)</f>
        <v>0</v>
      </c>
    </row>
    <row r="641" spans="1:13" x14ac:dyDescent="0.2">
      <c r="A641" t="s">
        <v>894</v>
      </c>
      <c r="B641" t="s">
        <v>495</v>
      </c>
      <c r="C641" s="1">
        <v>45961</v>
      </c>
      <c r="D641" t="s">
        <v>96</v>
      </c>
      <c r="E641" t="s">
        <v>14</v>
      </c>
      <c r="F641" t="s">
        <v>24</v>
      </c>
      <c r="G641" t="s">
        <v>16</v>
      </c>
      <c r="H641">
        <v>2</v>
      </c>
      <c r="I641">
        <v>34.590000000000003</v>
      </c>
      <c r="J641" t="s">
        <v>17</v>
      </c>
      <c r="K641" t="s">
        <v>18</v>
      </c>
      <c r="L641">
        <f>WEEKDAY(Table1[[#This Row],[Transaction_Date]],2)</f>
        <v>5</v>
      </c>
      <c r="M641">
        <f>IF(Table1[[#This Row],[Sale_Type]]="Buffet",1,0)</f>
        <v>0</v>
      </c>
    </row>
    <row r="642" spans="1:13" x14ac:dyDescent="0.2">
      <c r="A642" t="s">
        <v>895</v>
      </c>
      <c r="B642" t="s">
        <v>498</v>
      </c>
      <c r="C642" s="1">
        <v>45961</v>
      </c>
      <c r="D642" t="s">
        <v>96</v>
      </c>
      <c r="E642" t="s">
        <v>14</v>
      </c>
      <c r="F642" t="s">
        <v>27</v>
      </c>
      <c r="G642" t="s">
        <v>16</v>
      </c>
      <c r="H642">
        <v>3</v>
      </c>
      <c r="I642">
        <v>155.24</v>
      </c>
      <c r="J642" t="s">
        <v>34</v>
      </c>
      <c r="K642" t="s">
        <v>18</v>
      </c>
      <c r="L642">
        <f>WEEKDAY(Table1[[#This Row],[Transaction_Date]],2)</f>
        <v>5</v>
      </c>
      <c r="M642">
        <f>IF(Table1[[#This Row],[Sale_Type]]="Buffet",1,0)</f>
        <v>0</v>
      </c>
    </row>
    <row r="643" spans="1:13" x14ac:dyDescent="0.2">
      <c r="A643" t="s">
        <v>896</v>
      </c>
      <c r="B643" t="s">
        <v>135</v>
      </c>
      <c r="C643" s="1">
        <v>45961</v>
      </c>
      <c r="D643" t="s">
        <v>96</v>
      </c>
      <c r="E643" t="s">
        <v>14</v>
      </c>
      <c r="F643" t="s">
        <v>27</v>
      </c>
      <c r="G643" t="s">
        <v>16</v>
      </c>
      <c r="H643">
        <v>1</v>
      </c>
      <c r="I643">
        <v>16.45</v>
      </c>
      <c r="J643" t="s">
        <v>34</v>
      </c>
      <c r="K643" t="s">
        <v>18</v>
      </c>
      <c r="L643">
        <f>WEEKDAY(Table1[[#This Row],[Transaction_Date]],2)</f>
        <v>5</v>
      </c>
      <c r="M643">
        <f>IF(Table1[[#This Row],[Sale_Type]]="Buffet",1,0)</f>
        <v>0</v>
      </c>
    </row>
    <row r="644" spans="1:13" x14ac:dyDescent="0.2">
      <c r="A644" t="s">
        <v>897</v>
      </c>
      <c r="B644" t="s">
        <v>278</v>
      </c>
      <c r="C644" s="1">
        <v>45961</v>
      </c>
      <c r="D644" t="s">
        <v>96</v>
      </c>
      <c r="E644" t="s">
        <v>14</v>
      </c>
      <c r="F644" t="s">
        <v>27</v>
      </c>
      <c r="G644" t="s">
        <v>16</v>
      </c>
      <c r="H644">
        <v>3</v>
      </c>
      <c r="I644">
        <v>141.6</v>
      </c>
      <c r="J644" t="s">
        <v>17</v>
      </c>
      <c r="K644" t="s">
        <v>18</v>
      </c>
      <c r="L644">
        <f>WEEKDAY(Table1[[#This Row],[Transaction_Date]],2)</f>
        <v>5</v>
      </c>
      <c r="M644">
        <f>IF(Table1[[#This Row],[Sale_Type]]="Buffet",1,0)</f>
        <v>0</v>
      </c>
    </row>
    <row r="645" spans="1:13" x14ac:dyDescent="0.2">
      <c r="A645" t="s">
        <v>898</v>
      </c>
      <c r="B645" t="s">
        <v>394</v>
      </c>
      <c r="C645" s="1">
        <v>45961</v>
      </c>
      <c r="D645" t="s">
        <v>96</v>
      </c>
      <c r="E645" t="s">
        <v>14</v>
      </c>
      <c r="F645" t="s">
        <v>27</v>
      </c>
      <c r="G645" t="s">
        <v>16</v>
      </c>
      <c r="H645">
        <v>5</v>
      </c>
      <c r="I645">
        <v>161.27000000000001</v>
      </c>
      <c r="J645" t="s">
        <v>34</v>
      </c>
      <c r="K645" t="s">
        <v>18</v>
      </c>
      <c r="L645">
        <f>WEEKDAY(Table1[[#This Row],[Transaction_Date]],2)</f>
        <v>5</v>
      </c>
      <c r="M645">
        <f>IF(Table1[[#This Row],[Sale_Type]]="Buffet",1,0)</f>
        <v>0</v>
      </c>
    </row>
    <row r="646" spans="1:13" x14ac:dyDescent="0.2">
      <c r="A646" t="s">
        <v>899</v>
      </c>
      <c r="B646" t="s">
        <v>252</v>
      </c>
      <c r="C646" s="1">
        <v>45961</v>
      </c>
      <c r="D646" t="s">
        <v>96</v>
      </c>
      <c r="E646" t="s">
        <v>14</v>
      </c>
      <c r="F646" t="s">
        <v>27</v>
      </c>
      <c r="G646" t="s">
        <v>16</v>
      </c>
      <c r="H646">
        <v>3</v>
      </c>
      <c r="I646">
        <v>58.03</v>
      </c>
      <c r="J646" t="s">
        <v>17</v>
      </c>
      <c r="K646" t="s">
        <v>21</v>
      </c>
      <c r="L646">
        <f>WEEKDAY(Table1[[#This Row],[Transaction_Date]],2)</f>
        <v>5</v>
      </c>
      <c r="M646">
        <f>IF(Table1[[#This Row],[Sale_Type]]="Buffet",1,0)</f>
        <v>0</v>
      </c>
    </row>
    <row r="647" spans="1:13" x14ac:dyDescent="0.2">
      <c r="A647" t="s">
        <v>900</v>
      </c>
      <c r="B647" t="s">
        <v>372</v>
      </c>
      <c r="C647" s="1">
        <v>45961</v>
      </c>
      <c r="D647" t="s">
        <v>96</v>
      </c>
      <c r="E647" t="s">
        <v>14</v>
      </c>
      <c r="F647" t="s">
        <v>27</v>
      </c>
      <c r="G647" t="s">
        <v>16</v>
      </c>
      <c r="H647">
        <v>3</v>
      </c>
      <c r="I647">
        <v>89.45</v>
      </c>
      <c r="J647" t="s">
        <v>17</v>
      </c>
      <c r="K647" t="s">
        <v>21</v>
      </c>
      <c r="L647">
        <f>WEEKDAY(Table1[[#This Row],[Transaction_Date]],2)</f>
        <v>5</v>
      </c>
      <c r="M647">
        <f>IF(Table1[[#This Row],[Sale_Type]]="Buffet",1,0)</f>
        <v>0</v>
      </c>
    </row>
    <row r="648" spans="1:13" x14ac:dyDescent="0.2">
      <c r="A648" t="s">
        <v>901</v>
      </c>
      <c r="B648" t="s">
        <v>266</v>
      </c>
      <c r="C648" s="1">
        <v>45961</v>
      </c>
      <c r="D648" t="s">
        <v>96</v>
      </c>
      <c r="E648" t="s">
        <v>14</v>
      </c>
      <c r="F648" t="s">
        <v>31</v>
      </c>
      <c r="G648" t="s">
        <v>16</v>
      </c>
      <c r="H648">
        <v>2</v>
      </c>
      <c r="I648">
        <v>55.09</v>
      </c>
      <c r="J648" t="s">
        <v>17</v>
      </c>
      <c r="K648" t="s">
        <v>18</v>
      </c>
      <c r="L648">
        <f>WEEKDAY(Table1[[#This Row],[Transaction_Date]],2)</f>
        <v>5</v>
      </c>
      <c r="M648">
        <f>IF(Table1[[#This Row],[Sale_Type]]="Buffet",1,0)</f>
        <v>0</v>
      </c>
    </row>
    <row r="649" spans="1:13" x14ac:dyDescent="0.2">
      <c r="A649" t="s">
        <v>902</v>
      </c>
      <c r="B649" t="s">
        <v>597</v>
      </c>
      <c r="C649" s="1">
        <v>45961</v>
      </c>
      <c r="D649" t="s">
        <v>96</v>
      </c>
      <c r="E649" t="s">
        <v>14</v>
      </c>
      <c r="F649" t="s">
        <v>40</v>
      </c>
      <c r="G649" t="s">
        <v>16</v>
      </c>
      <c r="H649">
        <v>2</v>
      </c>
      <c r="I649">
        <v>74.42</v>
      </c>
      <c r="J649" t="s">
        <v>28</v>
      </c>
      <c r="K649" t="s">
        <v>21</v>
      </c>
      <c r="L649">
        <f>WEEKDAY(Table1[[#This Row],[Transaction_Date]],2)</f>
        <v>5</v>
      </c>
      <c r="M649">
        <f>IF(Table1[[#This Row],[Sale_Type]]="Buffet",1,0)</f>
        <v>0</v>
      </c>
    </row>
    <row r="650" spans="1:13" x14ac:dyDescent="0.2">
      <c r="A650" t="s">
        <v>903</v>
      </c>
      <c r="B650" t="s">
        <v>200</v>
      </c>
      <c r="C650" s="1">
        <v>45961</v>
      </c>
      <c r="D650" t="s">
        <v>96</v>
      </c>
      <c r="E650" t="s">
        <v>14</v>
      </c>
      <c r="F650" t="s">
        <v>40</v>
      </c>
      <c r="G650" t="s">
        <v>16</v>
      </c>
      <c r="H650">
        <v>1</v>
      </c>
      <c r="I650">
        <v>21.81</v>
      </c>
      <c r="J650" t="s">
        <v>34</v>
      </c>
      <c r="K650" t="s">
        <v>18</v>
      </c>
      <c r="L650">
        <f>WEEKDAY(Table1[[#This Row],[Transaction_Date]],2)</f>
        <v>5</v>
      </c>
      <c r="M650">
        <f>IF(Table1[[#This Row],[Sale_Type]]="Buffet",1,0)</f>
        <v>0</v>
      </c>
    </row>
    <row r="651" spans="1:13" x14ac:dyDescent="0.2">
      <c r="A651" t="s">
        <v>904</v>
      </c>
      <c r="B651" t="s">
        <v>188</v>
      </c>
      <c r="C651" s="1">
        <v>45961</v>
      </c>
      <c r="D651" t="s">
        <v>96</v>
      </c>
      <c r="E651" t="s">
        <v>14</v>
      </c>
      <c r="F651" t="s">
        <v>40</v>
      </c>
      <c r="G651" t="s">
        <v>16</v>
      </c>
      <c r="H651">
        <v>6</v>
      </c>
      <c r="I651">
        <v>101.09</v>
      </c>
      <c r="J651" t="s">
        <v>34</v>
      </c>
      <c r="K651" t="s">
        <v>18</v>
      </c>
      <c r="L651">
        <f>WEEKDAY(Table1[[#This Row],[Transaction_Date]],2)</f>
        <v>5</v>
      </c>
      <c r="M651">
        <f>IF(Table1[[#This Row],[Sale_Type]]="Buffet",1,0)</f>
        <v>0</v>
      </c>
    </row>
    <row r="652" spans="1:13" x14ac:dyDescent="0.2">
      <c r="A652" t="s">
        <v>905</v>
      </c>
      <c r="B652" t="s">
        <v>410</v>
      </c>
      <c r="C652" s="1">
        <v>45961</v>
      </c>
      <c r="D652" t="s">
        <v>96</v>
      </c>
      <c r="E652" t="s">
        <v>14</v>
      </c>
      <c r="F652" t="s">
        <v>40</v>
      </c>
      <c r="G652" t="s">
        <v>16</v>
      </c>
      <c r="H652">
        <v>3</v>
      </c>
      <c r="I652">
        <v>92.28</v>
      </c>
      <c r="J652" t="s">
        <v>28</v>
      </c>
      <c r="K652" t="s">
        <v>21</v>
      </c>
      <c r="L652">
        <f>WEEKDAY(Table1[[#This Row],[Transaction_Date]],2)</f>
        <v>5</v>
      </c>
      <c r="M652">
        <f>IF(Table1[[#This Row],[Sale_Type]]="Buffet",1,0)</f>
        <v>0</v>
      </c>
    </row>
    <row r="653" spans="1:13" x14ac:dyDescent="0.2">
      <c r="A653" t="s">
        <v>906</v>
      </c>
      <c r="B653" t="s">
        <v>907</v>
      </c>
      <c r="C653" s="1">
        <v>45961</v>
      </c>
      <c r="D653" t="s">
        <v>96</v>
      </c>
      <c r="E653" t="s">
        <v>43</v>
      </c>
      <c r="F653" t="s">
        <v>44</v>
      </c>
      <c r="G653" t="s">
        <v>45</v>
      </c>
      <c r="H653">
        <v>3</v>
      </c>
      <c r="I653">
        <v>60</v>
      </c>
      <c r="J653" t="s">
        <v>34</v>
      </c>
      <c r="K653" t="s">
        <v>18</v>
      </c>
      <c r="L653">
        <f>WEEKDAY(Table1[[#This Row],[Transaction_Date]],2)</f>
        <v>5</v>
      </c>
      <c r="M653">
        <f>IF(Table1[[#This Row],[Sale_Type]]="Buffet",1,0)</f>
        <v>1</v>
      </c>
    </row>
    <row r="654" spans="1:13" x14ac:dyDescent="0.2">
      <c r="A654" t="s">
        <v>908</v>
      </c>
      <c r="B654" t="s">
        <v>124</v>
      </c>
      <c r="C654" s="1">
        <v>45961</v>
      </c>
      <c r="D654" t="s">
        <v>96</v>
      </c>
      <c r="E654" t="s">
        <v>43</v>
      </c>
      <c r="F654" t="s">
        <v>44</v>
      </c>
      <c r="G654" t="s">
        <v>16</v>
      </c>
      <c r="H654">
        <v>2</v>
      </c>
      <c r="I654">
        <v>76.78</v>
      </c>
      <c r="J654" t="s">
        <v>28</v>
      </c>
      <c r="K654" t="s">
        <v>21</v>
      </c>
      <c r="L654">
        <f>WEEKDAY(Table1[[#This Row],[Transaction_Date]],2)</f>
        <v>5</v>
      </c>
      <c r="M654">
        <f>IF(Table1[[#This Row],[Sale_Type]]="Buffet",1,0)</f>
        <v>0</v>
      </c>
    </row>
    <row r="655" spans="1:13" x14ac:dyDescent="0.2">
      <c r="A655" t="s">
        <v>909</v>
      </c>
      <c r="B655" t="s">
        <v>684</v>
      </c>
      <c r="C655" s="1">
        <v>45961</v>
      </c>
      <c r="D655" t="s">
        <v>96</v>
      </c>
      <c r="E655" t="s">
        <v>43</v>
      </c>
      <c r="F655" t="s">
        <v>44</v>
      </c>
      <c r="G655" t="s">
        <v>45</v>
      </c>
      <c r="H655">
        <v>3</v>
      </c>
      <c r="I655">
        <v>60</v>
      </c>
      <c r="J655" t="s">
        <v>17</v>
      </c>
      <c r="K655" t="s">
        <v>18</v>
      </c>
      <c r="L655">
        <f>WEEKDAY(Table1[[#This Row],[Transaction_Date]],2)</f>
        <v>5</v>
      </c>
      <c r="M655">
        <f>IF(Table1[[#This Row],[Sale_Type]]="Buffet",1,0)</f>
        <v>1</v>
      </c>
    </row>
    <row r="656" spans="1:13" x14ac:dyDescent="0.2">
      <c r="A656" t="s">
        <v>910</v>
      </c>
      <c r="B656" t="s">
        <v>140</v>
      </c>
      <c r="C656" s="1">
        <v>45961</v>
      </c>
      <c r="D656" t="s">
        <v>96</v>
      </c>
      <c r="E656" t="s">
        <v>43</v>
      </c>
      <c r="F656" t="s">
        <v>50</v>
      </c>
      <c r="G656" t="s">
        <v>45</v>
      </c>
      <c r="H656">
        <v>3</v>
      </c>
      <c r="I656">
        <v>64.5</v>
      </c>
      <c r="J656" t="s">
        <v>34</v>
      </c>
      <c r="K656" t="s">
        <v>21</v>
      </c>
      <c r="L656">
        <f>WEEKDAY(Table1[[#This Row],[Transaction_Date]],2)</f>
        <v>5</v>
      </c>
      <c r="M656">
        <f>IF(Table1[[#This Row],[Sale_Type]]="Buffet",1,0)</f>
        <v>1</v>
      </c>
    </row>
    <row r="657" spans="1:13" x14ac:dyDescent="0.2">
      <c r="A657" t="s">
        <v>911</v>
      </c>
      <c r="B657" t="s">
        <v>104</v>
      </c>
      <c r="C657" s="1">
        <v>45961</v>
      </c>
      <c r="D657" t="s">
        <v>96</v>
      </c>
      <c r="E657" t="s">
        <v>43</v>
      </c>
      <c r="F657" t="s">
        <v>50</v>
      </c>
      <c r="G657" t="s">
        <v>45</v>
      </c>
      <c r="H657">
        <v>4</v>
      </c>
      <c r="I657">
        <v>84.5</v>
      </c>
      <c r="J657" t="s">
        <v>28</v>
      </c>
      <c r="K657" t="s">
        <v>18</v>
      </c>
      <c r="L657">
        <f>WEEKDAY(Table1[[#This Row],[Transaction_Date]],2)</f>
        <v>5</v>
      </c>
      <c r="M657">
        <f>IF(Table1[[#This Row],[Sale_Type]]="Buffet",1,0)</f>
        <v>1</v>
      </c>
    </row>
    <row r="658" spans="1:13" x14ac:dyDescent="0.2">
      <c r="A658" t="s">
        <v>912</v>
      </c>
      <c r="B658" t="s">
        <v>522</v>
      </c>
      <c r="C658" s="1">
        <v>45961</v>
      </c>
      <c r="D658" t="s">
        <v>96</v>
      </c>
      <c r="E658" t="s">
        <v>43</v>
      </c>
      <c r="F658" t="s">
        <v>50</v>
      </c>
      <c r="G658" t="s">
        <v>45</v>
      </c>
      <c r="H658">
        <v>4</v>
      </c>
      <c r="I658">
        <v>80</v>
      </c>
      <c r="J658" t="s">
        <v>34</v>
      </c>
      <c r="K658" t="s">
        <v>18</v>
      </c>
      <c r="L658">
        <f>WEEKDAY(Table1[[#This Row],[Transaction_Date]],2)</f>
        <v>5</v>
      </c>
      <c r="M658">
        <f>IF(Table1[[#This Row],[Sale_Type]]="Buffet",1,0)</f>
        <v>1</v>
      </c>
    </row>
    <row r="659" spans="1:13" x14ac:dyDescent="0.2">
      <c r="A659" t="s">
        <v>913</v>
      </c>
      <c r="B659" t="s">
        <v>194</v>
      </c>
      <c r="C659" s="1">
        <v>45961</v>
      </c>
      <c r="D659" t="s">
        <v>96</v>
      </c>
      <c r="E659" t="s">
        <v>43</v>
      </c>
      <c r="F659" t="s">
        <v>50</v>
      </c>
      <c r="G659" t="s">
        <v>45</v>
      </c>
      <c r="H659">
        <v>2</v>
      </c>
      <c r="I659">
        <v>40</v>
      </c>
      <c r="J659" t="s">
        <v>34</v>
      </c>
      <c r="K659" t="s">
        <v>18</v>
      </c>
      <c r="L659">
        <f>WEEKDAY(Table1[[#This Row],[Transaction_Date]],2)</f>
        <v>5</v>
      </c>
      <c r="M659">
        <f>IF(Table1[[#This Row],[Sale_Type]]="Buffet",1,0)</f>
        <v>1</v>
      </c>
    </row>
    <row r="660" spans="1:13" x14ac:dyDescent="0.2">
      <c r="A660" t="s">
        <v>914</v>
      </c>
      <c r="B660" t="s">
        <v>160</v>
      </c>
      <c r="C660" s="1">
        <v>45961</v>
      </c>
      <c r="D660" t="s">
        <v>96</v>
      </c>
      <c r="E660" t="s">
        <v>43</v>
      </c>
      <c r="F660" t="s">
        <v>50</v>
      </c>
      <c r="G660" t="s">
        <v>45</v>
      </c>
      <c r="H660">
        <v>5</v>
      </c>
      <c r="I660">
        <v>100</v>
      </c>
      <c r="J660" t="s">
        <v>34</v>
      </c>
      <c r="K660" t="s">
        <v>18</v>
      </c>
      <c r="L660">
        <f>WEEKDAY(Table1[[#This Row],[Transaction_Date]],2)</f>
        <v>5</v>
      </c>
      <c r="M660">
        <f>IF(Table1[[#This Row],[Sale_Type]]="Buffet",1,0)</f>
        <v>1</v>
      </c>
    </row>
    <row r="661" spans="1:13" x14ac:dyDescent="0.2">
      <c r="A661" t="s">
        <v>915</v>
      </c>
      <c r="B661" t="s">
        <v>644</v>
      </c>
      <c r="C661" s="1">
        <v>45961</v>
      </c>
      <c r="D661" t="s">
        <v>96</v>
      </c>
      <c r="E661" t="s">
        <v>43</v>
      </c>
      <c r="F661" t="s">
        <v>50</v>
      </c>
      <c r="G661" t="s">
        <v>45</v>
      </c>
      <c r="H661">
        <v>1</v>
      </c>
      <c r="I661">
        <v>24.5</v>
      </c>
      <c r="J661" t="s">
        <v>34</v>
      </c>
      <c r="K661" t="s">
        <v>21</v>
      </c>
      <c r="L661">
        <f>WEEKDAY(Table1[[#This Row],[Transaction_Date]],2)</f>
        <v>5</v>
      </c>
      <c r="M661">
        <f>IF(Table1[[#This Row],[Sale_Type]]="Buffet",1,0)</f>
        <v>1</v>
      </c>
    </row>
    <row r="662" spans="1:13" x14ac:dyDescent="0.2">
      <c r="A662" t="s">
        <v>916</v>
      </c>
      <c r="B662" t="s">
        <v>185</v>
      </c>
      <c r="C662" s="1">
        <v>45961</v>
      </c>
      <c r="D662" t="s">
        <v>96</v>
      </c>
      <c r="E662" t="s">
        <v>43</v>
      </c>
      <c r="F662" t="s">
        <v>53</v>
      </c>
      <c r="G662" t="s">
        <v>45</v>
      </c>
      <c r="H662">
        <v>3</v>
      </c>
      <c r="I662">
        <v>64.5</v>
      </c>
      <c r="J662" t="s">
        <v>34</v>
      </c>
      <c r="K662" t="s">
        <v>18</v>
      </c>
      <c r="L662">
        <f>WEEKDAY(Table1[[#This Row],[Transaction_Date]],2)</f>
        <v>5</v>
      </c>
      <c r="M662">
        <f>IF(Table1[[#This Row],[Sale_Type]]="Buffet",1,0)</f>
        <v>1</v>
      </c>
    </row>
    <row r="663" spans="1:13" x14ac:dyDescent="0.2">
      <c r="A663" t="s">
        <v>917</v>
      </c>
      <c r="B663" t="s">
        <v>822</v>
      </c>
      <c r="C663" s="1">
        <v>45961</v>
      </c>
      <c r="D663" t="s">
        <v>96</v>
      </c>
      <c r="E663" t="s">
        <v>43</v>
      </c>
      <c r="F663" t="s">
        <v>53</v>
      </c>
      <c r="G663" t="s">
        <v>16</v>
      </c>
      <c r="H663">
        <v>4</v>
      </c>
      <c r="I663">
        <v>94.71</v>
      </c>
      <c r="J663" t="s">
        <v>17</v>
      </c>
      <c r="K663" t="s">
        <v>18</v>
      </c>
      <c r="L663">
        <f>WEEKDAY(Table1[[#This Row],[Transaction_Date]],2)</f>
        <v>5</v>
      </c>
      <c r="M663">
        <f>IF(Table1[[#This Row],[Sale_Type]]="Buffet",1,0)</f>
        <v>0</v>
      </c>
    </row>
    <row r="664" spans="1:13" x14ac:dyDescent="0.2">
      <c r="A664" t="s">
        <v>918</v>
      </c>
      <c r="B664" t="s">
        <v>254</v>
      </c>
      <c r="C664" s="1">
        <v>45961</v>
      </c>
      <c r="D664" t="s">
        <v>96</v>
      </c>
      <c r="E664" t="s">
        <v>43</v>
      </c>
      <c r="F664" t="s">
        <v>53</v>
      </c>
      <c r="G664" t="s">
        <v>45</v>
      </c>
      <c r="H664">
        <v>4</v>
      </c>
      <c r="I664">
        <v>89</v>
      </c>
      <c r="J664" t="s">
        <v>28</v>
      </c>
      <c r="K664" t="s">
        <v>21</v>
      </c>
      <c r="L664">
        <f>WEEKDAY(Table1[[#This Row],[Transaction_Date]],2)</f>
        <v>5</v>
      </c>
      <c r="M664">
        <f>IF(Table1[[#This Row],[Sale_Type]]="Buffet",1,0)</f>
        <v>1</v>
      </c>
    </row>
    <row r="665" spans="1:13" x14ac:dyDescent="0.2">
      <c r="A665" t="s">
        <v>919</v>
      </c>
      <c r="B665" t="s">
        <v>23</v>
      </c>
      <c r="C665" s="1">
        <v>45961</v>
      </c>
      <c r="D665" t="s">
        <v>96</v>
      </c>
      <c r="E665" t="s">
        <v>43</v>
      </c>
      <c r="F665" t="s">
        <v>57</v>
      </c>
      <c r="G665" t="s">
        <v>16</v>
      </c>
      <c r="H665">
        <v>3</v>
      </c>
      <c r="I665">
        <v>42.14</v>
      </c>
      <c r="J665" t="s">
        <v>17</v>
      </c>
      <c r="K665" t="s">
        <v>21</v>
      </c>
      <c r="L665">
        <f>WEEKDAY(Table1[[#This Row],[Transaction_Date]],2)</f>
        <v>5</v>
      </c>
      <c r="M665">
        <f>IF(Table1[[#This Row],[Sale_Type]]="Buffet",1,0)</f>
        <v>0</v>
      </c>
    </row>
    <row r="666" spans="1:13" x14ac:dyDescent="0.2">
      <c r="A666" t="s">
        <v>920</v>
      </c>
      <c r="B666" t="s">
        <v>733</v>
      </c>
      <c r="C666" s="1">
        <v>45961</v>
      </c>
      <c r="D666" t="s">
        <v>96</v>
      </c>
      <c r="E666" t="s">
        <v>43</v>
      </c>
      <c r="F666" t="s">
        <v>57</v>
      </c>
      <c r="G666" t="s">
        <v>45</v>
      </c>
      <c r="H666">
        <v>2</v>
      </c>
      <c r="I666">
        <v>44.5</v>
      </c>
      <c r="J666" t="s">
        <v>17</v>
      </c>
      <c r="K666" t="s">
        <v>18</v>
      </c>
      <c r="L666">
        <f>WEEKDAY(Table1[[#This Row],[Transaction_Date]],2)</f>
        <v>5</v>
      </c>
      <c r="M666">
        <f>IF(Table1[[#This Row],[Sale_Type]]="Buffet",1,0)</f>
        <v>1</v>
      </c>
    </row>
    <row r="667" spans="1:13" x14ac:dyDescent="0.2">
      <c r="A667" t="s">
        <v>921</v>
      </c>
      <c r="B667" t="s">
        <v>42</v>
      </c>
      <c r="C667" s="1">
        <v>45961</v>
      </c>
      <c r="D667" t="s">
        <v>96</v>
      </c>
      <c r="E667" t="s">
        <v>43</v>
      </c>
      <c r="F667" t="s">
        <v>57</v>
      </c>
      <c r="G667" t="s">
        <v>45</v>
      </c>
      <c r="H667">
        <v>5</v>
      </c>
      <c r="I667">
        <v>109</v>
      </c>
      <c r="J667" t="s">
        <v>17</v>
      </c>
      <c r="K667" t="s">
        <v>18</v>
      </c>
      <c r="L667">
        <f>WEEKDAY(Table1[[#This Row],[Transaction_Date]],2)</f>
        <v>5</v>
      </c>
      <c r="M667">
        <f>IF(Table1[[#This Row],[Sale_Type]]="Buffet",1,0)</f>
        <v>1</v>
      </c>
    </row>
    <row r="668" spans="1:13" x14ac:dyDescent="0.2">
      <c r="A668" t="s">
        <v>922</v>
      </c>
      <c r="B668" t="s">
        <v>363</v>
      </c>
      <c r="C668" s="1">
        <v>45961</v>
      </c>
      <c r="D668" t="s">
        <v>96</v>
      </c>
      <c r="E668" t="s">
        <v>43</v>
      </c>
      <c r="F668" t="s">
        <v>57</v>
      </c>
      <c r="G668" t="s">
        <v>45</v>
      </c>
      <c r="H668">
        <v>3</v>
      </c>
      <c r="I668">
        <v>64.5</v>
      </c>
      <c r="J668" t="s">
        <v>28</v>
      </c>
      <c r="K668" t="s">
        <v>18</v>
      </c>
      <c r="L668">
        <f>WEEKDAY(Table1[[#This Row],[Transaction_Date]],2)</f>
        <v>5</v>
      </c>
      <c r="M668">
        <f>IF(Table1[[#This Row],[Sale_Type]]="Buffet",1,0)</f>
        <v>1</v>
      </c>
    </row>
    <row r="669" spans="1:13" x14ac:dyDescent="0.2">
      <c r="A669" t="s">
        <v>923</v>
      </c>
      <c r="B669" t="s">
        <v>258</v>
      </c>
      <c r="C669" s="1">
        <v>45962</v>
      </c>
      <c r="D669" t="s">
        <v>127</v>
      </c>
      <c r="E669" t="s">
        <v>14</v>
      </c>
      <c r="F669" t="s">
        <v>15</v>
      </c>
      <c r="G669" t="s">
        <v>16</v>
      </c>
      <c r="H669">
        <v>3</v>
      </c>
      <c r="I669">
        <v>34.450000000000003</v>
      </c>
      <c r="J669" t="s">
        <v>17</v>
      </c>
      <c r="K669" t="s">
        <v>18</v>
      </c>
      <c r="L669">
        <f>WEEKDAY(Table1[[#This Row],[Transaction_Date]],2)</f>
        <v>6</v>
      </c>
      <c r="M669">
        <f>IF(Table1[[#This Row],[Sale_Type]]="Buffet",1,0)</f>
        <v>0</v>
      </c>
    </row>
    <row r="670" spans="1:13" x14ac:dyDescent="0.2">
      <c r="A670" t="s">
        <v>924</v>
      </c>
      <c r="B670" t="s">
        <v>30</v>
      </c>
      <c r="C670" s="1">
        <v>45962</v>
      </c>
      <c r="D670" t="s">
        <v>127</v>
      </c>
      <c r="E670" t="s">
        <v>14</v>
      </c>
      <c r="F670" t="s">
        <v>24</v>
      </c>
      <c r="G670" t="s">
        <v>16</v>
      </c>
      <c r="H670">
        <v>5</v>
      </c>
      <c r="I670">
        <v>133.72</v>
      </c>
      <c r="J670" t="s">
        <v>17</v>
      </c>
      <c r="K670" t="s">
        <v>18</v>
      </c>
      <c r="L670">
        <f>WEEKDAY(Table1[[#This Row],[Transaction_Date]],2)</f>
        <v>6</v>
      </c>
      <c r="M670">
        <f>IF(Table1[[#This Row],[Sale_Type]]="Buffet",1,0)</f>
        <v>0</v>
      </c>
    </row>
    <row r="671" spans="1:13" x14ac:dyDescent="0.2">
      <c r="A671" t="s">
        <v>925</v>
      </c>
      <c r="B671" t="s">
        <v>467</v>
      </c>
      <c r="C671" s="1">
        <v>45962</v>
      </c>
      <c r="D671" t="s">
        <v>127</v>
      </c>
      <c r="E671" t="s">
        <v>14</v>
      </c>
      <c r="F671" t="s">
        <v>24</v>
      </c>
      <c r="G671" t="s">
        <v>16</v>
      </c>
      <c r="H671">
        <v>4</v>
      </c>
      <c r="I671">
        <v>215.19</v>
      </c>
      <c r="J671" t="s">
        <v>17</v>
      </c>
      <c r="K671" t="s">
        <v>18</v>
      </c>
      <c r="L671">
        <f>WEEKDAY(Table1[[#This Row],[Transaction_Date]],2)</f>
        <v>6</v>
      </c>
      <c r="M671">
        <f>IF(Table1[[#This Row],[Sale_Type]]="Buffet",1,0)</f>
        <v>0</v>
      </c>
    </row>
    <row r="672" spans="1:13" x14ac:dyDescent="0.2">
      <c r="A672" t="s">
        <v>926</v>
      </c>
      <c r="B672" t="s">
        <v>423</v>
      </c>
      <c r="C672" s="1">
        <v>45962</v>
      </c>
      <c r="D672" t="s">
        <v>127</v>
      </c>
      <c r="E672" t="s">
        <v>14</v>
      </c>
      <c r="F672" t="s">
        <v>24</v>
      </c>
      <c r="G672" t="s">
        <v>16</v>
      </c>
      <c r="H672">
        <v>3</v>
      </c>
      <c r="I672">
        <v>106.7</v>
      </c>
      <c r="J672" t="s">
        <v>34</v>
      </c>
      <c r="K672" t="s">
        <v>21</v>
      </c>
      <c r="L672">
        <f>WEEKDAY(Table1[[#This Row],[Transaction_Date]],2)</f>
        <v>6</v>
      </c>
      <c r="M672">
        <f>IF(Table1[[#This Row],[Sale_Type]]="Buffet",1,0)</f>
        <v>0</v>
      </c>
    </row>
    <row r="673" spans="1:13" x14ac:dyDescent="0.2">
      <c r="A673" t="s">
        <v>927</v>
      </c>
      <c r="B673" t="s">
        <v>412</v>
      </c>
      <c r="C673" s="1">
        <v>45962</v>
      </c>
      <c r="D673" t="s">
        <v>127</v>
      </c>
      <c r="E673" t="s">
        <v>14</v>
      </c>
      <c r="F673" t="s">
        <v>24</v>
      </c>
      <c r="G673" t="s">
        <v>16</v>
      </c>
      <c r="H673">
        <v>2</v>
      </c>
      <c r="I673">
        <v>45.47</v>
      </c>
      <c r="J673" t="s">
        <v>17</v>
      </c>
      <c r="K673" t="s">
        <v>21</v>
      </c>
      <c r="L673">
        <f>WEEKDAY(Table1[[#This Row],[Transaction_Date]],2)</f>
        <v>6</v>
      </c>
      <c r="M673">
        <f>IF(Table1[[#This Row],[Sale_Type]]="Buffet",1,0)</f>
        <v>0</v>
      </c>
    </row>
    <row r="674" spans="1:13" x14ac:dyDescent="0.2">
      <c r="A674" t="s">
        <v>928</v>
      </c>
      <c r="B674" t="s">
        <v>200</v>
      </c>
      <c r="C674" s="1">
        <v>45962</v>
      </c>
      <c r="D674" t="s">
        <v>127</v>
      </c>
      <c r="E674" t="s">
        <v>14</v>
      </c>
      <c r="F674" t="s">
        <v>27</v>
      </c>
      <c r="G674" t="s">
        <v>16</v>
      </c>
      <c r="H674">
        <v>6</v>
      </c>
      <c r="I674">
        <v>186.15</v>
      </c>
      <c r="J674" t="s">
        <v>28</v>
      </c>
      <c r="K674" t="s">
        <v>18</v>
      </c>
      <c r="L674">
        <f>WEEKDAY(Table1[[#This Row],[Transaction_Date]],2)</f>
        <v>6</v>
      </c>
      <c r="M674">
        <f>IF(Table1[[#This Row],[Sale_Type]]="Buffet",1,0)</f>
        <v>0</v>
      </c>
    </row>
    <row r="675" spans="1:13" x14ac:dyDescent="0.2">
      <c r="A675" t="s">
        <v>929</v>
      </c>
      <c r="B675" t="s">
        <v>295</v>
      </c>
      <c r="C675" s="1">
        <v>45962</v>
      </c>
      <c r="D675" t="s">
        <v>127</v>
      </c>
      <c r="E675" t="s">
        <v>14</v>
      </c>
      <c r="F675" t="s">
        <v>27</v>
      </c>
      <c r="G675" t="s">
        <v>16</v>
      </c>
      <c r="H675">
        <v>2</v>
      </c>
      <c r="I675">
        <v>58.03</v>
      </c>
      <c r="J675" t="s">
        <v>34</v>
      </c>
      <c r="K675" t="s">
        <v>18</v>
      </c>
      <c r="L675">
        <f>WEEKDAY(Table1[[#This Row],[Transaction_Date]],2)</f>
        <v>6</v>
      </c>
      <c r="M675">
        <f>IF(Table1[[#This Row],[Sale_Type]]="Buffet",1,0)</f>
        <v>0</v>
      </c>
    </row>
    <row r="676" spans="1:13" x14ac:dyDescent="0.2">
      <c r="A676" t="s">
        <v>930</v>
      </c>
      <c r="B676" t="s">
        <v>866</v>
      </c>
      <c r="C676" s="1">
        <v>45962</v>
      </c>
      <c r="D676" t="s">
        <v>127</v>
      </c>
      <c r="E676" t="s">
        <v>14</v>
      </c>
      <c r="F676" t="s">
        <v>27</v>
      </c>
      <c r="G676" t="s">
        <v>16</v>
      </c>
      <c r="H676">
        <v>4</v>
      </c>
      <c r="I676">
        <v>92.01</v>
      </c>
      <c r="J676" t="s">
        <v>34</v>
      </c>
      <c r="K676" t="s">
        <v>21</v>
      </c>
      <c r="L676">
        <f>WEEKDAY(Table1[[#This Row],[Transaction_Date]],2)</f>
        <v>6</v>
      </c>
      <c r="M676">
        <f>IF(Table1[[#This Row],[Sale_Type]]="Buffet",1,0)</f>
        <v>0</v>
      </c>
    </row>
    <row r="677" spans="1:13" x14ac:dyDescent="0.2">
      <c r="A677" t="s">
        <v>931</v>
      </c>
      <c r="B677" t="s">
        <v>381</v>
      </c>
      <c r="C677" s="1">
        <v>45962</v>
      </c>
      <c r="D677" t="s">
        <v>127</v>
      </c>
      <c r="E677" t="s">
        <v>14</v>
      </c>
      <c r="F677" t="s">
        <v>27</v>
      </c>
      <c r="G677" t="s">
        <v>16</v>
      </c>
      <c r="H677">
        <v>1</v>
      </c>
      <c r="I677">
        <v>31.31</v>
      </c>
      <c r="J677" t="s">
        <v>34</v>
      </c>
      <c r="K677" t="s">
        <v>18</v>
      </c>
      <c r="L677">
        <f>WEEKDAY(Table1[[#This Row],[Transaction_Date]],2)</f>
        <v>6</v>
      </c>
      <c r="M677">
        <f>IF(Table1[[#This Row],[Sale_Type]]="Buffet",1,0)</f>
        <v>0</v>
      </c>
    </row>
    <row r="678" spans="1:13" x14ac:dyDescent="0.2">
      <c r="A678" t="s">
        <v>932</v>
      </c>
      <c r="B678" t="s">
        <v>400</v>
      </c>
      <c r="C678" s="1">
        <v>45962</v>
      </c>
      <c r="D678" t="s">
        <v>127</v>
      </c>
      <c r="E678" t="s">
        <v>14</v>
      </c>
      <c r="F678" t="s">
        <v>27</v>
      </c>
      <c r="G678" t="s">
        <v>16</v>
      </c>
      <c r="H678">
        <v>3</v>
      </c>
      <c r="I678">
        <v>158.22</v>
      </c>
      <c r="J678" t="s">
        <v>17</v>
      </c>
      <c r="K678" t="s">
        <v>18</v>
      </c>
      <c r="L678">
        <f>WEEKDAY(Table1[[#This Row],[Transaction_Date]],2)</f>
        <v>6</v>
      </c>
      <c r="M678">
        <f>IF(Table1[[#This Row],[Sale_Type]]="Buffet",1,0)</f>
        <v>0</v>
      </c>
    </row>
    <row r="679" spans="1:13" x14ac:dyDescent="0.2">
      <c r="A679" t="s">
        <v>933</v>
      </c>
      <c r="B679" t="s">
        <v>156</v>
      </c>
      <c r="C679" s="1">
        <v>45962</v>
      </c>
      <c r="D679" t="s">
        <v>127</v>
      </c>
      <c r="E679" t="s">
        <v>14</v>
      </c>
      <c r="F679" t="s">
        <v>31</v>
      </c>
      <c r="G679" t="s">
        <v>16</v>
      </c>
      <c r="H679">
        <v>5</v>
      </c>
      <c r="I679">
        <v>150.59</v>
      </c>
      <c r="J679" t="s">
        <v>17</v>
      </c>
      <c r="K679" t="s">
        <v>18</v>
      </c>
      <c r="L679">
        <f>WEEKDAY(Table1[[#This Row],[Transaction_Date]],2)</f>
        <v>6</v>
      </c>
      <c r="M679">
        <f>IF(Table1[[#This Row],[Sale_Type]]="Buffet",1,0)</f>
        <v>0</v>
      </c>
    </row>
    <row r="680" spans="1:13" x14ac:dyDescent="0.2">
      <c r="A680" t="s">
        <v>934</v>
      </c>
      <c r="B680" t="s">
        <v>226</v>
      </c>
      <c r="C680" s="1">
        <v>45962</v>
      </c>
      <c r="D680" t="s">
        <v>127</v>
      </c>
      <c r="E680" t="s">
        <v>14</v>
      </c>
      <c r="F680" t="s">
        <v>31</v>
      </c>
      <c r="G680" t="s">
        <v>16</v>
      </c>
      <c r="H680">
        <v>1</v>
      </c>
      <c r="I680">
        <v>19.05</v>
      </c>
      <c r="J680" t="s">
        <v>28</v>
      </c>
      <c r="K680" t="s">
        <v>18</v>
      </c>
      <c r="L680">
        <f>WEEKDAY(Table1[[#This Row],[Transaction_Date]],2)</f>
        <v>6</v>
      </c>
      <c r="M680">
        <f>IF(Table1[[#This Row],[Sale_Type]]="Buffet",1,0)</f>
        <v>0</v>
      </c>
    </row>
    <row r="681" spans="1:13" x14ac:dyDescent="0.2">
      <c r="A681" t="s">
        <v>935</v>
      </c>
      <c r="B681" t="s">
        <v>270</v>
      </c>
      <c r="C681" s="1">
        <v>45962</v>
      </c>
      <c r="D681" t="s">
        <v>127</v>
      </c>
      <c r="E681" t="s">
        <v>14</v>
      </c>
      <c r="F681" t="s">
        <v>31</v>
      </c>
      <c r="G681" t="s">
        <v>16</v>
      </c>
      <c r="H681">
        <v>6</v>
      </c>
      <c r="I681">
        <v>69.41</v>
      </c>
      <c r="J681" t="s">
        <v>17</v>
      </c>
      <c r="K681" t="s">
        <v>18</v>
      </c>
      <c r="L681">
        <f>WEEKDAY(Table1[[#This Row],[Transaction_Date]],2)</f>
        <v>6</v>
      </c>
      <c r="M681">
        <f>IF(Table1[[#This Row],[Sale_Type]]="Buffet",1,0)</f>
        <v>0</v>
      </c>
    </row>
    <row r="682" spans="1:13" x14ac:dyDescent="0.2">
      <c r="A682" t="s">
        <v>936</v>
      </c>
      <c r="B682" t="s">
        <v>937</v>
      </c>
      <c r="C682" s="1">
        <v>45962</v>
      </c>
      <c r="D682" t="s">
        <v>127</v>
      </c>
      <c r="E682" t="s">
        <v>14</v>
      </c>
      <c r="F682" t="s">
        <v>31</v>
      </c>
      <c r="G682" t="s">
        <v>16</v>
      </c>
      <c r="H682">
        <v>3</v>
      </c>
      <c r="I682">
        <v>116.64</v>
      </c>
      <c r="J682" t="s">
        <v>28</v>
      </c>
      <c r="K682" t="s">
        <v>18</v>
      </c>
      <c r="L682">
        <f>WEEKDAY(Table1[[#This Row],[Transaction_Date]],2)</f>
        <v>6</v>
      </c>
      <c r="M682">
        <f>IF(Table1[[#This Row],[Sale_Type]]="Buffet",1,0)</f>
        <v>0</v>
      </c>
    </row>
    <row r="683" spans="1:13" x14ac:dyDescent="0.2">
      <c r="A683" t="s">
        <v>938</v>
      </c>
      <c r="B683" t="s">
        <v>95</v>
      </c>
      <c r="C683" s="1">
        <v>45962</v>
      </c>
      <c r="D683" t="s">
        <v>127</v>
      </c>
      <c r="E683" t="s">
        <v>14</v>
      </c>
      <c r="F683" t="s">
        <v>31</v>
      </c>
      <c r="G683" t="s">
        <v>16</v>
      </c>
      <c r="H683">
        <v>3</v>
      </c>
      <c r="I683">
        <v>84.02</v>
      </c>
      <c r="J683" t="s">
        <v>34</v>
      </c>
      <c r="K683" t="s">
        <v>18</v>
      </c>
      <c r="L683">
        <f>WEEKDAY(Table1[[#This Row],[Transaction_Date]],2)</f>
        <v>6</v>
      </c>
      <c r="M683">
        <f>IF(Table1[[#This Row],[Sale_Type]]="Buffet",1,0)</f>
        <v>0</v>
      </c>
    </row>
    <row r="684" spans="1:13" x14ac:dyDescent="0.2">
      <c r="A684" t="s">
        <v>939</v>
      </c>
      <c r="B684" t="s">
        <v>264</v>
      </c>
      <c r="C684" s="1">
        <v>45962</v>
      </c>
      <c r="D684" t="s">
        <v>127</v>
      </c>
      <c r="E684" t="s">
        <v>14</v>
      </c>
      <c r="F684" t="s">
        <v>31</v>
      </c>
      <c r="G684" t="s">
        <v>16</v>
      </c>
      <c r="H684">
        <v>3</v>
      </c>
      <c r="I684">
        <v>136.75</v>
      </c>
      <c r="J684" t="s">
        <v>17</v>
      </c>
      <c r="K684" t="s">
        <v>18</v>
      </c>
      <c r="L684">
        <f>WEEKDAY(Table1[[#This Row],[Transaction_Date]],2)</f>
        <v>6</v>
      </c>
      <c r="M684">
        <f>IF(Table1[[#This Row],[Sale_Type]]="Buffet",1,0)</f>
        <v>0</v>
      </c>
    </row>
    <row r="685" spans="1:13" x14ac:dyDescent="0.2">
      <c r="A685" t="s">
        <v>940</v>
      </c>
      <c r="B685" t="s">
        <v>351</v>
      </c>
      <c r="C685" s="1">
        <v>45962</v>
      </c>
      <c r="D685" t="s">
        <v>127</v>
      </c>
      <c r="E685" t="s">
        <v>14</v>
      </c>
      <c r="F685" t="s">
        <v>31</v>
      </c>
      <c r="G685" t="s">
        <v>16</v>
      </c>
      <c r="H685">
        <v>3</v>
      </c>
      <c r="I685">
        <v>50.12</v>
      </c>
      <c r="J685" t="s">
        <v>28</v>
      </c>
      <c r="K685" t="s">
        <v>18</v>
      </c>
      <c r="L685">
        <f>WEEKDAY(Table1[[#This Row],[Transaction_Date]],2)</f>
        <v>6</v>
      </c>
      <c r="M685">
        <f>IF(Table1[[#This Row],[Sale_Type]]="Buffet",1,0)</f>
        <v>0</v>
      </c>
    </row>
    <row r="686" spans="1:13" x14ac:dyDescent="0.2">
      <c r="A686" t="s">
        <v>941</v>
      </c>
      <c r="B686" t="s">
        <v>346</v>
      </c>
      <c r="C686" s="1">
        <v>45962</v>
      </c>
      <c r="D686" t="s">
        <v>127</v>
      </c>
      <c r="E686" t="s">
        <v>14</v>
      </c>
      <c r="F686" t="s">
        <v>40</v>
      </c>
      <c r="G686" t="s">
        <v>16</v>
      </c>
      <c r="H686">
        <v>4</v>
      </c>
      <c r="I686">
        <v>102.44</v>
      </c>
      <c r="J686" t="s">
        <v>34</v>
      </c>
      <c r="K686" t="s">
        <v>18</v>
      </c>
      <c r="L686">
        <f>WEEKDAY(Table1[[#This Row],[Transaction_Date]],2)</f>
        <v>6</v>
      </c>
      <c r="M686">
        <f>IF(Table1[[#This Row],[Sale_Type]]="Buffet",1,0)</f>
        <v>0</v>
      </c>
    </row>
    <row r="687" spans="1:13" x14ac:dyDescent="0.2">
      <c r="A687" t="s">
        <v>942</v>
      </c>
      <c r="B687" t="s">
        <v>260</v>
      </c>
      <c r="C687" s="1">
        <v>45962</v>
      </c>
      <c r="D687" t="s">
        <v>127</v>
      </c>
      <c r="E687" t="s">
        <v>14</v>
      </c>
      <c r="F687" t="s">
        <v>40</v>
      </c>
      <c r="G687" t="s">
        <v>16</v>
      </c>
      <c r="H687">
        <v>3</v>
      </c>
      <c r="I687">
        <v>107.62</v>
      </c>
      <c r="J687" t="s">
        <v>28</v>
      </c>
      <c r="K687" t="s">
        <v>18</v>
      </c>
      <c r="L687">
        <f>WEEKDAY(Table1[[#This Row],[Transaction_Date]],2)</f>
        <v>6</v>
      </c>
      <c r="M687">
        <f>IF(Table1[[#This Row],[Sale_Type]]="Buffet",1,0)</f>
        <v>0</v>
      </c>
    </row>
    <row r="688" spans="1:13" x14ac:dyDescent="0.2">
      <c r="A688" t="s">
        <v>943</v>
      </c>
      <c r="B688" t="s">
        <v>323</v>
      </c>
      <c r="C688" s="1">
        <v>45962</v>
      </c>
      <c r="D688" t="s">
        <v>127</v>
      </c>
      <c r="E688" t="s">
        <v>14</v>
      </c>
      <c r="F688" t="s">
        <v>40</v>
      </c>
      <c r="G688" t="s">
        <v>16</v>
      </c>
      <c r="H688">
        <v>5</v>
      </c>
      <c r="I688">
        <v>129.57</v>
      </c>
      <c r="J688" t="s">
        <v>17</v>
      </c>
      <c r="K688" t="s">
        <v>21</v>
      </c>
      <c r="L688">
        <f>WEEKDAY(Table1[[#This Row],[Transaction_Date]],2)</f>
        <v>6</v>
      </c>
      <c r="M688">
        <f>IF(Table1[[#This Row],[Sale_Type]]="Buffet",1,0)</f>
        <v>0</v>
      </c>
    </row>
    <row r="689" spans="1:13" x14ac:dyDescent="0.2">
      <c r="A689" t="s">
        <v>944</v>
      </c>
      <c r="B689" t="s">
        <v>945</v>
      </c>
      <c r="C689" s="1">
        <v>45962</v>
      </c>
      <c r="D689" t="s">
        <v>127</v>
      </c>
      <c r="E689" t="s">
        <v>14</v>
      </c>
      <c r="F689" t="s">
        <v>40</v>
      </c>
      <c r="G689" t="s">
        <v>16</v>
      </c>
      <c r="H689">
        <v>5</v>
      </c>
      <c r="I689">
        <v>282.52999999999997</v>
      </c>
      <c r="J689" t="s">
        <v>17</v>
      </c>
      <c r="K689" t="s">
        <v>18</v>
      </c>
      <c r="L689">
        <f>WEEKDAY(Table1[[#This Row],[Transaction_Date]],2)</f>
        <v>6</v>
      </c>
      <c r="M689">
        <f>IF(Table1[[#This Row],[Sale_Type]]="Buffet",1,0)</f>
        <v>0</v>
      </c>
    </row>
    <row r="690" spans="1:13" x14ac:dyDescent="0.2">
      <c r="A690" t="s">
        <v>946</v>
      </c>
      <c r="B690" t="s">
        <v>245</v>
      </c>
      <c r="C690" s="1">
        <v>45962</v>
      </c>
      <c r="D690" t="s">
        <v>127</v>
      </c>
      <c r="E690" t="s">
        <v>14</v>
      </c>
      <c r="F690" t="s">
        <v>40</v>
      </c>
      <c r="G690" t="s">
        <v>16</v>
      </c>
      <c r="H690">
        <v>8</v>
      </c>
      <c r="I690">
        <v>236.66</v>
      </c>
      <c r="J690" t="s">
        <v>34</v>
      </c>
      <c r="K690" t="s">
        <v>18</v>
      </c>
      <c r="L690">
        <f>WEEKDAY(Table1[[#This Row],[Transaction_Date]],2)</f>
        <v>6</v>
      </c>
      <c r="M690">
        <f>IF(Table1[[#This Row],[Sale_Type]]="Buffet",1,0)</f>
        <v>0</v>
      </c>
    </row>
    <row r="691" spans="1:13" x14ac:dyDescent="0.2">
      <c r="A691" t="s">
        <v>947</v>
      </c>
      <c r="B691" t="s">
        <v>948</v>
      </c>
      <c r="C691" s="1">
        <v>45962</v>
      </c>
      <c r="D691" t="s">
        <v>127</v>
      </c>
      <c r="E691" t="s">
        <v>14</v>
      </c>
      <c r="F691" t="s">
        <v>40</v>
      </c>
      <c r="G691" t="s">
        <v>16</v>
      </c>
      <c r="H691">
        <v>2</v>
      </c>
      <c r="I691">
        <v>51.44</v>
      </c>
      <c r="J691" t="s">
        <v>17</v>
      </c>
      <c r="K691" t="s">
        <v>18</v>
      </c>
      <c r="L691">
        <f>WEEKDAY(Table1[[#This Row],[Transaction_Date]],2)</f>
        <v>6</v>
      </c>
      <c r="M691">
        <f>IF(Table1[[#This Row],[Sale_Type]]="Buffet",1,0)</f>
        <v>0</v>
      </c>
    </row>
    <row r="692" spans="1:13" x14ac:dyDescent="0.2">
      <c r="A692" t="s">
        <v>949</v>
      </c>
      <c r="B692" t="s">
        <v>131</v>
      </c>
      <c r="C692" s="1">
        <v>45962</v>
      </c>
      <c r="D692" t="s">
        <v>127</v>
      </c>
      <c r="E692" t="s">
        <v>14</v>
      </c>
      <c r="F692" t="s">
        <v>40</v>
      </c>
      <c r="G692" t="s">
        <v>16</v>
      </c>
      <c r="H692">
        <v>2</v>
      </c>
      <c r="I692">
        <v>57</v>
      </c>
      <c r="J692" t="s">
        <v>17</v>
      </c>
      <c r="K692" t="s">
        <v>18</v>
      </c>
      <c r="L692">
        <f>WEEKDAY(Table1[[#This Row],[Transaction_Date]],2)</f>
        <v>6</v>
      </c>
      <c r="M692">
        <f>IF(Table1[[#This Row],[Sale_Type]]="Buffet",1,0)</f>
        <v>0</v>
      </c>
    </row>
    <row r="693" spans="1:13" x14ac:dyDescent="0.2">
      <c r="A693" t="s">
        <v>950</v>
      </c>
      <c r="B693" t="s">
        <v>334</v>
      </c>
      <c r="C693" s="1">
        <v>45962</v>
      </c>
      <c r="D693" t="s">
        <v>127</v>
      </c>
      <c r="E693" t="s">
        <v>43</v>
      </c>
      <c r="F693" t="s">
        <v>44</v>
      </c>
      <c r="G693" t="s">
        <v>16</v>
      </c>
      <c r="H693">
        <v>2</v>
      </c>
      <c r="I693">
        <v>17.48</v>
      </c>
      <c r="J693" t="s">
        <v>17</v>
      </c>
      <c r="K693" t="s">
        <v>18</v>
      </c>
      <c r="L693">
        <f>WEEKDAY(Table1[[#This Row],[Transaction_Date]],2)</f>
        <v>6</v>
      </c>
      <c r="M693">
        <f>IF(Table1[[#This Row],[Sale_Type]]="Buffet",1,0)</f>
        <v>0</v>
      </c>
    </row>
    <row r="694" spans="1:13" x14ac:dyDescent="0.2">
      <c r="A694" t="s">
        <v>951</v>
      </c>
      <c r="B694" t="s">
        <v>952</v>
      </c>
      <c r="C694" s="1">
        <v>45962</v>
      </c>
      <c r="D694" t="s">
        <v>127</v>
      </c>
      <c r="E694" t="s">
        <v>43</v>
      </c>
      <c r="F694" t="s">
        <v>50</v>
      </c>
      <c r="G694" t="s">
        <v>16</v>
      </c>
      <c r="H694">
        <v>1</v>
      </c>
      <c r="I694">
        <v>27.35</v>
      </c>
      <c r="J694" t="s">
        <v>17</v>
      </c>
      <c r="K694" t="s">
        <v>18</v>
      </c>
      <c r="L694">
        <f>WEEKDAY(Table1[[#This Row],[Transaction_Date]],2)</f>
        <v>6</v>
      </c>
      <c r="M694">
        <f>IF(Table1[[#This Row],[Sale_Type]]="Buffet",1,0)</f>
        <v>0</v>
      </c>
    </row>
    <row r="695" spans="1:13" x14ac:dyDescent="0.2">
      <c r="A695" t="s">
        <v>953</v>
      </c>
      <c r="B695" t="s">
        <v>581</v>
      </c>
      <c r="C695" s="1">
        <v>45962</v>
      </c>
      <c r="D695" t="s">
        <v>127</v>
      </c>
      <c r="E695" t="s">
        <v>43</v>
      </c>
      <c r="F695" t="s">
        <v>50</v>
      </c>
      <c r="G695" t="s">
        <v>16</v>
      </c>
      <c r="H695">
        <v>1</v>
      </c>
      <c r="I695">
        <v>23.26</v>
      </c>
      <c r="J695" t="s">
        <v>34</v>
      </c>
      <c r="K695" t="s">
        <v>18</v>
      </c>
      <c r="L695">
        <f>WEEKDAY(Table1[[#This Row],[Transaction_Date]],2)</f>
        <v>6</v>
      </c>
      <c r="M695">
        <f>IF(Table1[[#This Row],[Sale_Type]]="Buffet",1,0)</f>
        <v>0</v>
      </c>
    </row>
    <row r="696" spans="1:13" x14ac:dyDescent="0.2">
      <c r="A696" t="s">
        <v>954</v>
      </c>
      <c r="B696" t="s">
        <v>467</v>
      </c>
      <c r="C696" s="1">
        <v>45963</v>
      </c>
      <c r="D696" t="s">
        <v>171</v>
      </c>
      <c r="E696" t="s">
        <v>14</v>
      </c>
      <c r="F696" t="s">
        <v>15</v>
      </c>
      <c r="G696" t="s">
        <v>16</v>
      </c>
      <c r="H696">
        <v>2</v>
      </c>
      <c r="I696">
        <v>39.74</v>
      </c>
      <c r="J696" t="s">
        <v>17</v>
      </c>
      <c r="K696" t="s">
        <v>18</v>
      </c>
      <c r="L696">
        <f>WEEKDAY(Table1[[#This Row],[Transaction_Date]],2)</f>
        <v>7</v>
      </c>
      <c r="M696">
        <f>IF(Table1[[#This Row],[Sale_Type]]="Buffet",1,0)</f>
        <v>0</v>
      </c>
    </row>
    <row r="697" spans="1:13" x14ac:dyDescent="0.2">
      <c r="A697" t="s">
        <v>955</v>
      </c>
      <c r="B697" t="s">
        <v>318</v>
      </c>
      <c r="C697" s="1">
        <v>45963</v>
      </c>
      <c r="D697" t="s">
        <v>171</v>
      </c>
      <c r="E697" t="s">
        <v>14</v>
      </c>
      <c r="F697" t="s">
        <v>15</v>
      </c>
      <c r="G697" t="s">
        <v>16</v>
      </c>
      <c r="H697">
        <v>2</v>
      </c>
      <c r="I697">
        <v>37.270000000000003</v>
      </c>
      <c r="J697" t="s">
        <v>34</v>
      </c>
      <c r="K697" t="s">
        <v>18</v>
      </c>
      <c r="L697">
        <f>WEEKDAY(Table1[[#This Row],[Transaction_Date]],2)</f>
        <v>7</v>
      </c>
      <c r="M697">
        <f>IF(Table1[[#This Row],[Sale_Type]]="Buffet",1,0)</f>
        <v>0</v>
      </c>
    </row>
    <row r="698" spans="1:13" x14ac:dyDescent="0.2">
      <c r="A698" t="s">
        <v>956</v>
      </c>
      <c r="B698" t="s">
        <v>957</v>
      </c>
      <c r="C698" s="1">
        <v>45963</v>
      </c>
      <c r="D698" t="s">
        <v>171</v>
      </c>
      <c r="E698" t="s">
        <v>14</v>
      </c>
      <c r="F698" t="s">
        <v>24</v>
      </c>
      <c r="G698" t="s">
        <v>16</v>
      </c>
      <c r="H698">
        <v>5</v>
      </c>
      <c r="I698">
        <v>189.88</v>
      </c>
      <c r="J698" t="s">
        <v>17</v>
      </c>
      <c r="K698" t="s">
        <v>21</v>
      </c>
      <c r="L698">
        <f>WEEKDAY(Table1[[#This Row],[Transaction_Date]],2)</f>
        <v>7</v>
      </c>
      <c r="M698">
        <f>IF(Table1[[#This Row],[Sale_Type]]="Buffet",1,0)</f>
        <v>0</v>
      </c>
    </row>
    <row r="699" spans="1:13" x14ac:dyDescent="0.2">
      <c r="A699" t="s">
        <v>958</v>
      </c>
      <c r="B699" t="s">
        <v>228</v>
      </c>
      <c r="C699" s="1">
        <v>45963</v>
      </c>
      <c r="D699" t="s">
        <v>171</v>
      </c>
      <c r="E699" t="s">
        <v>14</v>
      </c>
      <c r="F699" t="s">
        <v>27</v>
      </c>
      <c r="G699" t="s">
        <v>16</v>
      </c>
      <c r="H699">
        <v>4</v>
      </c>
      <c r="I699">
        <v>103.66</v>
      </c>
      <c r="J699" t="s">
        <v>34</v>
      </c>
      <c r="K699" t="s">
        <v>18</v>
      </c>
      <c r="L699">
        <f>WEEKDAY(Table1[[#This Row],[Transaction_Date]],2)</f>
        <v>7</v>
      </c>
      <c r="M699">
        <f>IF(Table1[[#This Row],[Sale_Type]]="Buffet",1,0)</f>
        <v>0</v>
      </c>
    </row>
    <row r="700" spans="1:13" x14ac:dyDescent="0.2">
      <c r="A700" t="s">
        <v>959</v>
      </c>
      <c r="B700" t="s">
        <v>76</v>
      </c>
      <c r="C700" s="1">
        <v>45963</v>
      </c>
      <c r="D700" t="s">
        <v>171</v>
      </c>
      <c r="E700" t="s">
        <v>14</v>
      </c>
      <c r="F700" t="s">
        <v>27</v>
      </c>
      <c r="G700" t="s">
        <v>16</v>
      </c>
      <c r="H700">
        <v>2</v>
      </c>
      <c r="I700">
        <v>68.89</v>
      </c>
      <c r="J700" t="s">
        <v>17</v>
      </c>
      <c r="K700" t="s">
        <v>18</v>
      </c>
      <c r="L700">
        <f>WEEKDAY(Table1[[#This Row],[Transaction_Date]],2)</f>
        <v>7</v>
      </c>
      <c r="M700">
        <f>IF(Table1[[#This Row],[Sale_Type]]="Buffet",1,0)</f>
        <v>0</v>
      </c>
    </row>
    <row r="701" spans="1:13" x14ac:dyDescent="0.2">
      <c r="A701" t="s">
        <v>960</v>
      </c>
      <c r="B701" t="s">
        <v>730</v>
      </c>
      <c r="C701" s="1">
        <v>45963</v>
      </c>
      <c r="D701" t="s">
        <v>171</v>
      </c>
      <c r="E701" t="s">
        <v>14</v>
      </c>
      <c r="F701" t="s">
        <v>31</v>
      </c>
      <c r="G701" t="s">
        <v>16</v>
      </c>
      <c r="H701">
        <v>4</v>
      </c>
      <c r="I701">
        <v>104.74</v>
      </c>
      <c r="J701" t="s">
        <v>28</v>
      </c>
      <c r="K701" t="s">
        <v>18</v>
      </c>
      <c r="L701">
        <f>WEEKDAY(Table1[[#This Row],[Transaction_Date]],2)</f>
        <v>7</v>
      </c>
      <c r="M701">
        <f>IF(Table1[[#This Row],[Sale_Type]]="Buffet",1,0)</f>
        <v>0</v>
      </c>
    </row>
    <row r="702" spans="1:13" x14ac:dyDescent="0.2">
      <c r="A702" t="s">
        <v>961</v>
      </c>
      <c r="B702" t="s">
        <v>131</v>
      </c>
      <c r="C702" s="1">
        <v>45963</v>
      </c>
      <c r="D702" t="s">
        <v>171</v>
      </c>
      <c r="E702" t="s">
        <v>14</v>
      </c>
      <c r="F702" t="s">
        <v>31</v>
      </c>
      <c r="G702" t="s">
        <v>16</v>
      </c>
      <c r="H702">
        <v>1</v>
      </c>
      <c r="I702">
        <v>37.79</v>
      </c>
      <c r="J702" t="s">
        <v>17</v>
      </c>
      <c r="K702" t="s">
        <v>18</v>
      </c>
      <c r="L702">
        <f>WEEKDAY(Table1[[#This Row],[Transaction_Date]],2)</f>
        <v>7</v>
      </c>
      <c r="M702">
        <f>IF(Table1[[#This Row],[Sale_Type]]="Buffet",1,0)</f>
        <v>0</v>
      </c>
    </row>
    <row r="703" spans="1:13" x14ac:dyDescent="0.2">
      <c r="A703" t="s">
        <v>962</v>
      </c>
      <c r="B703" t="s">
        <v>102</v>
      </c>
      <c r="C703" s="1">
        <v>45963</v>
      </c>
      <c r="D703" t="s">
        <v>171</v>
      </c>
      <c r="E703" t="s">
        <v>14</v>
      </c>
      <c r="F703" t="s">
        <v>31</v>
      </c>
      <c r="G703" t="s">
        <v>16</v>
      </c>
      <c r="H703">
        <v>3</v>
      </c>
      <c r="I703">
        <v>59.35</v>
      </c>
      <c r="J703" t="s">
        <v>17</v>
      </c>
      <c r="K703" t="s">
        <v>18</v>
      </c>
      <c r="L703">
        <f>WEEKDAY(Table1[[#This Row],[Transaction_Date]],2)</f>
        <v>7</v>
      </c>
      <c r="M703">
        <f>IF(Table1[[#This Row],[Sale_Type]]="Buffet",1,0)</f>
        <v>0</v>
      </c>
    </row>
    <row r="704" spans="1:13" x14ac:dyDescent="0.2">
      <c r="A704" t="s">
        <v>963</v>
      </c>
      <c r="B704" t="s">
        <v>202</v>
      </c>
      <c r="C704" s="1">
        <v>45963</v>
      </c>
      <c r="D704" t="s">
        <v>171</v>
      </c>
      <c r="E704" t="s">
        <v>14</v>
      </c>
      <c r="F704" t="s">
        <v>31</v>
      </c>
      <c r="G704" t="s">
        <v>16</v>
      </c>
      <c r="H704">
        <v>5</v>
      </c>
      <c r="I704">
        <v>130.84</v>
      </c>
      <c r="J704" t="s">
        <v>28</v>
      </c>
      <c r="K704" t="s">
        <v>18</v>
      </c>
      <c r="L704">
        <f>WEEKDAY(Table1[[#This Row],[Transaction_Date]],2)</f>
        <v>7</v>
      </c>
      <c r="M704">
        <f>IF(Table1[[#This Row],[Sale_Type]]="Buffet",1,0)</f>
        <v>0</v>
      </c>
    </row>
    <row r="705" spans="1:13" x14ac:dyDescent="0.2">
      <c r="A705" t="s">
        <v>964</v>
      </c>
      <c r="B705" t="s">
        <v>122</v>
      </c>
      <c r="C705" s="1">
        <v>45963</v>
      </c>
      <c r="D705" t="s">
        <v>171</v>
      </c>
      <c r="E705" t="s">
        <v>14</v>
      </c>
      <c r="F705" t="s">
        <v>40</v>
      </c>
      <c r="G705" t="s">
        <v>16</v>
      </c>
      <c r="H705">
        <v>5</v>
      </c>
      <c r="I705">
        <v>101.59</v>
      </c>
      <c r="J705" t="s">
        <v>34</v>
      </c>
      <c r="K705" t="s">
        <v>18</v>
      </c>
      <c r="L705">
        <f>WEEKDAY(Table1[[#This Row],[Transaction_Date]],2)</f>
        <v>7</v>
      </c>
      <c r="M705">
        <f>IF(Table1[[#This Row],[Sale_Type]]="Buffet",1,0)</f>
        <v>0</v>
      </c>
    </row>
    <row r="706" spans="1:13" x14ac:dyDescent="0.2">
      <c r="A706" t="s">
        <v>965</v>
      </c>
      <c r="B706" t="s">
        <v>459</v>
      </c>
      <c r="C706" s="1">
        <v>45963</v>
      </c>
      <c r="D706" t="s">
        <v>171</v>
      </c>
      <c r="E706" t="s">
        <v>14</v>
      </c>
      <c r="F706" t="s">
        <v>40</v>
      </c>
      <c r="G706" t="s">
        <v>16</v>
      </c>
      <c r="H706">
        <v>2</v>
      </c>
      <c r="I706">
        <v>68.81</v>
      </c>
      <c r="J706" t="s">
        <v>28</v>
      </c>
      <c r="K706" t="s">
        <v>18</v>
      </c>
      <c r="L706">
        <f>WEEKDAY(Table1[[#This Row],[Transaction_Date]],2)</f>
        <v>7</v>
      </c>
      <c r="M706">
        <f>IF(Table1[[#This Row],[Sale_Type]]="Buffet",1,0)</f>
        <v>0</v>
      </c>
    </row>
    <row r="707" spans="1:13" x14ac:dyDescent="0.2">
      <c r="A707" t="s">
        <v>966</v>
      </c>
      <c r="B707" t="s">
        <v>74</v>
      </c>
      <c r="C707" s="1">
        <v>45963</v>
      </c>
      <c r="D707" t="s">
        <v>171</v>
      </c>
      <c r="E707" t="s">
        <v>43</v>
      </c>
      <c r="F707" t="s">
        <v>50</v>
      </c>
      <c r="G707" t="s">
        <v>16</v>
      </c>
      <c r="H707">
        <v>2</v>
      </c>
      <c r="I707">
        <v>28.23</v>
      </c>
      <c r="J707" t="s">
        <v>17</v>
      </c>
      <c r="K707" t="s">
        <v>21</v>
      </c>
      <c r="L707">
        <f>WEEKDAY(Table1[[#This Row],[Transaction_Date]],2)</f>
        <v>7</v>
      </c>
      <c r="M707">
        <f>IF(Table1[[#This Row],[Sale_Type]]="Buffet",1,0)</f>
        <v>0</v>
      </c>
    </row>
    <row r="708" spans="1:13" x14ac:dyDescent="0.2">
      <c r="A708" t="s">
        <v>967</v>
      </c>
      <c r="B708" t="s">
        <v>624</v>
      </c>
      <c r="C708" s="1">
        <v>45963</v>
      </c>
      <c r="D708" t="s">
        <v>171</v>
      </c>
      <c r="E708" t="s">
        <v>43</v>
      </c>
      <c r="F708" t="s">
        <v>50</v>
      </c>
      <c r="G708" t="s">
        <v>16</v>
      </c>
      <c r="H708">
        <v>1</v>
      </c>
      <c r="I708">
        <v>15.95</v>
      </c>
      <c r="J708" t="s">
        <v>17</v>
      </c>
      <c r="K708" t="s">
        <v>18</v>
      </c>
      <c r="L708">
        <f>WEEKDAY(Table1[[#This Row],[Transaction_Date]],2)</f>
        <v>7</v>
      </c>
      <c r="M708">
        <f>IF(Table1[[#This Row],[Sale_Type]]="Buffet",1,0)</f>
        <v>0</v>
      </c>
    </row>
    <row r="709" spans="1:13" x14ac:dyDescent="0.2">
      <c r="A709" t="s">
        <v>968</v>
      </c>
      <c r="B709" t="s">
        <v>309</v>
      </c>
      <c r="C709" s="1">
        <v>45963</v>
      </c>
      <c r="D709" t="s">
        <v>171</v>
      </c>
      <c r="E709" t="s">
        <v>43</v>
      </c>
      <c r="F709" t="s">
        <v>53</v>
      </c>
      <c r="G709" t="s">
        <v>16</v>
      </c>
      <c r="H709">
        <v>3</v>
      </c>
      <c r="I709">
        <v>65.069999999999993</v>
      </c>
      <c r="J709" t="s">
        <v>28</v>
      </c>
      <c r="K709" t="s">
        <v>18</v>
      </c>
      <c r="L709">
        <f>WEEKDAY(Table1[[#This Row],[Transaction_Date]],2)</f>
        <v>7</v>
      </c>
      <c r="M709">
        <f>IF(Table1[[#This Row],[Sale_Type]]="Buffet",1,0)</f>
        <v>0</v>
      </c>
    </row>
    <row r="710" spans="1:13" x14ac:dyDescent="0.2">
      <c r="A710" t="s">
        <v>969</v>
      </c>
      <c r="B710" t="s">
        <v>226</v>
      </c>
      <c r="C710" s="1">
        <v>45964</v>
      </c>
      <c r="D710" t="s">
        <v>213</v>
      </c>
      <c r="E710" t="s">
        <v>14</v>
      </c>
      <c r="F710" t="s">
        <v>15</v>
      </c>
      <c r="G710" t="s">
        <v>16</v>
      </c>
      <c r="H710">
        <v>4</v>
      </c>
      <c r="I710">
        <v>83.66</v>
      </c>
      <c r="J710" t="s">
        <v>17</v>
      </c>
      <c r="K710" t="s">
        <v>18</v>
      </c>
      <c r="L710">
        <f>WEEKDAY(Table1[[#This Row],[Transaction_Date]],2)</f>
        <v>1</v>
      </c>
      <c r="M710">
        <f>IF(Table1[[#This Row],[Sale_Type]]="Buffet",1,0)</f>
        <v>0</v>
      </c>
    </row>
    <row r="711" spans="1:13" x14ac:dyDescent="0.2">
      <c r="A711" t="s">
        <v>970</v>
      </c>
      <c r="B711" t="s">
        <v>295</v>
      </c>
      <c r="C711" s="1">
        <v>45964</v>
      </c>
      <c r="D711" t="s">
        <v>213</v>
      </c>
      <c r="E711" t="s">
        <v>14</v>
      </c>
      <c r="F711" t="s">
        <v>15</v>
      </c>
      <c r="G711" t="s">
        <v>16</v>
      </c>
      <c r="H711">
        <v>2</v>
      </c>
      <c r="I711">
        <v>29.87</v>
      </c>
      <c r="J711" t="s">
        <v>17</v>
      </c>
      <c r="K711" t="s">
        <v>21</v>
      </c>
      <c r="L711">
        <f>WEEKDAY(Table1[[#This Row],[Transaction_Date]],2)</f>
        <v>1</v>
      </c>
      <c r="M711">
        <f>IF(Table1[[#This Row],[Sale_Type]]="Buffet",1,0)</f>
        <v>0</v>
      </c>
    </row>
    <row r="712" spans="1:13" x14ac:dyDescent="0.2">
      <c r="A712" t="s">
        <v>971</v>
      </c>
      <c r="B712" t="s">
        <v>390</v>
      </c>
      <c r="C712" s="1">
        <v>45964</v>
      </c>
      <c r="D712" t="s">
        <v>213</v>
      </c>
      <c r="E712" t="s">
        <v>14</v>
      </c>
      <c r="F712" t="s">
        <v>24</v>
      </c>
      <c r="G712" t="s">
        <v>16</v>
      </c>
      <c r="H712">
        <v>1</v>
      </c>
      <c r="I712">
        <v>52.79</v>
      </c>
      <c r="J712" t="s">
        <v>17</v>
      </c>
      <c r="K712" t="s">
        <v>21</v>
      </c>
      <c r="L712">
        <f>WEEKDAY(Table1[[#This Row],[Transaction_Date]],2)</f>
        <v>1</v>
      </c>
      <c r="M712">
        <f>IF(Table1[[#This Row],[Sale_Type]]="Buffet",1,0)</f>
        <v>0</v>
      </c>
    </row>
    <row r="713" spans="1:13" x14ac:dyDescent="0.2">
      <c r="A713" t="s">
        <v>972</v>
      </c>
      <c r="B713" t="s">
        <v>23</v>
      </c>
      <c r="C713" s="1">
        <v>45964</v>
      </c>
      <c r="D713" t="s">
        <v>213</v>
      </c>
      <c r="E713" t="s">
        <v>14</v>
      </c>
      <c r="F713" t="s">
        <v>24</v>
      </c>
      <c r="G713" t="s">
        <v>16</v>
      </c>
      <c r="H713">
        <v>5</v>
      </c>
      <c r="I713">
        <v>166.77</v>
      </c>
      <c r="J713" t="s">
        <v>17</v>
      </c>
      <c r="K713" t="s">
        <v>21</v>
      </c>
      <c r="L713">
        <f>WEEKDAY(Table1[[#This Row],[Transaction_Date]],2)</f>
        <v>1</v>
      </c>
      <c r="M713">
        <f>IF(Table1[[#This Row],[Sale_Type]]="Buffet",1,0)</f>
        <v>0</v>
      </c>
    </row>
    <row r="714" spans="1:13" x14ac:dyDescent="0.2">
      <c r="A714" t="s">
        <v>973</v>
      </c>
      <c r="B714" t="s">
        <v>400</v>
      </c>
      <c r="C714" s="1">
        <v>45964</v>
      </c>
      <c r="D714" t="s">
        <v>213</v>
      </c>
      <c r="E714" t="s">
        <v>14</v>
      </c>
      <c r="F714" t="s">
        <v>24</v>
      </c>
      <c r="G714" t="s">
        <v>16</v>
      </c>
      <c r="H714">
        <v>3</v>
      </c>
      <c r="I714">
        <v>92.18</v>
      </c>
      <c r="J714" t="s">
        <v>34</v>
      </c>
      <c r="K714" t="s">
        <v>18</v>
      </c>
      <c r="L714">
        <f>WEEKDAY(Table1[[#This Row],[Transaction_Date]],2)</f>
        <v>1</v>
      </c>
      <c r="M714">
        <f>IF(Table1[[#This Row],[Sale_Type]]="Buffet",1,0)</f>
        <v>0</v>
      </c>
    </row>
    <row r="715" spans="1:13" x14ac:dyDescent="0.2">
      <c r="A715" t="s">
        <v>974</v>
      </c>
      <c r="B715" t="s">
        <v>194</v>
      </c>
      <c r="C715" s="1">
        <v>45964</v>
      </c>
      <c r="D715" t="s">
        <v>213</v>
      </c>
      <c r="E715" t="s">
        <v>14</v>
      </c>
      <c r="F715" t="s">
        <v>24</v>
      </c>
      <c r="G715" t="s">
        <v>16</v>
      </c>
      <c r="H715">
        <v>3</v>
      </c>
      <c r="I715">
        <v>71.849999999999994</v>
      </c>
      <c r="J715" t="s">
        <v>17</v>
      </c>
      <c r="K715" t="s">
        <v>18</v>
      </c>
      <c r="L715">
        <f>WEEKDAY(Table1[[#This Row],[Transaction_Date]],2)</f>
        <v>1</v>
      </c>
      <c r="M715">
        <f>IF(Table1[[#This Row],[Sale_Type]]="Buffet",1,0)</f>
        <v>0</v>
      </c>
    </row>
    <row r="716" spans="1:13" x14ac:dyDescent="0.2">
      <c r="A716" t="s">
        <v>975</v>
      </c>
      <c r="B716" t="s">
        <v>581</v>
      </c>
      <c r="C716" s="1">
        <v>45964</v>
      </c>
      <c r="D716" t="s">
        <v>213</v>
      </c>
      <c r="E716" t="s">
        <v>14</v>
      </c>
      <c r="F716" t="s">
        <v>27</v>
      </c>
      <c r="G716" t="s">
        <v>16</v>
      </c>
      <c r="H716">
        <v>4</v>
      </c>
      <c r="I716">
        <v>89.19</v>
      </c>
      <c r="J716" t="s">
        <v>17</v>
      </c>
      <c r="K716" t="s">
        <v>18</v>
      </c>
      <c r="L716">
        <f>WEEKDAY(Table1[[#This Row],[Transaction_Date]],2)</f>
        <v>1</v>
      </c>
      <c r="M716">
        <f>IF(Table1[[#This Row],[Sale_Type]]="Buffet",1,0)</f>
        <v>0</v>
      </c>
    </row>
    <row r="717" spans="1:13" x14ac:dyDescent="0.2">
      <c r="A717" t="s">
        <v>976</v>
      </c>
      <c r="B717" t="s">
        <v>256</v>
      </c>
      <c r="C717" s="1">
        <v>45964</v>
      </c>
      <c r="D717" t="s">
        <v>213</v>
      </c>
      <c r="E717" t="s">
        <v>14</v>
      </c>
      <c r="F717" t="s">
        <v>27</v>
      </c>
      <c r="G717" t="s">
        <v>16</v>
      </c>
      <c r="H717">
        <v>3</v>
      </c>
      <c r="I717">
        <v>76.239999999999995</v>
      </c>
      <c r="J717" t="s">
        <v>17</v>
      </c>
      <c r="K717" t="s">
        <v>18</v>
      </c>
      <c r="L717">
        <f>WEEKDAY(Table1[[#This Row],[Transaction_Date]],2)</f>
        <v>1</v>
      </c>
      <c r="M717">
        <f>IF(Table1[[#This Row],[Sale_Type]]="Buffet",1,0)</f>
        <v>0</v>
      </c>
    </row>
    <row r="718" spans="1:13" x14ac:dyDescent="0.2">
      <c r="A718" t="s">
        <v>977</v>
      </c>
      <c r="B718" t="s">
        <v>124</v>
      </c>
      <c r="C718" s="1">
        <v>45964</v>
      </c>
      <c r="D718" t="s">
        <v>213</v>
      </c>
      <c r="E718" t="s">
        <v>14</v>
      </c>
      <c r="F718" t="s">
        <v>27</v>
      </c>
      <c r="G718" t="s">
        <v>16</v>
      </c>
      <c r="H718">
        <v>5</v>
      </c>
      <c r="I718">
        <v>127.8</v>
      </c>
      <c r="J718" t="s">
        <v>17</v>
      </c>
      <c r="K718" t="s">
        <v>18</v>
      </c>
      <c r="L718">
        <f>WEEKDAY(Table1[[#This Row],[Transaction_Date]],2)</f>
        <v>1</v>
      </c>
      <c r="M718">
        <f>IF(Table1[[#This Row],[Sale_Type]]="Buffet",1,0)</f>
        <v>0</v>
      </c>
    </row>
    <row r="719" spans="1:13" x14ac:dyDescent="0.2">
      <c r="A719" t="s">
        <v>978</v>
      </c>
      <c r="B719" t="s">
        <v>26</v>
      </c>
      <c r="C719" s="1">
        <v>45964</v>
      </c>
      <c r="D719" t="s">
        <v>213</v>
      </c>
      <c r="E719" t="s">
        <v>14</v>
      </c>
      <c r="F719" t="s">
        <v>40</v>
      </c>
      <c r="G719" t="s">
        <v>16</v>
      </c>
      <c r="H719">
        <v>2</v>
      </c>
      <c r="I719">
        <v>80.3</v>
      </c>
      <c r="J719" t="s">
        <v>34</v>
      </c>
      <c r="K719" t="s">
        <v>18</v>
      </c>
      <c r="L719">
        <f>WEEKDAY(Table1[[#This Row],[Transaction_Date]],2)</f>
        <v>1</v>
      </c>
      <c r="M719">
        <f>IF(Table1[[#This Row],[Sale_Type]]="Buffet",1,0)</f>
        <v>0</v>
      </c>
    </row>
    <row r="720" spans="1:13" x14ac:dyDescent="0.2">
      <c r="A720" t="s">
        <v>979</v>
      </c>
      <c r="B720" t="s">
        <v>433</v>
      </c>
      <c r="C720" s="1">
        <v>45964</v>
      </c>
      <c r="D720" t="s">
        <v>213</v>
      </c>
      <c r="E720" t="s">
        <v>43</v>
      </c>
      <c r="F720" t="s">
        <v>50</v>
      </c>
      <c r="G720" t="s">
        <v>16</v>
      </c>
      <c r="H720">
        <v>4</v>
      </c>
      <c r="I720">
        <v>64.319999999999993</v>
      </c>
      <c r="J720" t="s">
        <v>34</v>
      </c>
      <c r="K720" t="s">
        <v>18</v>
      </c>
      <c r="L720">
        <f>WEEKDAY(Table1[[#This Row],[Transaction_Date]],2)</f>
        <v>1</v>
      </c>
      <c r="M720">
        <f>IF(Table1[[#This Row],[Sale_Type]]="Buffet",1,0)</f>
        <v>0</v>
      </c>
    </row>
    <row r="721" spans="1:13" x14ac:dyDescent="0.2">
      <c r="A721" t="s">
        <v>980</v>
      </c>
      <c r="B721" t="s">
        <v>356</v>
      </c>
      <c r="C721" s="1">
        <v>45964</v>
      </c>
      <c r="D721" t="s">
        <v>213</v>
      </c>
      <c r="E721" t="s">
        <v>43</v>
      </c>
      <c r="F721" t="s">
        <v>50</v>
      </c>
      <c r="G721" t="s">
        <v>16</v>
      </c>
      <c r="H721">
        <v>2</v>
      </c>
      <c r="I721">
        <v>37.799999999999997</v>
      </c>
      <c r="J721" t="s">
        <v>17</v>
      </c>
      <c r="K721" t="s">
        <v>18</v>
      </c>
      <c r="L721">
        <f>WEEKDAY(Table1[[#This Row],[Transaction_Date]],2)</f>
        <v>1</v>
      </c>
      <c r="M721">
        <f>IF(Table1[[#This Row],[Sale_Type]]="Buffet",1,0)</f>
        <v>0</v>
      </c>
    </row>
    <row r="722" spans="1:13" x14ac:dyDescent="0.2">
      <c r="A722" t="s">
        <v>981</v>
      </c>
      <c r="B722" t="s">
        <v>581</v>
      </c>
      <c r="C722" s="1">
        <v>45964</v>
      </c>
      <c r="D722" t="s">
        <v>213</v>
      </c>
      <c r="E722" t="s">
        <v>43</v>
      </c>
      <c r="F722" t="s">
        <v>53</v>
      </c>
      <c r="G722" t="s">
        <v>16</v>
      </c>
      <c r="H722">
        <v>1</v>
      </c>
      <c r="I722">
        <v>18.04</v>
      </c>
      <c r="J722" t="s">
        <v>17</v>
      </c>
      <c r="K722" t="s">
        <v>21</v>
      </c>
      <c r="L722">
        <f>WEEKDAY(Table1[[#This Row],[Transaction_Date]],2)</f>
        <v>1</v>
      </c>
      <c r="M722">
        <f>IF(Table1[[#This Row],[Sale_Type]]="Buffet",1,0)</f>
        <v>0</v>
      </c>
    </row>
    <row r="723" spans="1:13" x14ac:dyDescent="0.2">
      <c r="A723" t="s">
        <v>982</v>
      </c>
      <c r="B723" t="s">
        <v>12</v>
      </c>
      <c r="C723" s="1">
        <v>45965</v>
      </c>
      <c r="D723" t="s">
        <v>250</v>
      </c>
      <c r="E723" t="s">
        <v>14</v>
      </c>
      <c r="F723" t="s">
        <v>15</v>
      </c>
      <c r="G723" t="s">
        <v>16</v>
      </c>
      <c r="H723">
        <v>2</v>
      </c>
      <c r="I723">
        <v>88.23</v>
      </c>
      <c r="J723" t="s">
        <v>28</v>
      </c>
      <c r="K723" t="s">
        <v>18</v>
      </c>
      <c r="L723">
        <f>WEEKDAY(Table1[[#This Row],[Transaction_Date]],2)</f>
        <v>2</v>
      </c>
      <c r="M723">
        <f>IF(Table1[[#This Row],[Sale_Type]]="Buffet",1,0)</f>
        <v>0</v>
      </c>
    </row>
    <row r="724" spans="1:13" x14ac:dyDescent="0.2">
      <c r="A724" t="s">
        <v>983</v>
      </c>
      <c r="B724" t="s">
        <v>948</v>
      </c>
      <c r="C724" s="1">
        <v>45965</v>
      </c>
      <c r="D724" t="s">
        <v>250</v>
      </c>
      <c r="E724" t="s">
        <v>14</v>
      </c>
      <c r="F724" t="s">
        <v>15</v>
      </c>
      <c r="G724" t="s">
        <v>16</v>
      </c>
      <c r="H724">
        <v>4</v>
      </c>
      <c r="I724">
        <v>104.3</v>
      </c>
      <c r="J724" t="s">
        <v>17</v>
      </c>
      <c r="K724" t="s">
        <v>18</v>
      </c>
      <c r="L724">
        <f>WEEKDAY(Table1[[#This Row],[Transaction_Date]],2)</f>
        <v>2</v>
      </c>
      <c r="M724">
        <f>IF(Table1[[#This Row],[Sale_Type]]="Buffet",1,0)</f>
        <v>0</v>
      </c>
    </row>
    <row r="725" spans="1:13" x14ac:dyDescent="0.2">
      <c r="A725" t="s">
        <v>984</v>
      </c>
      <c r="B725" t="s">
        <v>945</v>
      </c>
      <c r="C725" s="1">
        <v>45965</v>
      </c>
      <c r="D725" t="s">
        <v>250</v>
      </c>
      <c r="E725" t="s">
        <v>14</v>
      </c>
      <c r="F725" t="s">
        <v>15</v>
      </c>
      <c r="G725" t="s">
        <v>16</v>
      </c>
      <c r="H725">
        <v>4</v>
      </c>
      <c r="I725">
        <v>88.35</v>
      </c>
      <c r="J725" t="s">
        <v>17</v>
      </c>
      <c r="K725" t="s">
        <v>21</v>
      </c>
      <c r="L725">
        <f>WEEKDAY(Table1[[#This Row],[Transaction_Date]],2)</f>
        <v>2</v>
      </c>
      <c r="M725">
        <f>IF(Table1[[#This Row],[Sale_Type]]="Buffet",1,0)</f>
        <v>0</v>
      </c>
    </row>
    <row r="726" spans="1:13" x14ac:dyDescent="0.2">
      <c r="A726" t="s">
        <v>985</v>
      </c>
      <c r="B726" t="s">
        <v>423</v>
      </c>
      <c r="C726" s="1">
        <v>45965</v>
      </c>
      <c r="D726" t="s">
        <v>250</v>
      </c>
      <c r="E726" t="s">
        <v>14</v>
      </c>
      <c r="F726" t="s">
        <v>24</v>
      </c>
      <c r="G726" t="s">
        <v>16</v>
      </c>
      <c r="H726">
        <v>3</v>
      </c>
      <c r="I726">
        <v>91.44</v>
      </c>
      <c r="J726" t="s">
        <v>17</v>
      </c>
      <c r="K726" t="s">
        <v>18</v>
      </c>
      <c r="L726">
        <f>WEEKDAY(Table1[[#This Row],[Transaction_Date]],2)</f>
        <v>2</v>
      </c>
      <c r="M726">
        <f>IF(Table1[[#This Row],[Sale_Type]]="Buffet",1,0)</f>
        <v>0</v>
      </c>
    </row>
    <row r="727" spans="1:13" x14ac:dyDescent="0.2">
      <c r="A727" t="s">
        <v>986</v>
      </c>
      <c r="B727" t="s">
        <v>129</v>
      </c>
      <c r="C727" s="1">
        <v>45965</v>
      </c>
      <c r="D727" t="s">
        <v>250</v>
      </c>
      <c r="E727" t="s">
        <v>14</v>
      </c>
      <c r="F727" t="s">
        <v>24</v>
      </c>
      <c r="G727" t="s">
        <v>16</v>
      </c>
      <c r="H727">
        <v>5</v>
      </c>
      <c r="I727">
        <v>95.88</v>
      </c>
      <c r="J727" t="s">
        <v>28</v>
      </c>
      <c r="K727" t="s">
        <v>18</v>
      </c>
      <c r="L727">
        <f>WEEKDAY(Table1[[#This Row],[Transaction_Date]],2)</f>
        <v>2</v>
      </c>
      <c r="M727">
        <f>IF(Table1[[#This Row],[Sale_Type]]="Buffet",1,0)</f>
        <v>0</v>
      </c>
    </row>
    <row r="728" spans="1:13" x14ac:dyDescent="0.2">
      <c r="A728" t="s">
        <v>987</v>
      </c>
      <c r="B728" t="s">
        <v>68</v>
      </c>
      <c r="C728" s="1">
        <v>45965</v>
      </c>
      <c r="D728" t="s">
        <v>250</v>
      </c>
      <c r="E728" t="s">
        <v>14</v>
      </c>
      <c r="F728" t="s">
        <v>24</v>
      </c>
      <c r="G728" t="s">
        <v>16</v>
      </c>
      <c r="H728">
        <v>4</v>
      </c>
      <c r="I728">
        <v>148.56</v>
      </c>
      <c r="J728" t="s">
        <v>17</v>
      </c>
      <c r="K728" t="s">
        <v>18</v>
      </c>
      <c r="L728">
        <f>WEEKDAY(Table1[[#This Row],[Transaction_Date]],2)</f>
        <v>2</v>
      </c>
      <c r="M728">
        <f>IF(Table1[[#This Row],[Sale_Type]]="Buffet",1,0)</f>
        <v>0</v>
      </c>
    </row>
    <row r="729" spans="1:13" x14ac:dyDescent="0.2">
      <c r="A729" t="s">
        <v>988</v>
      </c>
      <c r="B729" t="s">
        <v>989</v>
      </c>
      <c r="C729" s="1">
        <v>45965</v>
      </c>
      <c r="D729" t="s">
        <v>250</v>
      </c>
      <c r="E729" t="s">
        <v>14</v>
      </c>
      <c r="F729" t="s">
        <v>27</v>
      </c>
      <c r="G729" t="s">
        <v>16</v>
      </c>
      <c r="H729">
        <v>3</v>
      </c>
      <c r="I729">
        <v>92.69</v>
      </c>
      <c r="J729" t="s">
        <v>17</v>
      </c>
      <c r="K729" t="s">
        <v>18</v>
      </c>
      <c r="L729">
        <f>WEEKDAY(Table1[[#This Row],[Transaction_Date]],2)</f>
        <v>2</v>
      </c>
      <c r="M729">
        <f>IF(Table1[[#This Row],[Sale_Type]]="Buffet",1,0)</f>
        <v>0</v>
      </c>
    </row>
    <row r="730" spans="1:13" x14ac:dyDescent="0.2">
      <c r="A730" t="s">
        <v>990</v>
      </c>
      <c r="B730" t="s">
        <v>797</v>
      </c>
      <c r="C730" s="1">
        <v>45965</v>
      </c>
      <c r="D730" t="s">
        <v>250</v>
      </c>
      <c r="E730" t="s">
        <v>14</v>
      </c>
      <c r="F730" t="s">
        <v>27</v>
      </c>
      <c r="G730" t="s">
        <v>16</v>
      </c>
      <c r="H730">
        <v>4</v>
      </c>
      <c r="I730">
        <v>123.67</v>
      </c>
      <c r="J730" t="s">
        <v>17</v>
      </c>
      <c r="K730" t="s">
        <v>18</v>
      </c>
      <c r="L730">
        <f>WEEKDAY(Table1[[#This Row],[Transaction_Date]],2)</f>
        <v>2</v>
      </c>
      <c r="M730">
        <f>IF(Table1[[#This Row],[Sale_Type]]="Buffet",1,0)</f>
        <v>0</v>
      </c>
    </row>
    <row r="731" spans="1:13" x14ac:dyDescent="0.2">
      <c r="A731" t="s">
        <v>991</v>
      </c>
      <c r="B731" t="s">
        <v>122</v>
      </c>
      <c r="C731" s="1">
        <v>45965</v>
      </c>
      <c r="D731" t="s">
        <v>250</v>
      </c>
      <c r="E731" t="s">
        <v>14</v>
      </c>
      <c r="F731" t="s">
        <v>27</v>
      </c>
      <c r="G731" t="s">
        <v>16</v>
      </c>
      <c r="H731">
        <v>3</v>
      </c>
      <c r="I731">
        <v>97.76</v>
      </c>
      <c r="J731" t="s">
        <v>17</v>
      </c>
      <c r="K731" t="s">
        <v>18</v>
      </c>
      <c r="L731">
        <f>WEEKDAY(Table1[[#This Row],[Transaction_Date]],2)</f>
        <v>2</v>
      </c>
      <c r="M731">
        <f>IF(Table1[[#This Row],[Sale_Type]]="Buffet",1,0)</f>
        <v>0</v>
      </c>
    </row>
    <row r="732" spans="1:13" x14ac:dyDescent="0.2">
      <c r="A732" t="s">
        <v>992</v>
      </c>
      <c r="B732" t="s">
        <v>495</v>
      </c>
      <c r="C732" s="1">
        <v>45965</v>
      </c>
      <c r="D732" t="s">
        <v>250</v>
      </c>
      <c r="E732" t="s">
        <v>14</v>
      </c>
      <c r="F732" t="s">
        <v>27</v>
      </c>
      <c r="G732" t="s">
        <v>16</v>
      </c>
      <c r="H732">
        <v>5</v>
      </c>
      <c r="I732">
        <v>212.37</v>
      </c>
      <c r="J732" t="s">
        <v>34</v>
      </c>
      <c r="K732" t="s">
        <v>18</v>
      </c>
      <c r="L732">
        <f>WEEKDAY(Table1[[#This Row],[Transaction_Date]],2)</f>
        <v>2</v>
      </c>
      <c r="M732">
        <f>IF(Table1[[#This Row],[Sale_Type]]="Buffet",1,0)</f>
        <v>0</v>
      </c>
    </row>
    <row r="733" spans="1:13" x14ac:dyDescent="0.2">
      <c r="A733" t="s">
        <v>993</v>
      </c>
      <c r="B733" t="s">
        <v>226</v>
      </c>
      <c r="C733" s="1">
        <v>45965</v>
      </c>
      <c r="D733" t="s">
        <v>250</v>
      </c>
      <c r="E733" t="s">
        <v>14</v>
      </c>
      <c r="F733" t="s">
        <v>27</v>
      </c>
      <c r="G733" t="s">
        <v>16</v>
      </c>
      <c r="H733">
        <v>2</v>
      </c>
      <c r="I733">
        <v>35.03</v>
      </c>
      <c r="J733" t="s">
        <v>34</v>
      </c>
      <c r="K733" t="s">
        <v>18</v>
      </c>
      <c r="L733">
        <f>WEEKDAY(Table1[[#This Row],[Transaction_Date]],2)</f>
        <v>2</v>
      </c>
      <c r="M733">
        <f>IF(Table1[[#This Row],[Sale_Type]]="Buffet",1,0)</f>
        <v>0</v>
      </c>
    </row>
    <row r="734" spans="1:13" x14ac:dyDescent="0.2">
      <c r="A734" t="s">
        <v>994</v>
      </c>
      <c r="B734" t="s">
        <v>260</v>
      </c>
      <c r="C734" s="1">
        <v>45965</v>
      </c>
      <c r="D734" t="s">
        <v>250</v>
      </c>
      <c r="E734" t="s">
        <v>14</v>
      </c>
      <c r="F734" t="s">
        <v>27</v>
      </c>
      <c r="G734" t="s">
        <v>16</v>
      </c>
      <c r="H734">
        <v>3</v>
      </c>
      <c r="I734">
        <v>111.9</v>
      </c>
      <c r="J734" t="s">
        <v>28</v>
      </c>
      <c r="K734" t="s">
        <v>18</v>
      </c>
      <c r="L734">
        <f>WEEKDAY(Table1[[#This Row],[Transaction_Date]],2)</f>
        <v>2</v>
      </c>
      <c r="M734">
        <f>IF(Table1[[#This Row],[Sale_Type]]="Buffet",1,0)</f>
        <v>0</v>
      </c>
    </row>
    <row r="735" spans="1:13" x14ac:dyDescent="0.2">
      <c r="A735" t="s">
        <v>995</v>
      </c>
      <c r="B735" t="s">
        <v>996</v>
      </c>
      <c r="C735" s="1">
        <v>45965</v>
      </c>
      <c r="D735" t="s">
        <v>250</v>
      </c>
      <c r="E735" t="s">
        <v>14</v>
      </c>
      <c r="F735" t="s">
        <v>27</v>
      </c>
      <c r="G735" t="s">
        <v>16</v>
      </c>
      <c r="H735">
        <v>4</v>
      </c>
      <c r="I735">
        <v>63.54</v>
      </c>
      <c r="J735" t="s">
        <v>34</v>
      </c>
      <c r="K735" t="s">
        <v>18</v>
      </c>
      <c r="L735">
        <f>WEEKDAY(Table1[[#This Row],[Transaction_Date]],2)</f>
        <v>2</v>
      </c>
      <c r="M735">
        <f>IF(Table1[[#This Row],[Sale_Type]]="Buffet",1,0)</f>
        <v>0</v>
      </c>
    </row>
    <row r="736" spans="1:13" x14ac:dyDescent="0.2">
      <c r="A736" t="s">
        <v>997</v>
      </c>
      <c r="B736" t="s">
        <v>998</v>
      </c>
      <c r="C736" s="1">
        <v>45965</v>
      </c>
      <c r="D736" t="s">
        <v>250</v>
      </c>
      <c r="E736" t="s">
        <v>14</v>
      </c>
      <c r="F736" t="s">
        <v>31</v>
      </c>
      <c r="G736" t="s">
        <v>16</v>
      </c>
      <c r="H736">
        <v>2</v>
      </c>
      <c r="I736">
        <v>53.41</v>
      </c>
      <c r="J736" t="s">
        <v>17</v>
      </c>
      <c r="K736" t="s">
        <v>21</v>
      </c>
      <c r="L736">
        <f>WEEKDAY(Table1[[#This Row],[Transaction_Date]],2)</f>
        <v>2</v>
      </c>
      <c r="M736">
        <f>IF(Table1[[#This Row],[Sale_Type]]="Buffet",1,0)</f>
        <v>0</v>
      </c>
    </row>
    <row r="737" spans="1:13" x14ac:dyDescent="0.2">
      <c r="A737" t="s">
        <v>999</v>
      </c>
      <c r="B737" t="s">
        <v>274</v>
      </c>
      <c r="C737" s="1">
        <v>45965</v>
      </c>
      <c r="D737" t="s">
        <v>250</v>
      </c>
      <c r="E737" t="s">
        <v>14</v>
      </c>
      <c r="F737" t="s">
        <v>31</v>
      </c>
      <c r="G737" t="s">
        <v>16</v>
      </c>
      <c r="H737">
        <v>6</v>
      </c>
      <c r="I737">
        <v>201.69</v>
      </c>
      <c r="J737" t="s">
        <v>17</v>
      </c>
      <c r="K737" t="s">
        <v>18</v>
      </c>
      <c r="L737">
        <f>WEEKDAY(Table1[[#This Row],[Transaction_Date]],2)</f>
        <v>2</v>
      </c>
      <c r="M737">
        <f>IF(Table1[[#This Row],[Sale_Type]]="Buffet",1,0)</f>
        <v>0</v>
      </c>
    </row>
    <row r="738" spans="1:13" x14ac:dyDescent="0.2">
      <c r="A738" t="s">
        <v>1000</v>
      </c>
      <c r="B738" t="s">
        <v>699</v>
      </c>
      <c r="C738" s="1">
        <v>45965</v>
      </c>
      <c r="D738" t="s">
        <v>250</v>
      </c>
      <c r="E738" t="s">
        <v>14</v>
      </c>
      <c r="F738" t="s">
        <v>31</v>
      </c>
      <c r="G738" t="s">
        <v>16</v>
      </c>
      <c r="H738">
        <v>1</v>
      </c>
      <c r="I738">
        <v>39.130000000000003</v>
      </c>
      <c r="J738" t="s">
        <v>28</v>
      </c>
      <c r="K738" t="s">
        <v>18</v>
      </c>
      <c r="L738">
        <f>WEEKDAY(Table1[[#This Row],[Transaction_Date]],2)</f>
        <v>2</v>
      </c>
      <c r="M738">
        <f>IF(Table1[[#This Row],[Sale_Type]]="Buffet",1,0)</f>
        <v>0</v>
      </c>
    </row>
    <row r="739" spans="1:13" x14ac:dyDescent="0.2">
      <c r="A739" t="s">
        <v>1001</v>
      </c>
      <c r="B739" t="s">
        <v>148</v>
      </c>
      <c r="C739" s="1">
        <v>45965</v>
      </c>
      <c r="D739" t="s">
        <v>250</v>
      </c>
      <c r="E739" t="s">
        <v>14</v>
      </c>
      <c r="F739" t="s">
        <v>40</v>
      </c>
      <c r="G739" t="s">
        <v>16</v>
      </c>
      <c r="H739">
        <v>6</v>
      </c>
      <c r="I739">
        <v>153.84</v>
      </c>
      <c r="J739" t="s">
        <v>34</v>
      </c>
      <c r="K739" t="s">
        <v>18</v>
      </c>
      <c r="L739">
        <f>WEEKDAY(Table1[[#This Row],[Transaction_Date]],2)</f>
        <v>2</v>
      </c>
      <c r="M739">
        <f>IF(Table1[[#This Row],[Sale_Type]]="Buffet",1,0)</f>
        <v>0</v>
      </c>
    </row>
    <row r="740" spans="1:13" x14ac:dyDescent="0.2">
      <c r="A740" t="s">
        <v>1002</v>
      </c>
      <c r="B740" t="s">
        <v>318</v>
      </c>
      <c r="C740" s="1">
        <v>45965</v>
      </c>
      <c r="D740" t="s">
        <v>250</v>
      </c>
      <c r="E740" t="s">
        <v>43</v>
      </c>
      <c r="F740" t="s">
        <v>44</v>
      </c>
      <c r="G740" t="s">
        <v>16</v>
      </c>
      <c r="H740">
        <v>2</v>
      </c>
      <c r="I740">
        <v>37.32</v>
      </c>
      <c r="J740" t="s">
        <v>17</v>
      </c>
      <c r="K740" t="s">
        <v>18</v>
      </c>
      <c r="L740">
        <f>WEEKDAY(Table1[[#This Row],[Transaction_Date]],2)</f>
        <v>2</v>
      </c>
      <c r="M740">
        <f>IF(Table1[[#This Row],[Sale_Type]]="Buffet",1,0)</f>
        <v>0</v>
      </c>
    </row>
    <row r="741" spans="1:13" x14ac:dyDescent="0.2">
      <c r="A741" t="s">
        <v>1003</v>
      </c>
      <c r="B741" t="s">
        <v>797</v>
      </c>
      <c r="C741" s="1">
        <v>45965</v>
      </c>
      <c r="D741" t="s">
        <v>250</v>
      </c>
      <c r="E741" t="s">
        <v>43</v>
      </c>
      <c r="F741" t="s">
        <v>53</v>
      </c>
      <c r="G741" t="s">
        <v>16</v>
      </c>
      <c r="H741">
        <v>3</v>
      </c>
      <c r="I741">
        <v>52.93</v>
      </c>
      <c r="J741" t="s">
        <v>28</v>
      </c>
      <c r="K741" t="s">
        <v>18</v>
      </c>
      <c r="L741">
        <f>WEEKDAY(Table1[[#This Row],[Transaction_Date]],2)</f>
        <v>2</v>
      </c>
      <c r="M741">
        <f>IF(Table1[[#This Row],[Sale_Type]]="Buffet",1,0)</f>
        <v>0</v>
      </c>
    </row>
    <row r="742" spans="1:13" x14ac:dyDescent="0.2">
      <c r="A742" t="s">
        <v>1004</v>
      </c>
      <c r="B742" t="s">
        <v>83</v>
      </c>
      <c r="C742" s="1">
        <v>45965</v>
      </c>
      <c r="D742" t="s">
        <v>250</v>
      </c>
      <c r="E742" t="s">
        <v>43</v>
      </c>
      <c r="F742" t="s">
        <v>53</v>
      </c>
      <c r="G742" t="s">
        <v>16</v>
      </c>
      <c r="H742">
        <v>4</v>
      </c>
      <c r="I742">
        <v>61.08</v>
      </c>
      <c r="J742" t="s">
        <v>17</v>
      </c>
      <c r="K742" t="s">
        <v>21</v>
      </c>
      <c r="L742">
        <f>WEEKDAY(Table1[[#This Row],[Transaction_Date]],2)</f>
        <v>2</v>
      </c>
      <c r="M742">
        <f>IF(Table1[[#This Row],[Sale_Type]]="Buffet",1,0)</f>
        <v>0</v>
      </c>
    </row>
    <row r="743" spans="1:13" x14ac:dyDescent="0.2">
      <c r="A743" t="s">
        <v>1005</v>
      </c>
      <c r="B743" t="s">
        <v>167</v>
      </c>
      <c r="C743" s="1">
        <v>45966</v>
      </c>
      <c r="D743" t="s">
        <v>13</v>
      </c>
      <c r="E743" t="s">
        <v>14</v>
      </c>
      <c r="F743" t="s">
        <v>15</v>
      </c>
      <c r="G743" t="s">
        <v>16</v>
      </c>
      <c r="H743">
        <v>3</v>
      </c>
      <c r="I743">
        <v>83.73</v>
      </c>
      <c r="J743" t="s">
        <v>34</v>
      </c>
      <c r="K743" t="s">
        <v>18</v>
      </c>
      <c r="L743">
        <f>WEEKDAY(Table1[[#This Row],[Transaction_Date]],2)</f>
        <v>3</v>
      </c>
      <c r="M743">
        <f>IF(Table1[[#This Row],[Sale_Type]]="Buffet",1,0)</f>
        <v>0</v>
      </c>
    </row>
    <row r="744" spans="1:13" x14ac:dyDescent="0.2">
      <c r="A744" t="s">
        <v>1006</v>
      </c>
      <c r="B744" t="s">
        <v>133</v>
      </c>
      <c r="C744" s="1">
        <v>45966</v>
      </c>
      <c r="D744" t="s">
        <v>13</v>
      </c>
      <c r="E744" t="s">
        <v>14</v>
      </c>
      <c r="F744" t="s">
        <v>15</v>
      </c>
      <c r="G744" t="s">
        <v>16</v>
      </c>
      <c r="H744">
        <v>3</v>
      </c>
      <c r="I744">
        <v>106.4</v>
      </c>
      <c r="J744" t="s">
        <v>34</v>
      </c>
      <c r="K744" t="s">
        <v>21</v>
      </c>
      <c r="L744">
        <f>WEEKDAY(Table1[[#This Row],[Transaction_Date]],2)</f>
        <v>3</v>
      </c>
      <c r="M744">
        <f>IF(Table1[[#This Row],[Sale_Type]]="Buffet",1,0)</f>
        <v>0</v>
      </c>
    </row>
    <row r="745" spans="1:13" x14ac:dyDescent="0.2">
      <c r="A745" t="s">
        <v>1007</v>
      </c>
      <c r="B745" t="s">
        <v>254</v>
      </c>
      <c r="C745" s="1">
        <v>45966</v>
      </c>
      <c r="D745" t="s">
        <v>13</v>
      </c>
      <c r="E745" t="s">
        <v>14</v>
      </c>
      <c r="F745" t="s">
        <v>15</v>
      </c>
      <c r="G745" t="s">
        <v>16</v>
      </c>
      <c r="H745">
        <v>1</v>
      </c>
      <c r="I745">
        <v>24.73</v>
      </c>
      <c r="J745" t="s">
        <v>17</v>
      </c>
      <c r="K745" t="s">
        <v>18</v>
      </c>
      <c r="L745">
        <f>WEEKDAY(Table1[[#This Row],[Transaction_Date]],2)</f>
        <v>3</v>
      </c>
      <c r="M745">
        <f>IF(Table1[[#This Row],[Sale_Type]]="Buffet",1,0)</f>
        <v>0</v>
      </c>
    </row>
    <row r="746" spans="1:13" x14ac:dyDescent="0.2">
      <c r="A746" t="s">
        <v>1008</v>
      </c>
      <c r="B746" t="s">
        <v>423</v>
      </c>
      <c r="C746" s="1">
        <v>45966</v>
      </c>
      <c r="D746" t="s">
        <v>13</v>
      </c>
      <c r="E746" t="s">
        <v>14</v>
      </c>
      <c r="F746" t="s">
        <v>24</v>
      </c>
      <c r="G746" t="s">
        <v>16</v>
      </c>
      <c r="H746">
        <v>3</v>
      </c>
      <c r="I746">
        <v>125.19</v>
      </c>
      <c r="J746" t="s">
        <v>34</v>
      </c>
      <c r="K746" t="s">
        <v>18</v>
      </c>
      <c r="L746">
        <f>WEEKDAY(Table1[[#This Row],[Transaction_Date]],2)</f>
        <v>3</v>
      </c>
      <c r="M746">
        <f>IF(Table1[[#This Row],[Sale_Type]]="Buffet",1,0)</f>
        <v>0</v>
      </c>
    </row>
    <row r="747" spans="1:13" x14ac:dyDescent="0.2">
      <c r="A747" t="s">
        <v>1009</v>
      </c>
      <c r="B747" t="s">
        <v>59</v>
      </c>
      <c r="C747" s="1">
        <v>45966</v>
      </c>
      <c r="D747" t="s">
        <v>13</v>
      </c>
      <c r="E747" t="s">
        <v>14</v>
      </c>
      <c r="F747" t="s">
        <v>24</v>
      </c>
      <c r="G747" t="s">
        <v>16</v>
      </c>
      <c r="H747">
        <v>2</v>
      </c>
      <c r="I747">
        <v>48.41</v>
      </c>
      <c r="J747" t="s">
        <v>17</v>
      </c>
      <c r="K747" t="s">
        <v>18</v>
      </c>
      <c r="L747">
        <f>WEEKDAY(Table1[[#This Row],[Transaction_Date]],2)</f>
        <v>3</v>
      </c>
      <c r="M747">
        <f>IF(Table1[[#This Row],[Sale_Type]]="Buffet",1,0)</f>
        <v>0</v>
      </c>
    </row>
    <row r="748" spans="1:13" x14ac:dyDescent="0.2">
      <c r="A748" t="s">
        <v>1010</v>
      </c>
      <c r="B748" t="s">
        <v>493</v>
      </c>
      <c r="C748" s="1">
        <v>45966</v>
      </c>
      <c r="D748" t="s">
        <v>13</v>
      </c>
      <c r="E748" t="s">
        <v>14</v>
      </c>
      <c r="F748" t="s">
        <v>27</v>
      </c>
      <c r="G748" t="s">
        <v>16</v>
      </c>
      <c r="H748">
        <v>3</v>
      </c>
      <c r="I748">
        <v>90.98</v>
      </c>
      <c r="J748" t="s">
        <v>34</v>
      </c>
      <c r="K748" t="s">
        <v>18</v>
      </c>
      <c r="L748">
        <f>WEEKDAY(Table1[[#This Row],[Transaction_Date]],2)</f>
        <v>3</v>
      </c>
      <c r="M748">
        <f>IF(Table1[[#This Row],[Sale_Type]]="Buffet",1,0)</f>
        <v>0</v>
      </c>
    </row>
    <row r="749" spans="1:13" x14ac:dyDescent="0.2">
      <c r="A749" t="s">
        <v>1011</v>
      </c>
      <c r="B749" t="s">
        <v>733</v>
      </c>
      <c r="C749" s="1">
        <v>45966</v>
      </c>
      <c r="D749" t="s">
        <v>13</v>
      </c>
      <c r="E749" t="s">
        <v>14</v>
      </c>
      <c r="F749" t="s">
        <v>27</v>
      </c>
      <c r="G749" t="s">
        <v>16</v>
      </c>
      <c r="H749">
        <v>4</v>
      </c>
      <c r="I749">
        <v>63.47</v>
      </c>
      <c r="J749" t="s">
        <v>28</v>
      </c>
      <c r="K749" t="s">
        <v>21</v>
      </c>
      <c r="L749">
        <f>WEEKDAY(Table1[[#This Row],[Transaction_Date]],2)</f>
        <v>3</v>
      </c>
      <c r="M749">
        <f>IF(Table1[[#This Row],[Sale_Type]]="Buffet",1,0)</f>
        <v>0</v>
      </c>
    </row>
    <row r="750" spans="1:13" x14ac:dyDescent="0.2">
      <c r="A750" t="s">
        <v>1012</v>
      </c>
      <c r="B750" t="s">
        <v>313</v>
      </c>
      <c r="C750" s="1">
        <v>45966</v>
      </c>
      <c r="D750" t="s">
        <v>13</v>
      </c>
      <c r="E750" t="s">
        <v>14</v>
      </c>
      <c r="F750" t="s">
        <v>31</v>
      </c>
      <c r="G750" t="s">
        <v>16</v>
      </c>
      <c r="H750">
        <v>2</v>
      </c>
      <c r="I750">
        <v>33.79</v>
      </c>
      <c r="J750" t="s">
        <v>17</v>
      </c>
      <c r="K750" t="s">
        <v>21</v>
      </c>
      <c r="L750">
        <f>WEEKDAY(Table1[[#This Row],[Transaction_Date]],2)</f>
        <v>3</v>
      </c>
      <c r="M750">
        <f>IF(Table1[[#This Row],[Sale_Type]]="Buffet",1,0)</f>
        <v>0</v>
      </c>
    </row>
    <row r="751" spans="1:13" x14ac:dyDescent="0.2">
      <c r="A751" t="s">
        <v>1013</v>
      </c>
      <c r="B751" t="s">
        <v>23</v>
      </c>
      <c r="C751" s="1">
        <v>45966</v>
      </c>
      <c r="D751" t="s">
        <v>13</v>
      </c>
      <c r="E751" t="s">
        <v>14</v>
      </c>
      <c r="F751" t="s">
        <v>31</v>
      </c>
      <c r="G751" t="s">
        <v>16</v>
      </c>
      <c r="H751">
        <v>5</v>
      </c>
      <c r="I751">
        <v>243.34</v>
      </c>
      <c r="J751" t="s">
        <v>28</v>
      </c>
      <c r="K751" t="s">
        <v>21</v>
      </c>
      <c r="L751">
        <f>WEEKDAY(Table1[[#This Row],[Transaction_Date]],2)</f>
        <v>3</v>
      </c>
      <c r="M751">
        <f>IF(Table1[[#This Row],[Sale_Type]]="Buffet",1,0)</f>
        <v>0</v>
      </c>
    </row>
    <row r="752" spans="1:13" x14ac:dyDescent="0.2">
      <c r="A752" t="s">
        <v>1014</v>
      </c>
      <c r="B752" t="s">
        <v>637</v>
      </c>
      <c r="C752" s="1">
        <v>45966</v>
      </c>
      <c r="D752" t="s">
        <v>13</v>
      </c>
      <c r="E752" t="s">
        <v>14</v>
      </c>
      <c r="F752" t="s">
        <v>31</v>
      </c>
      <c r="G752" t="s">
        <v>16</v>
      </c>
      <c r="H752">
        <v>2</v>
      </c>
      <c r="I752">
        <v>46.91</v>
      </c>
      <c r="J752" t="s">
        <v>34</v>
      </c>
      <c r="K752" t="s">
        <v>18</v>
      </c>
      <c r="L752">
        <f>WEEKDAY(Table1[[#This Row],[Transaction_Date]],2)</f>
        <v>3</v>
      </c>
      <c r="M752">
        <f>IF(Table1[[#This Row],[Sale_Type]]="Buffet",1,0)</f>
        <v>0</v>
      </c>
    </row>
    <row r="753" spans="1:13" x14ac:dyDescent="0.2">
      <c r="A753" t="s">
        <v>1015</v>
      </c>
      <c r="B753" t="s">
        <v>740</v>
      </c>
      <c r="C753" s="1">
        <v>45966</v>
      </c>
      <c r="D753" t="s">
        <v>13</v>
      </c>
      <c r="E753" t="s">
        <v>14</v>
      </c>
      <c r="F753" t="s">
        <v>40</v>
      </c>
      <c r="G753" t="s">
        <v>16</v>
      </c>
      <c r="H753">
        <v>5</v>
      </c>
      <c r="I753">
        <v>63.1</v>
      </c>
      <c r="J753" t="s">
        <v>28</v>
      </c>
      <c r="K753" t="s">
        <v>18</v>
      </c>
      <c r="L753">
        <f>WEEKDAY(Table1[[#This Row],[Transaction_Date]],2)</f>
        <v>3</v>
      </c>
      <c r="M753">
        <f>IF(Table1[[#This Row],[Sale_Type]]="Buffet",1,0)</f>
        <v>0</v>
      </c>
    </row>
    <row r="754" spans="1:13" x14ac:dyDescent="0.2">
      <c r="A754" t="s">
        <v>1016</v>
      </c>
      <c r="B754" t="s">
        <v>1017</v>
      </c>
      <c r="C754" s="1">
        <v>45966</v>
      </c>
      <c r="D754" t="s">
        <v>13</v>
      </c>
      <c r="E754" t="s">
        <v>14</v>
      </c>
      <c r="F754" t="s">
        <v>40</v>
      </c>
      <c r="G754" t="s">
        <v>16</v>
      </c>
      <c r="H754">
        <v>4</v>
      </c>
      <c r="I754">
        <v>151.99</v>
      </c>
      <c r="J754" t="s">
        <v>17</v>
      </c>
      <c r="K754" t="s">
        <v>21</v>
      </c>
      <c r="L754">
        <f>WEEKDAY(Table1[[#This Row],[Transaction_Date]],2)</f>
        <v>3</v>
      </c>
      <c r="M754">
        <f>IF(Table1[[#This Row],[Sale_Type]]="Buffet",1,0)</f>
        <v>0</v>
      </c>
    </row>
    <row r="755" spans="1:13" x14ac:dyDescent="0.2">
      <c r="A755" t="s">
        <v>1018</v>
      </c>
      <c r="B755" t="s">
        <v>61</v>
      </c>
      <c r="C755" s="1">
        <v>45966</v>
      </c>
      <c r="D755" t="s">
        <v>13</v>
      </c>
      <c r="E755" t="s">
        <v>14</v>
      </c>
      <c r="F755" t="s">
        <v>40</v>
      </c>
      <c r="G755" t="s">
        <v>16</v>
      </c>
      <c r="H755">
        <v>3</v>
      </c>
      <c r="I755">
        <v>102.42</v>
      </c>
      <c r="J755" t="s">
        <v>34</v>
      </c>
      <c r="K755" t="s">
        <v>18</v>
      </c>
      <c r="L755">
        <f>WEEKDAY(Table1[[#This Row],[Transaction_Date]],2)</f>
        <v>3</v>
      </c>
      <c r="M755">
        <f>IF(Table1[[#This Row],[Sale_Type]]="Buffet",1,0)</f>
        <v>0</v>
      </c>
    </row>
    <row r="756" spans="1:13" x14ac:dyDescent="0.2">
      <c r="A756" t="s">
        <v>1019</v>
      </c>
      <c r="B756" t="s">
        <v>740</v>
      </c>
      <c r="C756" s="1">
        <v>45966</v>
      </c>
      <c r="D756" t="s">
        <v>13</v>
      </c>
      <c r="E756" t="s">
        <v>43</v>
      </c>
      <c r="F756" t="s">
        <v>44</v>
      </c>
      <c r="G756" t="s">
        <v>45</v>
      </c>
      <c r="H756">
        <v>4</v>
      </c>
      <c r="I756">
        <v>93.5</v>
      </c>
      <c r="J756" t="s">
        <v>17</v>
      </c>
      <c r="K756" t="s">
        <v>21</v>
      </c>
      <c r="L756">
        <f>WEEKDAY(Table1[[#This Row],[Transaction_Date]],2)</f>
        <v>3</v>
      </c>
      <c r="M756">
        <f>IF(Table1[[#This Row],[Sale_Type]]="Buffet",1,0)</f>
        <v>1</v>
      </c>
    </row>
    <row r="757" spans="1:13" x14ac:dyDescent="0.2">
      <c r="A757" t="s">
        <v>1020</v>
      </c>
      <c r="B757" t="s">
        <v>652</v>
      </c>
      <c r="C757" s="1">
        <v>45966</v>
      </c>
      <c r="D757" t="s">
        <v>13</v>
      </c>
      <c r="E757" t="s">
        <v>43</v>
      </c>
      <c r="F757" t="s">
        <v>44</v>
      </c>
      <c r="G757" t="s">
        <v>45</v>
      </c>
      <c r="H757">
        <v>2</v>
      </c>
      <c r="I757">
        <v>44.5</v>
      </c>
      <c r="J757" t="s">
        <v>17</v>
      </c>
      <c r="K757" t="s">
        <v>18</v>
      </c>
      <c r="L757">
        <f>WEEKDAY(Table1[[#This Row],[Transaction_Date]],2)</f>
        <v>3</v>
      </c>
      <c r="M757">
        <f>IF(Table1[[#This Row],[Sale_Type]]="Buffet",1,0)</f>
        <v>1</v>
      </c>
    </row>
    <row r="758" spans="1:13" x14ac:dyDescent="0.2">
      <c r="A758" t="s">
        <v>1021</v>
      </c>
      <c r="B758" t="s">
        <v>858</v>
      </c>
      <c r="C758" s="1">
        <v>45966</v>
      </c>
      <c r="D758" t="s">
        <v>13</v>
      </c>
      <c r="E758" t="s">
        <v>43</v>
      </c>
      <c r="F758" t="s">
        <v>44</v>
      </c>
      <c r="G758" t="s">
        <v>45</v>
      </c>
      <c r="H758">
        <v>3</v>
      </c>
      <c r="I758">
        <v>69</v>
      </c>
      <c r="J758" t="s">
        <v>17</v>
      </c>
      <c r="K758" t="s">
        <v>18</v>
      </c>
      <c r="L758">
        <f>WEEKDAY(Table1[[#This Row],[Transaction_Date]],2)</f>
        <v>3</v>
      </c>
      <c r="M758">
        <f>IF(Table1[[#This Row],[Sale_Type]]="Buffet",1,0)</f>
        <v>1</v>
      </c>
    </row>
    <row r="759" spans="1:13" x14ac:dyDescent="0.2">
      <c r="A759" t="s">
        <v>1022</v>
      </c>
      <c r="B759" t="s">
        <v>501</v>
      </c>
      <c r="C759" s="1">
        <v>45966</v>
      </c>
      <c r="D759" t="s">
        <v>13</v>
      </c>
      <c r="E759" t="s">
        <v>43</v>
      </c>
      <c r="F759" t="s">
        <v>50</v>
      </c>
      <c r="G759" t="s">
        <v>16</v>
      </c>
      <c r="H759">
        <v>2</v>
      </c>
      <c r="I759">
        <v>35.06</v>
      </c>
      <c r="J759" t="s">
        <v>17</v>
      </c>
      <c r="K759" t="s">
        <v>18</v>
      </c>
      <c r="L759">
        <f>WEEKDAY(Table1[[#This Row],[Transaction_Date]],2)</f>
        <v>3</v>
      </c>
      <c r="M759">
        <f>IF(Table1[[#This Row],[Sale_Type]]="Buffet",1,0)</f>
        <v>0</v>
      </c>
    </row>
    <row r="760" spans="1:13" x14ac:dyDescent="0.2">
      <c r="A760" t="s">
        <v>1023</v>
      </c>
      <c r="B760" t="s">
        <v>126</v>
      </c>
      <c r="C760" s="1">
        <v>45966</v>
      </c>
      <c r="D760" t="s">
        <v>13</v>
      </c>
      <c r="E760" t="s">
        <v>43</v>
      </c>
      <c r="F760" t="s">
        <v>50</v>
      </c>
      <c r="G760" t="s">
        <v>45</v>
      </c>
      <c r="H760">
        <v>2</v>
      </c>
      <c r="I760">
        <v>44.5</v>
      </c>
      <c r="J760" t="s">
        <v>34</v>
      </c>
      <c r="K760" t="s">
        <v>21</v>
      </c>
      <c r="L760">
        <f>WEEKDAY(Table1[[#This Row],[Transaction_Date]],2)</f>
        <v>3</v>
      </c>
      <c r="M760">
        <f>IF(Table1[[#This Row],[Sale_Type]]="Buffet",1,0)</f>
        <v>1</v>
      </c>
    </row>
    <row r="761" spans="1:13" x14ac:dyDescent="0.2">
      <c r="A761" t="s">
        <v>1024</v>
      </c>
      <c r="B761" t="s">
        <v>47</v>
      </c>
      <c r="C761" s="1">
        <v>45966</v>
      </c>
      <c r="D761" t="s">
        <v>13</v>
      </c>
      <c r="E761" t="s">
        <v>43</v>
      </c>
      <c r="F761" t="s">
        <v>53</v>
      </c>
      <c r="G761" t="s">
        <v>45</v>
      </c>
      <c r="H761">
        <v>1</v>
      </c>
      <c r="I761">
        <v>24.5</v>
      </c>
      <c r="J761" t="s">
        <v>28</v>
      </c>
      <c r="K761" t="s">
        <v>18</v>
      </c>
      <c r="L761">
        <f>WEEKDAY(Table1[[#This Row],[Transaction_Date]],2)</f>
        <v>3</v>
      </c>
      <c r="M761">
        <f>IF(Table1[[#This Row],[Sale_Type]]="Buffet",1,0)</f>
        <v>1</v>
      </c>
    </row>
    <row r="762" spans="1:13" x14ac:dyDescent="0.2">
      <c r="A762" t="s">
        <v>1025</v>
      </c>
      <c r="B762" t="s">
        <v>42</v>
      </c>
      <c r="C762" s="1">
        <v>45966</v>
      </c>
      <c r="D762" t="s">
        <v>13</v>
      </c>
      <c r="E762" t="s">
        <v>43</v>
      </c>
      <c r="F762" t="s">
        <v>57</v>
      </c>
      <c r="G762" t="s">
        <v>16</v>
      </c>
      <c r="H762">
        <v>4</v>
      </c>
      <c r="I762">
        <v>68.56</v>
      </c>
      <c r="J762" t="s">
        <v>17</v>
      </c>
      <c r="K762" t="s">
        <v>18</v>
      </c>
      <c r="L762">
        <f>WEEKDAY(Table1[[#This Row],[Transaction_Date]],2)</f>
        <v>3</v>
      </c>
      <c r="M762">
        <f>IF(Table1[[#This Row],[Sale_Type]]="Buffet",1,0)</f>
        <v>0</v>
      </c>
    </row>
    <row r="763" spans="1:13" x14ac:dyDescent="0.2">
      <c r="A763" t="s">
        <v>1026</v>
      </c>
      <c r="B763" t="s">
        <v>100</v>
      </c>
      <c r="C763" s="1">
        <v>45966</v>
      </c>
      <c r="D763" t="s">
        <v>13</v>
      </c>
      <c r="E763" t="s">
        <v>43</v>
      </c>
      <c r="F763" t="s">
        <v>57</v>
      </c>
      <c r="G763" t="s">
        <v>45</v>
      </c>
      <c r="H763">
        <v>3</v>
      </c>
      <c r="I763">
        <v>60</v>
      </c>
      <c r="J763" t="s">
        <v>17</v>
      </c>
      <c r="K763" t="s">
        <v>18</v>
      </c>
      <c r="L763">
        <f>WEEKDAY(Table1[[#This Row],[Transaction_Date]],2)</f>
        <v>3</v>
      </c>
      <c r="M763">
        <f>IF(Table1[[#This Row],[Sale_Type]]="Buffet",1,0)</f>
        <v>1</v>
      </c>
    </row>
    <row r="764" spans="1:13" x14ac:dyDescent="0.2">
      <c r="A764" t="s">
        <v>1027</v>
      </c>
      <c r="B764" t="s">
        <v>140</v>
      </c>
      <c r="C764" s="1">
        <v>45967</v>
      </c>
      <c r="D764" t="s">
        <v>62</v>
      </c>
      <c r="E764" t="s">
        <v>14</v>
      </c>
      <c r="F764" t="s">
        <v>15</v>
      </c>
      <c r="G764" t="s">
        <v>16</v>
      </c>
      <c r="H764">
        <v>2</v>
      </c>
      <c r="I764">
        <v>29.96</v>
      </c>
      <c r="J764" t="s">
        <v>28</v>
      </c>
      <c r="K764" t="s">
        <v>18</v>
      </c>
      <c r="L764">
        <f>WEEKDAY(Table1[[#This Row],[Transaction_Date]],2)</f>
        <v>4</v>
      </c>
      <c r="M764">
        <f>IF(Table1[[#This Row],[Sale_Type]]="Buffet",1,0)</f>
        <v>0</v>
      </c>
    </row>
    <row r="765" spans="1:13" x14ac:dyDescent="0.2">
      <c r="A765" t="s">
        <v>1028</v>
      </c>
      <c r="B765" t="s">
        <v>527</v>
      </c>
      <c r="C765" s="1">
        <v>45967</v>
      </c>
      <c r="D765" t="s">
        <v>62</v>
      </c>
      <c r="E765" t="s">
        <v>14</v>
      </c>
      <c r="F765" t="s">
        <v>15</v>
      </c>
      <c r="G765" t="s">
        <v>16</v>
      </c>
      <c r="H765">
        <v>3</v>
      </c>
      <c r="I765">
        <v>101.04</v>
      </c>
      <c r="J765" t="s">
        <v>28</v>
      </c>
      <c r="K765" t="s">
        <v>18</v>
      </c>
      <c r="L765">
        <f>WEEKDAY(Table1[[#This Row],[Transaction_Date]],2)</f>
        <v>4</v>
      </c>
      <c r="M765">
        <f>IF(Table1[[#This Row],[Sale_Type]]="Buffet",1,0)</f>
        <v>0</v>
      </c>
    </row>
    <row r="766" spans="1:13" x14ac:dyDescent="0.2">
      <c r="A766" t="s">
        <v>1029</v>
      </c>
      <c r="B766" t="s">
        <v>260</v>
      </c>
      <c r="C766" s="1">
        <v>45967</v>
      </c>
      <c r="D766" t="s">
        <v>62</v>
      </c>
      <c r="E766" t="s">
        <v>14</v>
      </c>
      <c r="F766" t="s">
        <v>15</v>
      </c>
      <c r="G766" t="s">
        <v>16</v>
      </c>
      <c r="H766">
        <v>6</v>
      </c>
      <c r="I766">
        <v>281.19</v>
      </c>
      <c r="J766" t="s">
        <v>28</v>
      </c>
      <c r="K766" t="s">
        <v>18</v>
      </c>
      <c r="L766">
        <f>WEEKDAY(Table1[[#This Row],[Transaction_Date]],2)</f>
        <v>4</v>
      </c>
      <c r="M766">
        <f>IF(Table1[[#This Row],[Sale_Type]]="Buffet",1,0)</f>
        <v>0</v>
      </c>
    </row>
    <row r="767" spans="1:13" x14ac:dyDescent="0.2">
      <c r="A767" t="s">
        <v>1030</v>
      </c>
      <c r="B767" t="s">
        <v>998</v>
      </c>
      <c r="C767" s="1">
        <v>45967</v>
      </c>
      <c r="D767" t="s">
        <v>62</v>
      </c>
      <c r="E767" t="s">
        <v>14</v>
      </c>
      <c r="F767" t="s">
        <v>24</v>
      </c>
      <c r="G767" t="s">
        <v>16</v>
      </c>
      <c r="H767">
        <v>4</v>
      </c>
      <c r="I767">
        <v>79.69</v>
      </c>
      <c r="J767" t="s">
        <v>17</v>
      </c>
      <c r="K767" t="s">
        <v>18</v>
      </c>
      <c r="L767">
        <f>WEEKDAY(Table1[[#This Row],[Transaction_Date]],2)</f>
        <v>4</v>
      </c>
      <c r="M767">
        <f>IF(Table1[[#This Row],[Sale_Type]]="Buffet",1,0)</f>
        <v>0</v>
      </c>
    </row>
    <row r="768" spans="1:13" x14ac:dyDescent="0.2">
      <c r="A768" t="s">
        <v>1031</v>
      </c>
      <c r="B768" t="s">
        <v>445</v>
      </c>
      <c r="C768" s="1">
        <v>45967</v>
      </c>
      <c r="D768" t="s">
        <v>62</v>
      </c>
      <c r="E768" t="s">
        <v>14</v>
      </c>
      <c r="F768" t="s">
        <v>24</v>
      </c>
      <c r="G768" t="s">
        <v>16</v>
      </c>
      <c r="H768">
        <v>3</v>
      </c>
      <c r="I768">
        <v>118.55</v>
      </c>
      <c r="J768" t="s">
        <v>17</v>
      </c>
      <c r="K768" t="s">
        <v>18</v>
      </c>
      <c r="L768">
        <f>WEEKDAY(Table1[[#This Row],[Transaction_Date]],2)</f>
        <v>4</v>
      </c>
      <c r="M768">
        <f>IF(Table1[[#This Row],[Sale_Type]]="Buffet",1,0)</f>
        <v>0</v>
      </c>
    </row>
    <row r="769" spans="1:13" x14ac:dyDescent="0.2">
      <c r="A769" t="s">
        <v>1032</v>
      </c>
      <c r="B769" t="s">
        <v>182</v>
      </c>
      <c r="C769" s="1">
        <v>45967</v>
      </c>
      <c r="D769" t="s">
        <v>62</v>
      </c>
      <c r="E769" t="s">
        <v>14</v>
      </c>
      <c r="F769" t="s">
        <v>24</v>
      </c>
      <c r="G769" t="s">
        <v>16</v>
      </c>
      <c r="H769">
        <v>3</v>
      </c>
      <c r="I769">
        <v>119.04</v>
      </c>
      <c r="J769" t="s">
        <v>17</v>
      </c>
      <c r="K769" t="s">
        <v>18</v>
      </c>
      <c r="L769">
        <f>WEEKDAY(Table1[[#This Row],[Transaction_Date]],2)</f>
        <v>4</v>
      </c>
      <c r="M769">
        <f>IF(Table1[[#This Row],[Sale_Type]]="Buffet",1,0)</f>
        <v>0</v>
      </c>
    </row>
    <row r="770" spans="1:13" x14ac:dyDescent="0.2">
      <c r="A770" t="s">
        <v>1033</v>
      </c>
      <c r="B770" t="s">
        <v>1034</v>
      </c>
      <c r="C770" s="1">
        <v>45967</v>
      </c>
      <c r="D770" t="s">
        <v>62</v>
      </c>
      <c r="E770" t="s">
        <v>14</v>
      </c>
      <c r="F770" t="s">
        <v>24</v>
      </c>
      <c r="G770" t="s">
        <v>16</v>
      </c>
      <c r="H770">
        <v>1</v>
      </c>
      <c r="I770">
        <v>37.86</v>
      </c>
      <c r="J770" t="s">
        <v>34</v>
      </c>
      <c r="K770" t="s">
        <v>18</v>
      </c>
      <c r="L770">
        <f>WEEKDAY(Table1[[#This Row],[Transaction_Date]],2)</f>
        <v>4</v>
      </c>
      <c r="M770">
        <f>IF(Table1[[#This Row],[Sale_Type]]="Buffet",1,0)</f>
        <v>0</v>
      </c>
    </row>
    <row r="771" spans="1:13" x14ac:dyDescent="0.2">
      <c r="A771" t="s">
        <v>1035</v>
      </c>
      <c r="B771" t="s">
        <v>142</v>
      </c>
      <c r="C771" s="1">
        <v>45967</v>
      </c>
      <c r="D771" t="s">
        <v>62</v>
      </c>
      <c r="E771" t="s">
        <v>14</v>
      </c>
      <c r="F771" t="s">
        <v>24</v>
      </c>
      <c r="G771" t="s">
        <v>16</v>
      </c>
      <c r="H771">
        <v>5</v>
      </c>
      <c r="I771">
        <v>136.71</v>
      </c>
      <c r="J771" t="s">
        <v>28</v>
      </c>
      <c r="K771" t="s">
        <v>18</v>
      </c>
      <c r="L771">
        <f>WEEKDAY(Table1[[#This Row],[Transaction_Date]],2)</f>
        <v>4</v>
      </c>
      <c r="M771">
        <f>IF(Table1[[#This Row],[Sale_Type]]="Buffet",1,0)</f>
        <v>0</v>
      </c>
    </row>
    <row r="772" spans="1:13" x14ac:dyDescent="0.2">
      <c r="A772" t="s">
        <v>1036</v>
      </c>
      <c r="B772" t="s">
        <v>152</v>
      </c>
      <c r="C772" s="1">
        <v>45967</v>
      </c>
      <c r="D772" t="s">
        <v>62</v>
      </c>
      <c r="E772" t="s">
        <v>14</v>
      </c>
      <c r="F772" t="s">
        <v>27</v>
      </c>
      <c r="G772" t="s">
        <v>16</v>
      </c>
      <c r="H772">
        <v>3</v>
      </c>
      <c r="I772">
        <v>83.09</v>
      </c>
      <c r="J772" t="s">
        <v>28</v>
      </c>
      <c r="K772" t="s">
        <v>21</v>
      </c>
      <c r="L772">
        <f>WEEKDAY(Table1[[#This Row],[Transaction_Date]],2)</f>
        <v>4</v>
      </c>
      <c r="M772">
        <f>IF(Table1[[#This Row],[Sale_Type]]="Buffet",1,0)</f>
        <v>0</v>
      </c>
    </row>
    <row r="773" spans="1:13" x14ac:dyDescent="0.2">
      <c r="A773" t="s">
        <v>1037</v>
      </c>
      <c r="B773" t="s">
        <v>142</v>
      </c>
      <c r="C773" s="1">
        <v>45967</v>
      </c>
      <c r="D773" t="s">
        <v>62</v>
      </c>
      <c r="E773" t="s">
        <v>14</v>
      </c>
      <c r="F773" t="s">
        <v>27</v>
      </c>
      <c r="G773" t="s">
        <v>16</v>
      </c>
      <c r="H773">
        <v>7</v>
      </c>
      <c r="I773">
        <v>388.41</v>
      </c>
      <c r="J773" t="s">
        <v>17</v>
      </c>
      <c r="K773" t="s">
        <v>18</v>
      </c>
      <c r="L773">
        <f>WEEKDAY(Table1[[#This Row],[Transaction_Date]],2)</f>
        <v>4</v>
      </c>
      <c r="M773">
        <f>IF(Table1[[#This Row],[Sale_Type]]="Buffet",1,0)</f>
        <v>0</v>
      </c>
    </row>
    <row r="774" spans="1:13" x14ac:dyDescent="0.2">
      <c r="A774" t="s">
        <v>1038</v>
      </c>
      <c r="B774" t="s">
        <v>699</v>
      </c>
      <c r="C774" s="1">
        <v>45967</v>
      </c>
      <c r="D774" t="s">
        <v>62</v>
      </c>
      <c r="E774" t="s">
        <v>14</v>
      </c>
      <c r="F774" t="s">
        <v>31</v>
      </c>
      <c r="G774" t="s">
        <v>16</v>
      </c>
      <c r="H774">
        <v>4</v>
      </c>
      <c r="I774">
        <v>132.85</v>
      </c>
      <c r="J774" t="s">
        <v>17</v>
      </c>
      <c r="K774" t="s">
        <v>18</v>
      </c>
      <c r="L774">
        <f>WEEKDAY(Table1[[#This Row],[Transaction_Date]],2)</f>
        <v>4</v>
      </c>
      <c r="M774">
        <f>IF(Table1[[#This Row],[Sale_Type]]="Buffet",1,0)</f>
        <v>0</v>
      </c>
    </row>
    <row r="775" spans="1:13" x14ac:dyDescent="0.2">
      <c r="A775" t="s">
        <v>1039</v>
      </c>
      <c r="B775" t="s">
        <v>278</v>
      </c>
      <c r="C775" s="1">
        <v>45967</v>
      </c>
      <c r="D775" t="s">
        <v>62</v>
      </c>
      <c r="E775" t="s">
        <v>14</v>
      </c>
      <c r="F775" t="s">
        <v>31</v>
      </c>
      <c r="G775" t="s">
        <v>16</v>
      </c>
      <c r="H775">
        <v>2</v>
      </c>
      <c r="I775">
        <v>53.25</v>
      </c>
      <c r="J775" t="s">
        <v>34</v>
      </c>
      <c r="K775" t="s">
        <v>18</v>
      </c>
      <c r="L775">
        <f>WEEKDAY(Table1[[#This Row],[Transaction_Date]],2)</f>
        <v>4</v>
      </c>
      <c r="M775">
        <f>IF(Table1[[#This Row],[Sale_Type]]="Buffet",1,0)</f>
        <v>0</v>
      </c>
    </row>
    <row r="776" spans="1:13" x14ac:dyDescent="0.2">
      <c r="A776" t="s">
        <v>1040</v>
      </c>
      <c r="B776" t="s">
        <v>725</v>
      </c>
      <c r="C776" s="1">
        <v>45967</v>
      </c>
      <c r="D776" t="s">
        <v>62</v>
      </c>
      <c r="E776" t="s">
        <v>43</v>
      </c>
      <c r="F776" t="s">
        <v>44</v>
      </c>
      <c r="G776" t="s">
        <v>16</v>
      </c>
      <c r="H776">
        <v>7</v>
      </c>
      <c r="I776">
        <v>206.9</v>
      </c>
      <c r="J776" t="s">
        <v>17</v>
      </c>
      <c r="K776" t="s">
        <v>18</v>
      </c>
      <c r="L776">
        <f>WEEKDAY(Table1[[#This Row],[Transaction_Date]],2)</f>
        <v>4</v>
      </c>
      <c r="M776">
        <f>IF(Table1[[#This Row],[Sale_Type]]="Buffet",1,0)</f>
        <v>0</v>
      </c>
    </row>
    <row r="777" spans="1:13" x14ac:dyDescent="0.2">
      <c r="A777" t="s">
        <v>1041</v>
      </c>
      <c r="B777" t="s">
        <v>797</v>
      </c>
      <c r="C777" s="1">
        <v>45967</v>
      </c>
      <c r="D777" t="s">
        <v>62</v>
      </c>
      <c r="E777" t="s">
        <v>43</v>
      </c>
      <c r="F777" t="s">
        <v>44</v>
      </c>
      <c r="G777" t="s">
        <v>16</v>
      </c>
      <c r="H777">
        <v>5</v>
      </c>
      <c r="I777">
        <v>81.89</v>
      </c>
      <c r="J777" t="s">
        <v>34</v>
      </c>
      <c r="K777" t="s">
        <v>18</v>
      </c>
      <c r="L777">
        <f>WEEKDAY(Table1[[#This Row],[Transaction_Date]],2)</f>
        <v>4</v>
      </c>
      <c r="M777">
        <f>IF(Table1[[#This Row],[Sale_Type]]="Buffet",1,0)</f>
        <v>0</v>
      </c>
    </row>
    <row r="778" spans="1:13" x14ac:dyDescent="0.2">
      <c r="A778" t="s">
        <v>1042</v>
      </c>
      <c r="B778" t="s">
        <v>91</v>
      </c>
      <c r="C778" s="1">
        <v>45967</v>
      </c>
      <c r="D778" t="s">
        <v>62</v>
      </c>
      <c r="E778" t="s">
        <v>43</v>
      </c>
      <c r="F778" t="s">
        <v>44</v>
      </c>
      <c r="G778" t="s">
        <v>16</v>
      </c>
      <c r="H778">
        <v>2</v>
      </c>
      <c r="I778">
        <v>27.66</v>
      </c>
      <c r="J778" t="s">
        <v>28</v>
      </c>
      <c r="K778" t="s">
        <v>21</v>
      </c>
      <c r="L778">
        <f>WEEKDAY(Table1[[#This Row],[Transaction_Date]],2)</f>
        <v>4</v>
      </c>
      <c r="M778">
        <f>IF(Table1[[#This Row],[Sale_Type]]="Buffet",1,0)</f>
        <v>0</v>
      </c>
    </row>
    <row r="779" spans="1:13" x14ac:dyDescent="0.2">
      <c r="A779" t="s">
        <v>1043</v>
      </c>
      <c r="B779" t="s">
        <v>260</v>
      </c>
      <c r="C779" s="1">
        <v>45967</v>
      </c>
      <c r="D779" t="s">
        <v>62</v>
      </c>
      <c r="E779" t="s">
        <v>43</v>
      </c>
      <c r="F779" t="s">
        <v>44</v>
      </c>
      <c r="G779" t="s">
        <v>45</v>
      </c>
      <c r="H779">
        <v>4</v>
      </c>
      <c r="I779">
        <v>84.5</v>
      </c>
      <c r="J779" t="s">
        <v>28</v>
      </c>
      <c r="K779" t="s">
        <v>18</v>
      </c>
      <c r="L779">
        <f>WEEKDAY(Table1[[#This Row],[Transaction_Date]],2)</f>
        <v>4</v>
      </c>
      <c r="M779">
        <f>IF(Table1[[#This Row],[Sale_Type]]="Buffet",1,0)</f>
        <v>1</v>
      </c>
    </row>
    <row r="780" spans="1:13" x14ac:dyDescent="0.2">
      <c r="A780" t="s">
        <v>1044</v>
      </c>
      <c r="B780" t="s">
        <v>318</v>
      </c>
      <c r="C780" s="1">
        <v>45967</v>
      </c>
      <c r="D780" t="s">
        <v>62</v>
      </c>
      <c r="E780" t="s">
        <v>43</v>
      </c>
      <c r="F780" t="s">
        <v>44</v>
      </c>
      <c r="G780" t="s">
        <v>45</v>
      </c>
      <c r="H780">
        <v>1</v>
      </c>
      <c r="I780">
        <v>24.5</v>
      </c>
      <c r="J780" t="s">
        <v>28</v>
      </c>
      <c r="K780" t="s">
        <v>18</v>
      </c>
      <c r="L780">
        <f>WEEKDAY(Table1[[#This Row],[Transaction_Date]],2)</f>
        <v>4</v>
      </c>
      <c r="M780">
        <f>IF(Table1[[#This Row],[Sale_Type]]="Buffet",1,0)</f>
        <v>1</v>
      </c>
    </row>
    <row r="781" spans="1:13" x14ac:dyDescent="0.2">
      <c r="A781" t="s">
        <v>1045</v>
      </c>
      <c r="B781" t="s">
        <v>89</v>
      </c>
      <c r="C781" s="1">
        <v>45967</v>
      </c>
      <c r="D781" t="s">
        <v>62</v>
      </c>
      <c r="E781" t="s">
        <v>43</v>
      </c>
      <c r="F781" t="s">
        <v>44</v>
      </c>
      <c r="G781" t="s">
        <v>45</v>
      </c>
      <c r="H781">
        <v>1</v>
      </c>
      <c r="I781">
        <v>20</v>
      </c>
      <c r="J781" t="s">
        <v>34</v>
      </c>
      <c r="K781" t="s">
        <v>21</v>
      </c>
      <c r="L781">
        <f>WEEKDAY(Table1[[#This Row],[Transaction_Date]],2)</f>
        <v>4</v>
      </c>
      <c r="M781">
        <f>IF(Table1[[#This Row],[Sale_Type]]="Buffet",1,0)</f>
        <v>1</v>
      </c>
    </row>
    <row r="782" spans="1:13" x14ac:dyDescent="0.2">
      <c r="A782" t="s">
        <v>1046</v>
      </c>
      <c r="B782" t="s">
        <v>398</v>
      </c>
      <c r="C782" s="1">
        <v>45967</v>
      </c>
      <c r="D782" t="s">
        <v>62</v>
      </c>
      <c r="E782" t="s">
        <v>43</v>
      </c>
      <c r="F782" t="s">
        <v>44</v>
      </c>
      <c r="G782" t="s">
        <v>45</v>
      </c>
      <c r="H782">
        <v>3</v>
      </c>
      <c r="I782">
        <v>64.5</v>
      </c>
      <c r="J782" t="s">
        <v>34</v>
      </c>
      <c r="K782" t="s">
        <v>18</v>
      </c>
      <c r="L782">
        <f>WEEKDAY(Table1[[#This Row],[Transaction_Date]],2)</f>
        <v>4</v>
      </c>
      <c r="M782">
        <f>IF(Table1[[#This Row],[Sale_Type]]="Buffet",1,0)</f>
        <v>1</v>
      </c>
    </row>
    <row r="783" spans="1:13" x14ac:dyDescent="0.2">
      <c r="A783" t="s">
        <v>1047</v>
      </c>
      <c r="B783" t="s">
        <v>56</v>
      </c>
      <c r="C783" s="1">
        <v>45967</v>
      </c>
      <c r="D783" t="s">
        <v>62</v>
      </c>
      <c r="E783" t="s">
        <v>43</v>
      </c>
      <c r="F783" t="s">
        <v>44</v>
      </c>
      <c r="G783" t="s">
        <v>45</v>
      </c>
      <c r="H783">
        <v>5</v>
      </c>
      <c r="I783">
        <v>104.5</v>
      </c>
      <c r="J783" t="s">
        <v>17</v>
      </c>
      <c r="K783" t="s">
        <v>18</v>
      </c>
      <c r="L783">
        <f>WEEKDAY(Table1[[#This Row],[Transaction_Date]],2)</f>
        <v>4</v>
      </c>
      <c r="M783">
        <f>IF(Table1[[#This Row],[Sale_Type]]="Buffet",1,0)</f>
        <v>1</v>
      </c>
    </row>
    <row r="784" spans="1:13" x14ac:dyDescent="0.2">
      <c r="A784" t="s">
        <v>1048</v>
      </c>
      <c r="B784" t="s">
        <v>165</v>
      </c>
      <c r="C784" s="1">
        <v>45967</v>
      </c>
      <c r="D784" t="s">
        <v>62</v>
      </c>
      <c r="E784" t="s">
        <v>43</v>
      </c>
      <c r="F784" t="s">
        <v>50</v>
      </c>
      <c r="G784" t="s">
        <v>16</v>
      </c>
      <c r="H784">
        <v>4</v>
      </c>
      <c r="I784">
        <v>90.35</v>
      </c>
      <c r="J784" t="s">
        <v>17</v>
      </c>
      <c r="K784" t="s">
        <v>21</v>
      </c>
      <c r="L784">
        <f>WEEKDAY(Table1[[#This Row],[Transaction_Date]],2)</f>
        <v>4</v>
      </c>
      <c r="M784">
        <f>IF(Table1[[#This Row],[Sale_Type]]="Buffet",1,0)</f>
        <v>0</v>
      </c>
    </row>
    <row r="785" spans="1:13" x14ac:dyDescent="0.2">
      <c r="A785" t="s">
        <v>1049</v>
      </c>
      <c r="B785" t="s">
        <v>109</v>
      </c>
      <c r="C785" s="1">
        <v>45967</v>
      </c>
      <c r="D785" t="s">
        <v>62</v>
      </c>
      <c r="E785" t="s">
        <v>43</v>
      </c>
      <c r="F785" t="s">
        <v>50</v>
      </c>
      <c r="G785" t="s">
        <v>45</v>
      </c>
      <c r="H785">
        <v>4</v>
      </c>
      <c r="I785">
        <v>89</v>
      </c>
      <c r="J785" t="s">
        <v>17</v>
      </c>
      <c r="K785" t="s">
        <v>21</v>
      </c>
      <c r="L785">
        <f>WEEKDAY(Table1[[#This Row],[Transaction_Date]],2)</f>
        <v>4</v>
      </c>
      <c r="M785">
        <f>IF(Table1[[#This Row],[Sale_Type]]="Buffet",1,0)</f>
        <v>1</v>
      </c>
    </row>
    <row r="786" spans="1:13" x14ac:dyDescent="0.2">
      <c r="A786" t="s">
        <v>1050</v>
      </c>
      <c r="B786" t="s">
        <v>684</v>
      </c>
      <c r="C786" s="1">
        <v>45967</v>
      </c>
      <c r="D786" t="s">
        <v>62</v>
      </c>
      <c r="E786" t="s">
        <v>43</v>
      </c>
      <c r="F786" t="s">
        <v>50</v>
      </c>
      <c r="G786" t="s">
        <v>16</v>
      </c>
      <c r="H786">
        <v>5</v>
      </c>
      <c r="I786">
        <v>83.58</v>
      </c>
      <c r="J786" t="s">
        <v>34</v>
      </c>
      <c r="K786" t="s">
        <v>18</v>
      </c>
      <c r="L786">
        <f>WEEKDAY(Table1[[#This Row],[Transaction_Date]],2)</f>
        <v>4</v>
      </c>
      <c r="M786">
        <f>IF(Table1[[#This Row],[Sale_Type]]="Buffet",1,0)</f>
        <v>0</v>
      </c>
    </row>
    <row r="787" spans="1:13" x14ac:dyDescent="0.2">
      <c r="A787" t="s">
        <v>1051</v>
      </c>
      <c r="B787" t="s">
        <v>737</v>
      </c>
      <c r="C787" s="1">
        <v>45967</v>
      </c>
      <c r="D787" t="s">
        <v>62</v>
      </c>
      <c r="E787" t="s">
        <v>43</v>
      </c>
      <c r="F787" t="s">
        <v>53</v>
      </c>
      <c r="G787" t="s">
        <v>16</v>
      </c>
      <c r="H787">
        <v>4</v>
      </c>
      <c r="I787">
        <v>73.48</v>
      </c>
      <c r="J787" t="s">
        <v>17</v>
      </c>
      <c r="K787" t="s">
        <v>18</v>
      </c>
      <c r="L787">
        <f>WEEKDAY(Table1[[#This Row],[Transaction_Date]],2)</f>
        <v>4</v>
      </c>
      <c r="M787">
        <f>IF(Table1[[#This Row],[Sale_Type]]="Buffet",1,0)</f>
        <v>0</v>
      </c>
    </row>
    <row r="788" spans="1:13" x14ac:dyDescent="0.2">
      <c r="A788" t="s">
        <v>1052</v>
      </c>
      <c r="B788" t="s">
        <v>12</v>
      </c>
      <c r="C788" s="1">
        <v>45967</v>
      </c>
      <c r="D788" t="s">
        <v>62</v>
      </c>
      <c r="E788" t="s">
        <v>43</v>
      </c>
      <c r="F788" t="s">
        <v>53</v>
      </c>
      <c r="G788" t="s">
        <v>16</v>
      </c>
      <c r="H788">
        <v>2</v>
      </c>
      <c r="I788">
        <v>42.67</v>
      </c>
      <c r="J788" t="s">
        <v>34</v>
      </c>
      <c r="K788" t="s">
        <v>18</v>
      </c>
      <c r="L788">
        <f>WEEKDAY(Table1[[#This Row],[Transaction_Date]],2)</f>
        <v>4</v>
      </c>
      <c r="M788">
        <f>IF(Table1[[#This Row],[Sale_Type]]="Buffet",1,0)</f>
        <v>0</v>
      </c>
    </row>
    <row r="789" spans="1:13" x14ac:dyDescent="0.2">
      <c r="A789" t="s">
        <v>1053</v>
      </c>
      <c r="B789" t="s">
        <v>74</v>
      </c>
      <c r="C789" s="1">
        <v>45967</v>
      </c>
      <c r="D789" t="s">
        <v>62</v>
      </c>
      <c r="E789" t="s">
        <v>43</v>
      </c>
      <c r="F789" t="s">
        <v>53</v>
      </c>
      <c r="G789" t="s">
        <v>16</v>
      </c>
      <c r="H789">
        <v>4</v>
      </c>
      <c r="I789">
        <v>72.819999999999993</v>
      </c>
      <c r="J789" t="s">
        <v>34</v>
      </c>
      <c r="K789" t="s">
        <v>21</v>
      </c>
      <c r="L789">
        <f>WEEKDAY(Table1[[#This Row],[Transaction_Date]],2)</f>
        <v>4</v>
      </c>
      <c r="M789">
        <f>IF(Table1[[#This Row],[Sale_Type]]="Buffet",1,0)</f>
        <v>0</v>
      </c>
    </row>
    <row r="790" spans="1:13" x14ac:dyDescent="0.2">
      <c r="A790" t="s">
        <v>1054</v>
      </c>
      <c r="B790" t="s">
        <v>404</v>
      </c>
      <c r="C790" s="1">
        <v>45967</v>
      </c>
      <c r="D790" t="s">
        <v>62</v>
      </c>
      <c r="E790" t="s">
        <v>43</v>
      </c>
      <c r="F790" t="s">
        <v>53</v>
      </c>
      <c r="G790" t="s">
        <v>45</v>
      </c>
      <c r="H790">
        <v>3</v>
      </c>
      <c r="I790">
        <v>60</v>
      </c>
      <c r="J790" t="s">
        <v>17</v>
      </c>
      <c r="K790" t="s">
        <v>18</v>
      </c>
      <c r="L790">
        <f>WEEKDAY(Table1[[#This Row],[Transaction_Date]],2)</f>
        <v>4</v>
      </c>
      <c r="M790">
        <f>IF(Table1[[#This Row],[Sale_Type]]="Buffet",1,0)</f>
        <v>1</v>
      </c>
    </row>
    <row r="791" spans="1:13" x14ac:dyDescent="0.2">
      <c r="A791" t="s">
        <v>1055</v>
      </c>
      <c r="B791" t="s">
        <v>480</v>
      </c>
      <c r="C791" s="1">
        <v>45967</v>
      </c>
      <c r="D791" t="s">
        <v>62</v>
      </c>
      <c r="E791" t="s">
        <v>43</v>
      </c>
      <c r="F791" t="s">
        <v>57</v>
      </c>
      <c r="G791" t="s">
        <v>45</v>
      </c>
      <c r="H791">
        <v>4</v>
      </c>
      <c r="I791">
        <v>93.5</v>
      </c>
      <c r="J791" t="s">
        <v>34</v>
      </c>
      <c r="K791" t="s">
        <v>18</v>
      </c>
      <c r="L791">
        <f>WEEKDAY(Table1[[#This Row],[Transaction_Date]],2)</f>
        <v>4</v>
      </c>
      <c r="M791">
        <f>IF(Table1[[#This Row],[Sale_Type]]="Buffet",1,0)</f>
        <v>1</v>
      </c>
    </row>
    <row r="792" spans="1:13" x14ac:dyDescent="0.2">
      <c r="A792" t="s">
        <v>1056</v>
      </c>
      <c r="B792" t="s">
        <v>1034</v>
      </c>
      <c r="C792" s="1">
        <v>45968</v>
      </c>
      <c r="D792" t="s">
        <v>96</v>
      </c>
      <c r="E792" t="s">
        <v>14</v>
      </c>
      <c r="F792" t="s">
        <v>24</v>
      </c>
      <c r="G792" t="s">
        <v>16</v>
      </c>
      <c r="H792">
        <v>3</v>
      </c>
      <c r="I792">
        <v>77.95</v>
      </c>
      <c r="J792" t="s">
        <v>17</v>
      </c>
      <c r="K792" t="s">
        <v>18</v>
      </c>
      <c r="L792">
        <f>WEEKDAY(Table1[[#This Row],[Transaction_Date]],2)</f>
        <v>5</v>
      </c>
      <c r="M792">
        <f>IF(Table1[[#This Row],[Sale_Type]]="Buffet",1,0)</f>
        <v>0</v>
      </c>
    </row>
    <row r="793" spans="1:13" x14ac:dyDescent="0.2">
      <c r="A793" t="s">
        <v>1057</v>
      </c>
      <c r="B793" t="s">
        <v>79</v>
      </c>
      <c r="C793" s="1">
        <v>45968</v>
      </c>
      <c r="D793" t="s">
        <v>96</v>
      </c>
      <c r="E793" t="s">
        <v>14</v>
      </c>
      <c r="F793" t="s">
        <v>27</v>
      </c>
      <c r="G793" t="s">
        <v>16</v>
      </c>
      <c r="H793">
        <v>4</v>
      </c>
      <c r="I793">
        <v>195.96</v>
      </c>
      <c r="J793" t="s">
        <v>17</v>
      </c>
      <c r="K793" t="s">
        <v>18</v>
      </c>
      <c r="L793">
        <f>WEEKDAY(Table1[[#This Row],[Transaction_Date]],2)</f>
        <v>5</v>
      </c>
      <c r="M793">
        <f>IF(Table1[[#This Row],[Sale_Type]]="Buffet",1,0)</f>
        <v>0</v>
      </c>
    </row>
    <row r="794" spans="1:13" x14ac:dyDescent="0.2">
      <c r="A794" t="s">
        <v>1058</v>
      </c>
      <c r="B794" t="s">
        <v>733</v>
      </c>
      <c r="C794" s="1">
        <v>45968</v>
      </c>
      <c r="D794" t="s">
        <v>96</v>
      </c>
      <c r="E794" t="s">
        <v>14</v>
      </c>
      <c r="F794" t="s">
        <v>31</v>
      </c>
      <c r="G794" t="s">
        <v>16</v>
      </c>
      <c r="H794">
        <v>2</v>
      </c>
      <c r="I794">
        <v>71.03</v>
      </c>
      <c r="J794" t="s">
        <v>17</v>
      </c>
      <c r="K794" t="s">
        <v>18</v>
      </c>
      <c r="L794">
        <f>WEEKDAY(Table1[[#This Row],[Transaction_Date]],2)</f>
        <v>5</v>
      </c>
      <c r="M794">
        <f>IF(Table1[[#This Row],[Sale_Type]]="Buffet",1,0)</f>
        <v>0</v>
      </c>
    </row>
    <row r="795" spans="1:13" x14ac:dyDescent="0.2">
      <c r="A795" t="s">
        <v>1059</v>
      </c>
      <c r="B795" t="s">
        <v>412</v>
      </c>
      <c r="C795" s="1">
        <v>45968</v>
      </c>
      <c r="D795" t="s">
        <v>96</v>
      </c>
      <c r="E795" t="s">
        <v>14</v>
      </c>
      <c r="F795" t="s">
        <v>31</v>
      </c>
      <c r="G795" t="s">
        <v>16</v>
      </c>
      <c r="H795">
        <v>3</v>
      </c>
      <c r="I795">
        <v>74.05</v>
      </c>
      <c r="J795" t="s">
        <v>34</v>
      </c>
      <c r="K795" t="s">
        <v>18</v>
      </c>
      <c r="L795">
        <f>WEEKDAY(Table1[[#This Row],[Transaction_Date]],2)</f>
        <v>5</v>
      </c>
      <c r="M795">
        <f>IF(Table1[[#This Row],[Sale_Type]]="Buffet",1,0)</f>
        <v>0</v>
      </c>
    </row>
    <row r="796" spans="1:13" x14ac:dyDescent="0.2">
      <c r="A796" t="s">
        <v>1060</v>
      </c>
      <c r="B796" t="s">
        <v>146</v>
      </c>
      <c r="C796" s="1">
        <v>45968</v>
      </c>
      <c r="D796" t="s">
        <v>96</v>
      </c>
      <c r="E796" t="s">
        <v>14</v>
      </c>
      <c r="F796" t="s">
        <v>31</v>
      </c>
      <c r="G796" t="s">
        <v>16</v>
      </c>
      <c r="H796">
        <v>2</v>
      </c>
      <c r="I796">
        <v>77.180000000000007</v>
      </c>
      <c r="J796" t="s">
        <v>34</v>
      </c>
      <c r="K796" t="s">
        <v>18</v>
      </c>
      <c r="L796">
        <f>WEEKDAY(Table1[[#This Row],[Transaction_Date]],2)</f>
        <v>5</v>
      </c>
      <c r="M796">
        <f>IF(Table1[[#This Row],[Sale_Type]]="Buffet",1,0)</f>
        <v>0</v>
      </c>
    </row>
    <row r="797" spans="1:13" x14ac:dyDescent="0.2">
      <c r="A797" t="s">
        <v>1061</v>
      </c>
      <c r="B797" t="s">
        <v>233</v>
      </c>
      <c r="C797" s="1">
        <v>45968</v>
      </c>
      <c r="D797" t="s">
        <v>96</v>
      </c>
      <c r="E797" t="s">
        <v>14</v>
      </c>
      <c r="F797" t="s">
        <v>40</v>
      </c>
      <c r="G797" t="s">
        <v>16</v>
      </c>
      <c r="H797">
        <v>3</v>
      </c>
      <c r="I797">
        <v>157.68</v>
      </c>
      <c r="J797" t="s">
        <v>17</v>
      </c>
      <c r="K797" t="s">
        <v>18</v>
      </c>
      <c r="L797">
        <f>WEEKDAY(Table1[[#This Row],[Transaction_Date]],2)</f>
        <v>5</v>
      </c>
      <c r="M797">
        <f>IF(Table1[[#This Row],[Sale_Type]]="Buffet",1,0)</f>
        <v>0</v>
      </c>
    </row>
    <row r="798" spans="1:13" x14ac:dyDescent="0.2">
      <c r="A798" t="s">
        <v>1062</v>
      </c>
      <c r="B798" t="s">
        <v>377</v>
      </c>
      <c r="C798" s="1">
        <v>45968</v>
      </c>
      <c r="D798" t="s">
        <v>96</v>
      </c>
      <c r="E798" t="s">
        <v>43</v>
      </c>
      <c r="F798" t="s">
        <v>44</v>
      </c>
      <c r="G798" t="s">
        <v>45</v>
      </c>
      <c r="H798">
        <v>1</v>
      </c>
      <c r="I798">
        <v>24.5</v>
      </c>
      <c r="J798" t="s">
        <v>28</v>
      </c>
      <c r="K798" t="s">
        <v>18</v>
      </c>
      <c r="L798">
        <f>WEEKDAY(Table1[[#This Row],[Transaction_Date]],2)</f>
        <v>5</v>
      </c>
      <c r="M798">
        <f>IF(Table1[[#This Row],[Sale_Type]]="Buffet",1,0)</f>
        <v>1</v>
      </c>
    </row>
    <row r="799" spans="1:13" x14ac:dyDescent="0.2">
      <c r="A799" t="s">
        <v>1063</v>
      </c>
      <c r="B799" t="s">
        <v>341</v>
      </c>
      <c r="C799" s="1">
        <v>45968</v>
      </c>
      <c r="D799" t="s">
        <v>96</v>
      </c>
      <c r="E799" t="s">
        <v>43</v>
      </c>
      <c r="F799" t="s">
        <v>50</v>
      </c>
      <c r="G799" t="s">
        <v>45</v>
      </c>
      <c r="H799">
        <v>1</v>
      </c>
      <c r="I799">
        <v>24.5</v>
      </c>
      <c r="J799" t="s">
        <v>17</v>
      </c>
      <c r="K799" t="s">
        <v>18</v>
      </c>
      <c r="L799">
        <f>WEEKDAY(Table1[[#This Row],[Transaction_Date]],2)</f>
        <v>5</v>
      </c>
      <c r="M799">
        <f>IF(Table1[[#This Row],[Sale_Type]]="Buffet",1,0)</f>
        <v>1</v>
      </c>
    </row>
    <row r="800" spans="1:13" x14ac:dyDescent="0.2">
      <c r="A800" t="s">
        <v>1064</v>
      </c>
      <c r="B800" t="s">
        <v>486</v>
      </c>
      <c r="C800" s="1">
        <v>45968</v>
      </c>
      <c r="D800" t="s">
        <v>96</v>
      </c>
      <c r="E800" t="s">
        <v>43</v>
      </c>
      <c r="F800" t="s">
        <v>50</v>
      </c>
      <c r="G800" t="s">
        <v>16</v>
      </c>
      <c r="H800">
        <v>4</v>
      </c>
      <c r="I800">
        <v>64.959999999999994</v>
      </c>
      <c r="J800" t="s">
        <v>17</v>
      </c>
      <c r="K800" t="s">
        <v>18</v>
      </c>
      <c r="L800">
        <f>WEEKDAY(Table1[[#This Row],[Transaction_Date]],2)</f>
        <v>5</v>
      </c>
      <c r="M800">
        <f>IF(Table1[[#This Row],[Sale_Type]]="Buffet",1,0)</f>
        <v>0</v>
      </c>
    </row>
    <row r="801" spans="1:13" x14ac:dyDescent="0.2">
      <c r="A801" t="s">
        <v>1065</v>
      </c>
      <c r="B801" t="s">
        <v>392</v>
      </c>
      <c r="C801" s="1">
        <v>45968</v>
      </c>
      <c r="D801" t="s">
        <v>96</v>
      </c>
      <c r="E801" t="s">
        <v>43</v>
      </c>
      <c r="F801" t="s">
        <v>50</v>
      </c>
      <c r="G801" t="s">
        <v>16</v>
      </c>
      <c r="H801">
        <v>2</v>
      </c>
      <c r="I801">
        <v>22.44</v>
      </c>
      <c r="J801" t="s">
        <v>34</v>
      </c>
      <c r="K801" t="s">
        <v>18</v>
      </c>
      <c r="L801">
        <f>WEEKDAY(Table1[[#This Row],[Transaction_Date]],2)</f>
        <v>5</v>
      </c>
      <c r="M801">
        <f>IF(Table1[[#This Row],[Sale_Type]]="Buffet",1,0)</f>
        <v>0</v>
      </c>
    </row>
    <row r="802" spans="1:13" x14ac:dyDescent="0.2">
      <c r="A802" t="s">
        <v>1066</v>
      </c>
      <c r="B802" t="s">
        <v>1067</v>
      </c>
      <c r="C802" s="1">
        <v>45968</v>
      </c>
      <c r="D802" t="s">
        <v>96</v>
      </c>
      <c r="E802" t="s">
        <v>43</v>
      </c>
      <c r="F802" t="s">
        <v>53</v>
      </c>
      <c r="G802" t="s">
        <v>16</v>
      </c>
      <c r="H802">
        <v>2</v>
      </c>
      <c r="I802">
        <v>37.21</v>
      </c>
      <c r="J802" t="s">
        <v>17</v>
      </c>
      <c r="K802" t="s">
        <v>21</v>
      </c>
      <c r="L802">
        <f>WEEKDAY(Table1[[#This Row],[Transaction_Date]],2)</f>
        <v>5</v>
      </c>
      <c r="M802">
        <f>IF(Table1[[#This Row],[Sale_Type]]="Buffet",1,0)</f>
        <v>0</v>
      </c>
    </row>
    <row r="803" spans="1:13" x14ac:dyDescent="0.2">
      <c r="A803" t="s">
        <v>1068</v>
      </c>
      <c r="B803" t="s">
        <v>527</v>
      </c>
      <c r="C803" s="1">
        <v>45968</v>
      </c>
      <c r="D803" t="s">
        <v>96</v>
      </c>
      <c r="E803" t="s">
        <v>43</v>
      </c>
      <c r="F803" t="s">
        <v>53</v>
      </c>
      <c r="G803" t="s">
        <v>45</v>
      </c>
      <c r="H803">
        <v>1</v>
      </c>
      <c r="I803">
        <v>20</v>
      </c>
      <c r="J803" t="s">
        <v>17</v>
      </c>
      <c r="K803" t="s">
        <v>21</v>
      </c>
      <c r="L803">
        <f>WEEKDAY(Table1[[#This Row],[Transaction_Date]],2)</f>
        <v>5</v>
      </c>
      <c r="M803">
        <f>IF(Table1[[#This Row],[Sale_Type]]="Buffet",1,0)</f>
        <v>1</v>
      </c>
    </row>
    <row r="804" spans="1:13" x14ac:dyDescent="0.2">
      <c r="A804" t="s">
        <v>1069</v>
      </c>
      <c r="B804" t="s">
        <v>74</v>
      </c>
      <c r="C804" s="1">
        <v>45968</v>
      </c>
      <c r="D804" t="s">
        <v>96</v>
      </c>
      <c r="E804" t="s">
        <v>43</v>
      </c>
      <c r="F804" t="s">
        <v>53</v>
      </c>
      <c r="G804" t="s">
        <v>16</v>
      </c>
      <c r="H804">
        <v>3</v>
      </c>
      <c r="I804">
        <v>79.400000000000006</v>
      </c>
      <c r="J804" t="s">
        <v>17</v>
      </c>
      <c r="K804" t="s">
        <v>18</v>
      </c>
      <c r="L804">
        <f>WEEKDAY(Table1[[#This Row],[Transaction_Date]],2)</f>
        <v>5</v>
      </c>
      <c r="M804">
        <f>IF(Table1[[#This Row],[Sale_Type]]="Buffet",1,0)</f>
        <v>0</v>
      </c>
    </row>
    <row r="805" spans="1:13" x14ac:dyDescent="0.2">
      <c r="A805" t="s">
        <v>1070</v>
      </c>
      <c r="B805" t="s">
        <v>81</v>
      </c>
      <c r="C805" s="1">
        <v>45968</v>
      </c>
      <c r="D805" t="s">
        <v>96</v>
      </c>
      <c r="E805" t="s">
        <v>43</v>
      </c>
      <c r="F805" t="s">
        <v>57</v>
      </c>
      <c r="G805" t="s">
        <v>16</v>
      </c>
      <c r="H805">
        <v>3</v>
      </c>
      <c r="I805">
        <v>39.47</v>
      </c>
      <c r="J805" t="s">
        <v>28</v>
      </c>
      <c r="K805" t="s">
        <v>18</v>
      </c>
      <c r="L805">
        <f>WEEKDAY(Table1[[#This Row],[Transaction_Date]],2)</f>
        <v>5</v>
      </c>
      <c r="M805">
        <f>IF(Table1[[#This Row],[Sale_Type]]="Buffet",1,0)</f>
        <v>0</v>
      </c>
    </row>
    <row r="806" spans="1:13" x14ac:dyDescent="0.2">
      <c r="A806" t="s">
        <v>1071</v>
      </c>
      <c r="B806" t="s">
        <v>647</v>
      </c>
      <c r="C806" s="1">
        <v>45968</v>
      </c>
      <c r="D806" t="s">
        <v>96</v>
      </c>
      <c r="E806" t="s">
        <v>43</v>
      </c>
      <c r="F806" t="s">
        <v>57</v>
      </c>
      <c r="G806" t="s">
        <v>45</v>
      </c>
      <c r="H806">
        <v>4</v>
      </c>
      <c r="I806">
        <v>89</v>
      </c>
      <c r="J806" t="s">
        <v>17</v>
      </c>
      <c r="K806" t="s">
        <v>18</v>
      </c>
      <c r="L806">
        <f>WEEKDAY(Table1[[#This Row],[Transaction_Date]],2)</f>
        <v>5</v>
      </c>
      <c r="M806">
        <f>IF(Table1[[#This Row],[Sale_Type]]="Buffet",1,0)</f>
        <v>1</v>
      </c>
    </row>
    <row r="807" spans="1:13" x14ac:dyDescent="0.2">
      <c r="A807" t="s">
        <v>1072</v>
      </c>
      <c r="B807" t="s">
        <v>83</v>
      </c>
      <c r="C807" s="1">
        <v>45968</v>
      </c>
      <c r="D807" t="s">
        <v>96</v>
      </c>
      <c r="E807" t="s">
        <v>43</v>
      </c>
      <c r="F807" t="s">
        <v>57</v>
      </c>
      <c r="G807" t="s">
        <v>45</v>
      </c>
      <c r="H807">
        <v>3</v>
      </c>
      <c r="I807">
        <v>64.5</v>
      </c>
      <c r="J807" t="s">
        <v>17</v>
      </c>
      <c r="K807" t="s">
        <v>18</v>
      </c>
      <c r="L807">
        <f>WEEKDAY(Table1[[#This Row],[Transaction_Date]],2)</f>
        <v>5</v>
      </c>
      <c r="M807">
        <f>IF(Table1[[#This Row],[Sale_Type]]="Buffet",1,0)</f>
        <v>1</v>
      </c>
    </row>
    <row r="808" spans="1:13" x14ac:dyDescent="0.2">
      <c r="A808" t="s">
        <v>1073</v>
      </c>
      <c r="B808" t="s">
        <v>20</v>
      </c>
      <c r="C808" s="1">
        <v>45968</v>
      </c>
      <c r="D808" t="s">
        <v>96</v>
      </c>
      <c r="E808" t="s">
        <v>43</v>
      </c>
      <c r="F808" t="s">
        <v>57</v>
      </c>
      <c r="G808" t="s">
        <v>45</v>
      </c>
      <c r="H808">
        <v>4</v>
      </c>
      <c r="I808">
        <v>89</v>
      </c>
      <c r="J808" t="s">
        <v>28</v>
      </c>
      <c r="K808" t="s">
        <v>21</v>
      </c>
      <c r="L808">
        <f>WEEKDAY(Table1[[#This Row],[Transaction_Date]],2)</f>
        <v>5</v>
      </c>
      <c r="M808">
        <f>IF(Table1[[#This Row],[Sale_Type]]="Buffet",1,0)</f>
        <v>1</v>
      </c>
    </row>
    <row r="809" spans="1:13" x14ac:dyDescent="0.2">
      <c r="A809" t="s">
        <v>1074</v>
      </c>
      <c r="B809" t="s">
        <v>160</v>
      </c>
      <c r="C809" s="1">
        <v>45969</v>
      </c>
      <c r="D809" t="s">
        <v>127</v>
      </c>
      <c r="E809" t="s">
        <v>14</v>
      </c>
      <c r="F809" t="s">
        <v>15</v>
      </c>
      <c r="G809" t="s">
        <v>16</v>
      </c>
      <c r="H809">
        <v>2</v>
      </c>
      <c r="I809">
        <v>38.17</v>
      </c>
      <c r="J809" t="s">
        <v>28</v>
      </c>
      <c r="K809" t="s">
        <v>21</v>
      </c>
      <c r="L809">
        <f>WEEKDAY(Table1[[#This Row],[Transaction_Date]],2)</f>
        <v>6</v>
      </c>
      <c r="M809">
        <f>IF(Table1[[#This Row],[Sale_Type]]="Buffet",1,0)</f>
        <v>0</v>
      </c>
    </row>
    <row r="810" spans="1:13" x14ac:dyDescent="0.2">
      <c r="A810" t="s">
        <v>1075</v>
      </c>
      <c r="B810" t="s">
        <v>440</v>
      </c>
      <c r="C810" s="1">
        <v>45969</v>
      </c>
      <c r="D810" t="s">
        <v>127</v>
      </c>
      <c r="E810" t="s">
        <v>14</v>
      </c>
      <c r="F810" t="s">
        <v>15</v>
      </c>
      <c r="G810" t="s">
        <v>16</v>
      </c>
      <c r="H810">
        <v>5</v>
      </c>
      <c r="I810">
        <v>115.5</v>
      </c>
      <c r="J810" t="s">
        <v>34</v>
      </c>
      <c r="K810" t="s">
        <v>21</v>
      </c>
      <c r="L810">
        <f>WEEKDAY(Table1[[#This Row],[Transaction_Date]],2)</f>
        <v>6</v>
      </c>
      <c r="M810">
        <f>IF(Table1[[#This Row],[Sale_Type]]="Buffet",1,0)</f>
        <v>0</v>
      </c>
    </row>
    <row r="811" spans="1:13" x14ac:dyDescent="0.2">
      <c r="A811" t="s">
        <v>1076</v>
      </c>
      <c r="B811" t="s">
        <v>1077</v>
      </c>
      <c r="C811" s="1">
        <v>45969</v>
      </c>
      <c r="D811" t="s">
        <v>127</v>
      </c>
      <c r="E811" t="s">
        <v>14</v>
      </c>
      <c r="F811" t="s">
        <v>24</v>
      </c>
      <c r="G811" t="s">
        <v>16</v>
      </c>
      <c r="H811">
        <v>4</v>
      </c>
      <c r="I811">
        <v>79.260000000000005</v>
      </c>
      <c r="J811" t="s">
        <v>17</v>
      </c>
      <c r="K811" t="s">
        <v>18</v>
      </c>
      <c r="L811">
        <f>WEEKDAY(Table1[[#This Row],[Transaction_Date]],2)</f>
        <v>6</v>
      </c>
      <c r="M811">
        <f>IF(Table1[[#This Row],[Sale_Type]]="Buffet",1,0)</f>
        <v>0</v>
      </c>
    </row>
    <row r="812" spans="1:13" x14ac:dyDescent="0.2">
      <c r="A812" t="s">
        <v>1078</v>
      </c>
      <c r="B812" t="s">
        <v>1079</v>
      </c>
      <c r="C812" s="1">
        <v>45969</v>
      </c>
      <c r="D812" t="s">
        <v>127</v>
      </c>
      <c r="E812" t="s">
        <v>14</v>
      </c>
      <c r="F812" t="s">
        <v>24</v>
      </c>
      <c r="G812" t="s">
        <v>16</v>
      </c>
      <c r="H812">
        <v>2</v>
      </c>
      <c r="I812">
        <v>70.22</v>
      </c>
      <c r="J812" t="s">
        <v>34</v>
      </c>
      <c r="K812" t="s">
        <v>18</v>
      </c>
      <c r="L812">
        <f>WEEKDAY(Table1[[#This Row],[Transaction_Date]],2)</f>
        <v>6</v>
      </c>
      <c r="M812">
        <f>IF(Table1[[#This Row],[Sale_Type]]="Buffet",1,0)</f>
        <v>0</v>
      </c>
    </row>
    <row r="813" spans="1:13" x14ac:dyDescent="0.2">
      <c r="A813" t="s">
        <v>1080</v>
      </c>
      <c r="B813" t="s">
        <v>1034</v>
      </c>
      <c r="C813" s="1">
        <v>45969</v>
      </c>
      <c r="D813" t="s">
        <v>127</v>
      </c>
      <c r="E813" t="s">
        <v>14</v>
      </c>
      <c r="F813" t="s">
        <v>24</v>
      </c>
      <c r="G813" t="s">
        <v>16</v>
      </c>
      <c r="H813">
        <v>3</v>
      </c>
      <c r="I813">
        <v>57.47</v>
      </c>
      <c r="J813" t="s">
        <v>28</v>
      </c>
      <c r="K813" t="s">
        <v>18</v>
      </c>
      <c r="L813">
        <f>WEEKDAY(Table1[[#This Row],[Transaction_Date]],2)</f>
        <v>6</v>
      </c>
      <c r="M813">
        <f>IF(Table1[[#This Row],[Sale_Type]]="Buffet",1,0)</f>
        <v>0</v>
      </c>
    </row>
    <row r="814" spans="1:13" x14ac:dyDescent="0.2">
      <c r="A814" t="s">
        <v>1081</v>
      </c>
      <c r="B814" t="s">
        <v>1082</v>
      </c>
      <c r="C814" s="1">
        <v>45969</v>
      </c>
      <c r="D814" t="s">
        <v>127</v>
      </c>
      <c r="E814" t="s">
        <v>14</v>
      </c>
      <c r="F814" t="s">
        <v>24</v>
      </c>
      <c r="G814" t="s">
        <v>16</v>
      </c>
      <c r="H814">
        <v>5</v>
      </c>
      <c r="I814">
        <v>175.72</v>
      </c>
      <c r="J814" t="s">
        <v>17</v>
      </c>
      <c r="K814" t="s">
        <v>18</v>
      </c>
      <c r="L814">
        <f>WEEKDAY(Table1[[#This Row],[Transaction_Date]],2)</f>
        <v>6</v>
      </c>
      <c r="M814">
        <f>IF(Table1[[#This Row],[Sale_Type]]="Buffet",1,0)</f>
        <v>0</v>
      </c>
    </row>
    <row r="815" spans="1:13" x14ac:dyDescent="0.2">
      <c r="A815" t="s">
        <v>1083</v>
      </c>
      <c r="B815" t="s">
        <v>150</v>
      </c>
      <c r="C815" s="1">
        <v>45969</v>
      </c>
      <c r="D815" t="s">
        <v>127</v>
      </c>
      <c r="E815" t="s">
        <v>14</v>
      </c>
      <c r="F815" t="s">
        <v>27</v>
      </c>
      <c r="G815" t="s">
        <v>16</v>
      </c>
      <c r="H815">
        <v>3</v>
      </c>
      <c r="I815">
        <v>207.92</v>
      </c>
      <c r="J815" t="s">
        <v>17</v>
      </c>
      <c r="K815" t="s">
        <v>18</v>
      </c>
      <c r="L815">
        <f>WEEKDAY(Table1[[#This Row],[Transaction_Date]],2)</f>
        <v>6</v>
      </c>
      <c r="M815">
        <f>IF(Table1[[#This Row],[Sale_Type]]="Buffet",1,0)</f>
        <v>0</v>
      </c>
    </row>
    <row r="816" spans="1:13" x14ac:dyDescent="0.2">
      <c r="A816" t="s">
        <v>1084</v>
      </c>
      <c r="B816" t="s">
        <v>33</v>
      </c>
      <c r="C816" s="1">
        <v>45969</v>
      </c>
      <c r="D816" t="s">
        <v>127</v>
      </c>
      <c r="E816" t="s">
        <v>14</v>
      </c>
      <c r="F816" t="s">
        <v>27</v>
      </c>
      <c r="G816" t="s">
        <v>16</v>
      </c>
      <c r="H816">
        <v>1</v>
      </c>
      <c r="I816">
        <v>56.94</v>
      </c>
      <c r="J816" t="s">
        <v>17</v>
      </c>
      <c r="K816" t="s">
        <v>18</v>
      </c>
      <c r="L816">
        <f>WEEKDAY(Table1[[#This Row],[Transaction_Date]],2)</f>
        <v>6</v>
      </c>
      <c r="M816">
        <f>IF(Table1[[#This Row],[Sale_Type]]="Buffet",1,0)</f>
        <v>0</v>
      </c>
    </row>
    <row r="817" spans="1:13" x14ac:dyDescent="0.2">
      <c r="A817" t="s">
        <v>1085</v>
      </c>
      <c r="B817" t="s">
        <v>192</v>
      </c>
      <c r="C817" s="1">
        <v>45969</v>
      </c>
      <c r="D817" t="s">
        <v>127</v>
      </c>
      <c r="E817" t="s">
        <v>14</v>
      </c>
      <c r="F817" t="s">
        <v>27</v>
      </c>
      <c r="G817" t="s">
        <v>16</v>
      </c>
      <c r="H817">
        <v>6</v>
      </c>
      <c r="I817">
        <v>144.96</v>
      </c>
      <c r="J817" t="s">
        <v>28</v>
      </c>
      <c r="K817" t="s">
        <v>21</v>
      </c>
      <c r="L817">
        <f>WEEKDAY(Table1[[#This Row],[Transaction_Date]],2)</f>
        <v>6</v>
      </c>
      <c r="M817">
        <f>IF(Table1[[#This Row],[Sale_Type]]="Buffet",1,0)</f>
        <v>0</v>
      </c>
    </row>
    <row r="818" spans="1:13" x14ac:dyDescent="0.2">
      <c r="A818" t="s">
        <v>1086</v>
      </c>
      <c r="B818" t="s">
        <v>154</v>
      </c>
      <c r="C818" s="1">
        <v>45969</v>
      </c>
      <c r="D818" t="s">
        <v>127</v>
      </c>
      <c r="E818" t="s">
        <v>14</v>
      </c>
      <c r="F818" t="s">
        <v>27</v>
      </c>
      <c r="G818" t="s">
        <v>16</v>
      </c>
      <c r="H818">
        <v>2</v>
      </c>
      <c r="I818">
        <v>45.79</v>
      </c>
      <c r="J818" t="s">
        <v>34</v>
      </c>
      <c r="K818" t="s">
        <v>18</v>
      </c>
      <c r="L818">
        <f>WEEKDAY(Table1[[#This Row],[Transaction_Date]],2)</f>
        <v>6</v>
      </c>
      <c r="M818">
        <f>IF(Table1[[#This Row],[Sale_Type]]="Buffet",1,0)</f>
        <v>0</v>
      </c>
    </row>
    <row r="819" spans="1:13" x14ac:dyDescent="0.2">
      <c r="A819" t="s">
        <v>1087</v>
      </c>
      <c r="B819" t="s">
        <v>454</v>
      </c>
      <c r="C819" s="1">
        <v>45969</v>
      </c>
      <c r="D819" t="s">
        <v>127</v>
      </c>
      <c r="E819" t="s">
        <v>14</v>
      </c>
      <c r="F819" t="s">
        <v>31</v>
      </c>
      <c r="G819" t="s">
        <v>16</v>
      </c>
      <c r="H819">
        <v>6</v>
      </c>
      <c r="I819">
        <v>221.97</v>
      </c>
      <c r="J819" t="s">
        <v>17</v>
      </c>
      <c r="K819" t="s">
        <v>18</v>
      </c>
      <c r="L819">
        <f>WEEKDAY(Table1[[#This Row],[Transaction_Date]],2)</f>
        <v>6</v>
      </c>
      <c r="M819">
        <f>IF(Table1[[#This Row],[Sale_Type]]="Buffet",1,0)</f>
        <v>0</v>
      </c>
    </row>
    <row r="820" spans="1:13" x14ac:dyDescent="0.2">
      <c r="A820" t="s">
        <v>1088</v>
      </c>
      <c r="B820" t="s">
        <v>1079</v>
      </c>
      <c r="C820" s="1">
        <v>45969</v>
      </c>
      <c r="D820" t="s">
        <v>127</v>
      </c>
      <c r="E820" t="s">
        <v>14</v>
      </c>
      <c r="F820" t="s">
        <v>31</v>
      </c>
      <c r="G820" t="s">
        <v>16</v>
      </c>
      <c r="H820">
        <v>4</v>
      </c>
      <c r="I820">
        <v>118.84</v>
      </c>
      <c r="J820" t="s">
        <v>34</v>
      </c>
      <c r="K820" t="s">
        <v>18</v>
      </c>
      <c r="L820">
        <f>WEEKDAY(Table1[[#This Row],[Transaction_Date]],2)</f>
        <v>6</v>
      </c>
      <c r="M820">
        <f>IF(Table1[[#This Row],[Sale_Type]]="Buffet",1,0)</f>
        <v>0</v>
      </c>
    </row>
    <row r="821" spans="1:13" x14ac:dyDescent="0.2">
      <c r="A821" t="s">
        <v>1089</v>
      </c>
      <c r="B821" t="s">
        <v>390</v>
      </c>
      <c r="C821" s="1">
        <v>45969</v>
      </c>
      <c r="D821" t="s">
        <v>127</v>
      </c>
      <c r="E821" t="s">
        <v>14</v>
      </c>
      <c r="F821" t="s">
        <v>31</v>
      </c>
      <c r="G821" t="s">
        <v>16</v>
      </c>
      <c r="H821">
        <v>2</v>
      </c>
      <c r="I821">
        <v>39.54</v>
      </c>
      <c r="J821" t="s">
        <v>17</v>
      </c>
      <c r="K821" t="s">
        <v>18</v>
      </c>
      <c r="L821">
        <f>WEEKDAY(Table1[[#This Row],[Transaction_Date]],2)</f>
        <v>6</v>
      </c>
      <c r="M821">
        <f>IF(Table1[[#This Row],[Sale_Type]]="Buffet",1,0)</f>
        <v>0</v>
      </c>
    </row>
    <row r="822" spans="1:13" x14ac:dyDescent="0.2">
      <c r="A822" t="s">
        <v>1090</v>
      </c>
      <c r="B822" t="s">
        <v>440</v>
      </c>
      <c r="C822" s="1">
        <v>45969</v>
      </c>
      <c r="D822" t="s">
        <v>127</v>
      </c>
      <c r="E822" t="s">
        <v>14</v>
      </c>
      <c r="F822" t="s">
        <v>31</v>
      </c>
      <c r="G822" t="s">
        <v>16</v>
      </c>
      <c r="H822">
        <v>7</v>
      </c>
      <c r="I822">
        <v>203.79</v>
      </c>
      <c r="J822" t="s">
        <v>17</v>
      </c>
      <c r="K822" t="s">
        <v>18</v>
      </c>
      <c r="L822">
        <f>WEEKDAY(Table1[[#This Row],[Transaction_Date]],2)</f>
        <v>6</v>
      </c>
      <c r="M822">
        <f>IF(Table1[[#This Row],[Sale_Type]]="Buffet",1,0)</f>
        <v>0</v>
      </c>
    </row>
    <row r="823" spans="1:13" x14ac:dyDescent="0.2">
      <c r="A823" t="s">
        <v>1091</v>
      </c>
      <c r="B823" t="s">
        <v>476</v>
      </c>
      <c r="C823" s="1">
        <v>45969</v>
      </c>
      <c r="D823" t="s">
        <v>127</v>
      </c>
      <c r="E823" t="s">
        <v>14</v>
      </c>
      <c r="F823" t="s">
        <v>40</v>
      </c>
      <c r="G823" t="s">
        <v>16</v>
      </c>
      <c r="H823">
        <v>2</v>
      </c>
      <c r="I823">
        <v>57.38</v>
      </c>
      <c r="J823" t="s">
        <v>17</v>
      </c>
      <c r="K823" t="s">
        <v>18</v>
      </c>
      <c r="L823">
        <f>WEEKDAY(Table1[[#This Row],[Transaction_Date]],2)</f>
        <v>6</v>
      </c>
      <c r="M823">
        <f>IF(Table1[[#This Row],[Sale_Type]]="Buffet",1,0)</f>
        <v>0</v>
      </c>
    </row>
    <row r="824" spans="1:13" x14ac:dyDescent="0.2">
      <c r="A824" t="s">
        <v>1092</v>
      </c>
      <c r="B824" t="s">
        <v>144</v>
      </c>
      <c r="C824" s="1">
        <v>45969</v>
      </c>
      <c r="D824" t="s">
        <v>127</v>
      </c>
      <c r="E824" t="s">
        <v>14</v>
      </c>
      <c r="F824" t="s">
        <v>40</v>
      </c>
      <c r="G824" t="s">
        <v>16</v>
      </c>
      <c r="H824">
        <v>4</v>
      </c>
      <c r="I824">
        <v>169.71</v>
      </c>
      <c r="J824" t="s">
        <v>28</v>
      </c>
      <c r="K824" t="s">
        <v>18</v>
      </c>
      <c r="L824">
        <f>WEEKDAY(Table1[[#This Row],[Transaction_Date]],2)</f>
        <v>6</v>
      </c>
      <c r="M824">
        <f>IF(Table1[[#This Row],[Sale_Type]]="Buffet",1,0)</f>
        <v>0</v>
      </c>
    </row>
    <row r="825" spans="1:13" x14ac:dyDescent="0.2">
      <c r="A825" t="s">
        <v>1093</v>
      </c>
      <c r="B825" t="s">
        <v>142</v>
      </c>
      <c r="C825" s="1">
        <v>45969</v>
      </c>
      <c r="D825" t="s">
        <v>127</v>
      </c>
      <c r="E825" t="s">
        <v>14</v>
      </c>
      <c r="F825" t="s">
        <v>40</v>
      </c>
      <c r="G825" t="s">
        <v>16</v>
      </c>
      <c r="H825">
        <v>6</v>
      </c>
      <c r="I825">
        <v>105.96</v>
      </c>
      <c r="J825" t="s">
        <v>34</v>
      </c>
      <c r="K825" t="s">
        <v>21</v>
      </c>
      <c r="L825">
        <f>WEEKDAY(Table1[[#This Row],[Transaction_Date]],2)</f>
        <v>6</v>
      </c>
      <c r="M825">
        <f>IF(Table1[[#This Row],[Sale_Type]]="Buffet",1,0)</f>
        <v>0</v>
      </c>
    </row>
    <row r="826" spans="1:13" x14ac:dyDescent="0.2">
      <c r="A826" t="s">
        <v>1094</v>
      </c>
      <c r="B826" t="s">
        <v>579</v>
      </c>
      <c r="C826" s="1">
        <v>45969</v>
      </c>
      <c r="D826" t="s">
        <v>127</v>
      </c>
      <c r="E826" t="s">
        <v>14</v>
      </c>
      <c r="F826" t="s">
        <v>40</v>
      </c>
      <c r="G826" t="s">
        <v>16</v>
      </c>
      <c r="H826">
        <v>2</v>
      </c>
      <c r="I826">
        <v>71.44</v>
      </c>
      <c r="J826" t="s">
        <v>28</v>
      </c>
      <c r="K826" t="s">
        <v>18</v>
      </c>
      <c r="L826">
        <f>WEEKDAY(Table1[[#This Row],[Transaction_Date]],2)</f>
        <v>6</v>
      </c>
      <c r="M826">
        <f>IF(Table1[[#This Row],[Sale_Type]]="Buffet",1,0)</f>
        <v>0</v>
      </c>
    </row>
    <row r="827" spans="1:13" x14ac:dyDescent="0.2">
      <c r="A827" t="s">
        <v>1095</v>
      </c>
      <c r="B827" t="s">
        <v>222</v>
      </c>
      <c r="C827" s="1">
        <v>45969</v>
      </c>
      <c r="D827" t="s">
        <v>127</v>
      </c>
      <c r="E827" t="s">
        <v>14</v>
      </c>
      <c r="F827" t="s">
        <v>40</v>
      </c>
      <c r="G827" t="s">
        <v>16</v>
      </c>
      <c r="H827">
        <v>1</v>
      </c>
      <c r="I827">
        <v>38.79</v>
      </c>
      <c r="J827" t="s">
        <v>17</v>
      </c>
      <c r="K827" t="s">
        <v>21</v>
      </c>
      <c r="L827">
        <f>WEEKDAY(Table1[[#This Row],[Transaction_Date]],2)</f>
        <v>6</v>
      </c>
      <c r="M827">
        <f>IF(Table1[[#This Row],[Sale_Type]]="Buffet",1,0)</f>
        <v>0</v>
      </c>
    </row>
    <row r="828" spans="1:13" x14ac:dyDescent="0.2">
      <c r="A828" t="s">
        <v>1096</v>
      </c>
      <c r="B828" t="s">
        <v>202</v>
      </c>
      <c r="C828" s="1">
        <v>45969</v>
      </c>
      <c r="D828" t="s">
        <v>127</v>
      </c>
      <c r="E828" t="s">
        <v>14</v>
      </c>
      <c r="F828" t="s">
        <v>40</v>
      </c>
      <c r="G828" t="s">
        <v>16</v>
      </c>
      <c r="H828">
        <v>2</v>
      </c>
      <c r="I828">
        <v>63.17</v>
      </c>
      <c r="J828" t="s">
        <v>17</v>
      </c>
      <c r="K828" t="s">
        <v>18</v>
      </c>
      <c r="L828">
        <f>WEEKDAY(Table1[[#This Row],[Transaction_Date]],2)</f>
        <v>6</v>
      </c>
      <c r="M828">
        <f>IF(Table1[[#This Row],[Sale_Type]]="Buffet",1,0)</f>
        <v>0</v>
      </c>
    </row>
    <row r="829" spans="1:13" x14ac:dyDescent="0.2">
      <c r="A829" t="s">
        <v>1097</v>
      </c>
      <c r="B829" t="s">
        <v>522</v>
      </c>
      <c r="C829" s="1">
        <v>45969</v>
      </c>
      <c r="D829" t="s">
        <v>127</v>
      </c>
      <c r="E829" t="s">
        <v>43</v>
      </c>
      <c r="F829" t="s">
        <v>44</v>
      </c>
      <c r="G829" t="s">
        <v>16</v>
      </c>
      <c r="H829">
        <v>1</v>
      </c>
      <c r="I829">
        <v>19.96</v>
      </c>
      <c r="J829" t="s">
        <v>28</v>
      </c>
      <c r="K829" t="s">
        <v>18</v>
      </c>
      <c r="L829">
        <f>WEEKDAY(Table1[[#This Row],[Transaction_Date]],2)</f>
        <v>6</v>
      </c>
      <c r="M829">
        <f>IF(Table1[[#This Row],[Sale_Type]]="Buffet",1,0)</f>
        <v>0</v>
      </c>
    </row>
    <row r="830" spans="1:13" x14ac:dyDescent="0.2">
      <c r="A830" t="s">
        <v>1098</v>
      </c>
      <c r="B830" t="s">
        <v>398</v>
      </c>
      <c r="C830" s="1">
        <v>45969</v>
      </c>
      <c r="D830" t="s">
        <v>127</v>
      </c>
      <c r="E830" t="s">
        <v>43</v>
      </c>
      <c r="F830" t="s">
        <v>44</v>
      </c>
      <c r="G830" t="s">
        <v>16</v>
      </c>
      <c r="H830">
        <v>3</v>
      </c>
      <c r="I830">
        <v>54.41</v>
      </c>
      <c r="J830" t="s">
        <v>34</v>
      </c>
      <c r="K830" t="s">
        <v>18</v>
      </c>
      <c r="L830">
        <f>WEEKDAY(Table1[[#This Row],[Transaction_Date]],2)</f>
        <v>6</v>
      </c>
      <c r="M830">
        <f>IF(Table1[[#This Row],[Sale_Type]]="Buffet",1,0)</f>
        <v>0</v>
      </c>
    </row>
    <row r="831" spans="1:13" x14ac:dyDescent="0.2">
      <c r="A831" t="s">
        <v>1099</v>
      </c>
      <c r="B831" t="s">
        <v>459</v>
      </c>
      <c r="C831" s="1">
        <v>45969</v>
      </c>
      <c r="D831" t="s">
        <v>127</v>
      </c>
      <c r="E831" t="s">
        <v>43</v>
      </c>
      <c r="F831" t="s">
        <v>50</v>
      </c>
      <c r="G831" t="s">
        <v>16</v>
      </c>
      <c r="H831">
        <v>2</v>
      </c>
      <c r="I831">
        <v>34.78</v>
      </c>
      <c r="J831" t="s">
        <v>28</v>
      </c>
      <c r="K831" t="s">
        <v>18</v>
      </c>
      <c r="L831">
        <f>WEEKDAY(Table1[[#This Row],[Transaction_Date]],2)</f>
        <v>6</v>
      </c>
      <c r="M831">
        <f>IF(Table1[[#This Row],[Sale_Type]]="Buffet",1,0)</f>
        <v>0</v>
      </c>
    </row>
    <row r="832" spans="1:13" x14ac:dyDescent="0.2">
      <c r="A832" t="s">
        <v>1100</v>
      </c>
      <c r="B832" t="s">
        <v>98</v>
      </c>
      <c r="C832" s="1">
        <v>45969</v>
      </c>
      <c r="D832" t="s">
        <v>127</v>
      </c>
      <c r="E832" t="s">
        <v>43</v>
      </c>
      <c r="F832" t="s">
        <v>50</v>
      </c>
      <c r="G832" t="s">
        <v>16</v>
      </c>
      <c r="H832">
        <v>2</v>
      </c>
      <c r="I832">
        <v>52.84</v>
      </c>
      <c r="J832" t="s">
        <v>17</v>
      </c>
      <c r="K832" t="s">
        <v>18</v>
      </c>
      <c r="L832">
        <f>WEEKDAY(Table1[[#This Row],[Transaction_Date]],2)</f>
        <v>6</v>
      </c>
      <c r="M832">
        <f>IF(Table1[[#This Row],[Sale_Type]]="Buffet",1,0)</f>
        <v>0</v>
      </c>
    </row>
    <row r="833" spans="1:13" x14ac:dyDescent="0.2">
      <c r="A833" t="s">
        <v>1101</v>
      </c>
      <c r="B833" t="s">
        <v>512</v>
      </c>
      <c r="C833" s="1">
        <v>45970</v>
      </c>
      <c r="D833" t="s">
        <v>171</v>
      </c>
      <c r="E833" t="s">
        <v>14</v>
      </c>
      <c r="F833" t="s">
        <v>15</v>
      </c>
      <c r="G833" t="s">
        <v>16</v>
      </c>
      <c r="H833">
        <v>4</v>
      </c>
      <c r="I833">
        <v>125.49</v>
      </c>
      <c r="J833" t="s">
        <v>34</v>
      </c>
      <c r="K833" t="s">
        <v>21</v>
      </c>
      <c r="L833">
        <f>WEEKDAY(Table1[[#This Row],[Transaction_Date]],2)</f>
        <v>7</v>
      </c>
      <c r="M833">
        <f>IF(Table1[[#This Row],[Sale_Type]]="Buffet",1,0)</f>
        <v>0</v>
      </c>
    </row>
    <row r="834" spans="1:13" x14ac:dyDescent="0.2">
      <c r="A834" t="s">
        <v>1102</v>
      </c>
      <c r="B834" t="s">
        <v>262</v>
      </c>
      <c r="C834" s="1">
        <v>45970</v>
      </c>
      <c r="D834" t="s">
        <v>171</v>
      </c>
      <c r="E834" t="s">
        <v>14</v>
      </c>
      <c r="F834" t="s">
        <v>24</v>
      </c>
      <c r="G834" t="s">
        <v>16</v>
      </c>
      <c r="H834">
        <v>1</v>
      </c>
      <c r="I834">
        <v>35.67</v>
      </c>
      <c r="J834" t="s">
        <v>34</v>
      </c>
      <c r="K834" t="s">
        <v>21</v>
      </c>
      <c r="L834">
        <f>WEEKDAY(Table1[[#This Row],[Transaction_Date]],2)</f>
        <v>7</v>
      </c>
      <c r="M834">
        <f>IF(Table1[[#This Row],[Sale_Type]]="Buffet",1,0)</f>
        <v>0</v>
      </c>
    </row>
    <row r="835" spans="1:13" x14ac:dyDescent="0.2">
      <c r="A835" t="s">
        <v>1103</v>
      </c>
      <c r="B835" t="s">
        <v>315</v>
      </c>
      <c r="C835" s="1">
        <v>45970</v>
      </c>
      <c r="D835" t="s">
        <v>171</v>
      </c>
      <c r="E835" t="s">
        <v>14</v>
      </c>
      <c r="F835" t="s">
        <v>24</v>
      </c>
      <c r="G835" t="s">
        <v>16</v>
      </c>
      <c r="H835">
        <v>1</v>
      </c>
      <c r="I835">
        <v>26.07</v>
      </c>
      <c r="J835" t="s">
        <v>28</v>
      </c>
      <c r="K835" t="s">
        <v>18</v>
      </c>
      <c r="L835">
        <f>WEEKDAY(Table1[[#This Row],[Transaction_Date]],2)</f>
        <v>7</v>
      </c>
      <c r="M835">
        <f>IF(Table1[[#This Row],[Sale_Type]]="Buffet",1,0)</f>
        <v>0</v>
      </c>
    </row>
    <row r="836" spans="1:13" x14ac:dyDescent="0.2">
      <c r="A836" t="s">
        <v>1104</v>
      </c>
      <c r="B836" t="s">
        <v>68</v>
      </c>
      <c r="C836" s="1">
        <v>45970</v>
      </c>
      <c r="D836" t="s">
        <v>171</v>
      </c>
      <c r="E836" t="s">
        <v>14</v>
      </c>
      <c r="F836" t="s">
        <v>24</v>
      </c>
      <c r="G836" t="s">
        <v>16</v>
      </c>
      <c r="H836">
        <v>5</v>
      </c>
      <c r="I836">
        <v>147.59</v>
      </c>
      <c r="J836" t="s">
        <v>28</v>
      </c>
      <c r="K836" t="s">
        <v>18</v>
      </c>
      <c r="L836">
        <f>WEEKDAY(Table1[[#This Row],[Transaction_Date]],2)</f>
        <v>7</v>
      </c>
      <c r="M836">
        <f>IF(Table1[[#This Row],[Sale_Type]]="Buffet",1,0)</f>
        <v>0</v>
      </c>
    </row>
    <row r="837" spans="1:13" x14ac:dyDescent="0.2">
      <c r="A837" t="s">
        <v>1105</v>
      </c>
      <c r="B837" t="s">
        <v>163</v>
      </c>
      <c r="C837" s="1">
        <v>45970</v>
      </c>
      <c r="D837" t="s">
        <v>171</v>
      </c>
      <c r="E837" t="s">
        <v>14</v>
      </c>
      <c r="F837" t="s">
        <v>27</v>
      </c>
      <c r="G837" t="s">
        <v>16</v>
      </c>
      <c r="H837">
        <v>6</v>
      </c>
      <c r="I837">
        <v>118.14</v>
      </c>
      <c r="J837" t="s">
        <v>17</v>
      </c>
      <c r="K837" t="s">
        <v>18</v>
      </c>
      <c r="L837">
        <f>WEEKDAY(Table1[[#This Row],[Transaction_Date]],2)</f>
        <v>7</v>
      </c>
      <c r="M837">
        <f>IF(Table1[[#This Row],[Sale_Type]]="Buffet",1,0)</f>
        <v>0</v>
      </c>
    </row>
    <row r="838" spans="1:13" x14ac:dyDescent="0.2">
      <c r="A838" t="s">
        <v>1106</v>
      </c>
      <c r="B838" t="s">
        <v>79</v>
      </c>
      <c r="C838" s="1">
        <v>45970</v>
      </c>
      <c r="D838" t="s">
        <v>171</v>
      </c>
      <c r="E838" t="s">
        <v>14</v>
      </c>
      <c r="F838" t="s">
        <v>27</v>
      </c>
      <c r="G838" t="s">
        <v>16</v>
      </c>
      <c r="H838">
        <v>6</v>
      </c>
      <c r="I838">
        <v>115.99</v>
      </c>
      <c r="J838" t="s">
        <v>17</v>
      </c>
      <c r="K838" t="s">
        <v>18</v>
      </c>
      <c r="L838">
        <f>WEEKDAY(Table1[[#This Row],[Transaction_Date]],2)</f>
        <v>7</v>
      </c>
      <c r="M838">
        <f>IF(Table1[[#This Row],[Sale_Type]]="Buffet",1,0)</f>
        <v>0</v>
      </c>
    </row>
    <row r="839" spans="1:13" x14ac:dyDescent="0.2">
      <c r="A839" t="s">
        <v>1107</v>
      </c>
      <c r="B839" t="s">
        <v>150</v>
      </c>
      <c r="C839" s="1">
        <v>45970</v>
      </c>
      <c r="D839" t="s">
        <v>171</v>
      </c>
      <c r="E839" t="s">
        <v>14</v>
      </c>
      <c r="F839" t="s">
        <v>27</v>
      </c>
      <c r="G839" t="s">
        <v>16</v>
      </c>
      <c r="H839">
        <v>2</v>
      </c>
      <c r="I839">
        <v>62.44</v>
      </c>
      <c r="J839" t="s">
        <v>34</v>
      </c>
      <c r="K839" t="s">
        <v>21</v>
      </c>
      <c r="L839">
        <f>WEEKDAY(Table1[[#This Row],[Transaction_Date]],2)</f>
        <v>7</v>
      </c>
      <c r="M839">
        <f>IF(Table1[[#This Row],[Sale_Type]]="Buffet",1,0)</f>
        <v>0</v>
      </c>
    </row>
    <row r="840" spans="1:13" x14ac:dyDescent="0.2">
      <c r="A840" t="s">
        <v>1108</v>
      </c>
      <c r="B840" t="s">
        <v>254</v>
      </c>
      <c r="C840" s="1">
        <v>45970</v>
      </c>
      <c r="D840" t="s">
        <v>171</v>
      </c>
      <c r="E840" t="s">
        <v>14</v>
      </c>
      <c r="F840" t="s">
        <v>27</v>
      </c>
      <c r="G840" t="s">
        <v>16</v>
      </c>
      <c r="H840">
        <v>2</v>
      </c>
      <c r="I840">
        <v>80.98</v>
      </c>
      <c r="J840" t="s">
        <v>34</v>
      </c>
      <c r="K840" t="s">
        <v>18</v>
      </c>
      <c r="L840">
        <f>WEEKDAY(Table1[[#This Row],[Transaction_Date]],2)</f>
        <v>7</v>
      </c>
      <c r="M840">
        <f>IF(Table1[[#This Row],[Sale_Type]]="Buffet",1,0)</f>
        <v>0</v>
      </c>
    </row>
    <row r="841" spans="1:13" x14ac:dyDescent="0.2">
      <c r="A841" t="s">
        <v>1109</v>
      </c>
      <c r="B841" t="s">
        <v>142</v>
      </c>
      <c r="C841" s="1">
        <v>45970</v>
      </c>
      <c r="D841" t="s">
        <v>171</v>
      </c>
      <c r="E841" t="s">
        <v>14</v>
      </c>
      <c r="F841" t="s">
        <v>27</v>
      </c>
      <c r="G841" t="s">
        <v>16</v>
      </c>
      <c r="H841">
        <v>4</v>
      </c>
      <c r="I841">
        <v>77.22</v>
      </c>
      <c r="J841" t="s">
        <v>17</v>
      </c>
      <c r="K841" t="s">
        <v>21</v>
      </c>
      <c r="L841">
        <f>WEEKDAY(Table1[[#This Row],[Transaction_Date]],2)</f>
        <v>7</v>
      </c>
      <c r="M841">
        <f>IF(Table1[[#This Row],[Sale_Type]]="Buffet",1,0)</f>
        <v>0</v>
      </c>
    </row>
    <row r="842" spans="1:13" x14ac:dyDescent="0.2">
      <c r="A842" t="s">
        <v>1110</v>
      </c>
      <c r="B842" t="s">
        <v>356</v>
      </c>
      <c r="C842" s="1">
        <v>45970</v>
      </c>
      <c r="D842" t="s">
        <v>171</v>
      </c>
      <c r="E842" t="s">
        <v>14</v>
      </c>
      <c r="F842" t="s">
        <v>27</v>
      </c>
      <c r="G842" t="s">
        <v>16</v>
      </c>
      <c r="H842">
        <v>2</v>
      </c>
      <c r="I842">
        <v>27.54</v>
      </c>
      <c r="J842" t="s">
        <v>28</v>
      </c>
      <c r="K842" t="s">
        <v>18</v>
      </c>
      <c r="L842">
        <f>WEEKDAY(Table1[[#This Row],[Transaction_Date]],2)</f>
        <v>7</v>
      </c>
      <c r="M842">
        <f>IF(Table1[[#This Row],[Sale_Type]]="Buffet",1,0)</f>
        <v>0</v>
      </c>
    </row>
    <row r="843" spans="1:13" x14ac:dyDescent="0.2">
      <c r="A843" t="s">
        <v>1111</v>
      </c>
      <c r="B843" t="s">
        <v>70</v>
      </c>
      <c r="C843" s="1">
        <v>45970</v>
      </c>
      <c r="D843" t="s">
        <v>171</v>
      </c>
      <c r="E843" t="s">
        <v>14</v>
      </c>
      <c r="F843" t="s">
        <v>31</v>
      </c>
      <c r="G843" t="s">
        <v>16</v>
      </c>
      <c r="H843">
        <v>5</v>
      </c>
      <c r="I843">
        <v>162.72</v>
      </c>
      <c r="J843" t="s">
        <v>17</v>
      </c>
      <c r="K843" t="s">
        <v>18</v>
      </c>
      <c r="L843">
        <f>WEEKDAY(Table1[[#This Row],[Transaction_Date]],2)</f>
        <v>7</v>
      </c>
      <c r="M843">
        <f>IF(Table1[[#This Row],[Sale_Type]]="Buffet",1,0)</f>
        <v>0</v>
      </c>
    </row>
    <row r="844" spans="1:13" x14ac:dyDescent="0.2">
      <c r="A844" t="s">
        <v>1112</v>
      </c>
      <c r="B844" t="s">
        <v>252</v>
      </c>
      <c r="C844" s="1">
        <v>45970</v>
      </c>
      <c r="D844" t="s">
        <v>171</v>
      </c>
      <c r="E844" t="s">
        <v>14</v>
      </c>
      <c r="F844" t="s">
        <v>31</v>
      </c>
      <c r="G844" t="s">
        <v>16</v>
      </c>
      <c r="H844">
        <v>3</v>
      </c>
      <c r="I844">
        <v>100.34</v>
      </c>
      <c r="J844" t="s">
        <v>17</v>
      </c>
      <c r="K844" t="s">
        <v>21</v>
      </c>
      <c r="L844">
        <f>WEEKDAY(Table1[[#This Row],[Transaction_Date]],2)</f>
        <v>7</v>
      </c>
      <c r="M844">
        <f>IF(Table1[[#This Row],[Sale_Type]]="Buffet",1,0)</f>
        <v>0</v>
      </c>
    </row>
    <row r="845" spans="1:13" x14ac:dyDescent="0.2">
      <c r="A845" t="s">
        <v>1113</v>
      </c>
      <c r="B845" t="s">
        <v>115</v>
      </c>
      <c r="C845" s="1">
        <v>45970</v>
      </c>
      <c r="D845" t="s">
        <v>171</v>
      </c>
      <c r="E845" t="s">
        <v>14</v>
      </c>
      <c r="F845" t="s">
        <v>31</v>
      </c>
      <c r="G845" t="s">
        <v>16</v>
      </c>
      <c r="H845">
        <v>3</v>
      </c>
      <c r="I845">
        <v>64.78</v>
      </c>
      <c r="J845" t="s">
        <v>28</v>
      </c>
      <c r="K845" t="s">
        <v>18</v>
      </c>
      <c r="L845">
        <f>WEEKDAY(Table1[[#This Row],[Transaction_Date]],2)</f>
        <v>7</v>
      </c>
      <c r="M845">
        <f>IF(Table1[[#This Row],[Sale_Type]]="Buffet",1,0)</f>
        <v>0</v>
      </c>
    </row>
    <row r="846" spans="1:13" x14ac:dyDescent="0.2">
      <c r="A846" t="s">
        <v>1114</v>
      </c>
      <c r="B846" t="s">
        <v>61</v>
      </c>
      <c r="C846" s="1">
        <v>45970</v>
      </c>
      <c r="D846" t="s">
        <v>171</v>
      </c>
      <c r="E846" t="s">
        <v>14</v>
      </c>
      <c r="F846" t="s">
        <v>31</v>
      </c>
      <c r="G846" t="s">
        <v>16</v>
      </c>
      <c r="H846">
        <v>5</v>
      </c>
      <c r="I846">
        <v>138.03</v>
      </c>
      <c r="J846" t="s">
        <v>17</v>
      </c>
      <c r="K846" t="s">
        <v>18</v>
      </c>
      <c r="L846">
        <f>WEEKDAY(Table1[[#This Row],[Transaction_Date]],2)</f>
        <v>7</v>
      </c>
      <c r="M846">
        <f>IF(Table1[[#This Row],[Sale_Type]]="Buffet",1,0)</f>
        <v>0</v>
      </c>
    </row>
    <row r="847" spans="1:13" x14ac:dyDescent="0.2">
      <c r="A847" t="s">
        <v>1115</v>
      </c>
      <c r="B847" t="s">
        <v>684</v>
      </c>
      <c r="C847" s="1">
        <v>45970</v>
      </c>
      <c r="D847" t="s">
        <v>171</v>
      </c>
      <c r="E847" t="s">
        <v>14</v>
      </c>
      <c r="F847" t="s">
        <v>31</v>
      </c>
      <c r="G847" t="s">
        <v>16</v>
      </c>
      <c r="H847">
        <v>2</v>
      </c>
      <c r="I847">
        <v>56.74</v>
      </c>
      <c r="J847" t="s">
        <v>17</v>
      </c>
      <c r="K847" t="s">
        <v>18</v>
      </c>
      <c r="L847">
        <f>WEEKDAY(Table1[[#This Row],[Transaction_Date]],2)</f>
        <v>7</v>
      </c>
      <c r="M847">
        <f>IF(Table1[[#This Row],[Sale_Type]]="Buffet",1,0)</f>
        <v>0</v>
      </c>
    </row>
    <row r="848" spans="1:13" x14ac:dyDescent="0.2">
      <c r="A848" t="s">
        <v>1116</v>
      </c>
      <c r="B848" t="s">
        <v>188</v>
      </c>
      <c r="C848" s="1">
        <v>45970</v>
      </c>
      <c r="D848" t="s">
        <v>171</v>
      </c>
      <c r="E848" t="s">
        <v>14</v>
      </c>
      <c r="F848" t="s">
        <v>40</v>
      </c>
      <c r="G848" t="s">
        <v>16</v>
      </c>
      <c r="H848">
        <v>2</v>
      </c>
      <c r="I848">
        <v>33.17</v>
      </c>
      <c r="J848" t="s">
        <v>17</v>
      </c>
      <c r="K848" t="s">
        <v>18</v>
      </c>
      <c r="L848">
        <f>WEEKDAY(Table1[[#This Row],[Transaction_Date]],2)</f>
        <v>7</v>
      </c>
      <c r="M848">
        <f>IF(Table1[[#This Row],[Sale_Type]]="Buffet",1,0)</f>
        <v>0</v>
      </c>
    </row>
    <row r="849" spans="1:13" x14ac:dyDescent="0.2">
      <c r="A849" t="s">
        <v>1117</v>
      </c>
      <c r="B849" t="s">
        <v>730</v>
      </c>
      <c r="C849" s="1">
        <v>45970</v>
      </c>
      <c r="D849" t="s">
        <v>171</v>
      </c>
      <c r="E849" t="s">
        <v>14</v>
      </c>
      <c r="F849" t="s">
        <v>40</v>
      </c>
      <c r="G849" t="s">
        <v>16</v>
      </c>
      <c r="H849">
        <v>6</v>
      </c>
      <c r="I849">
        <v>222.03</v>
      </c>
      <c r="J849" t="s">
        <v>17</v>
      </c>
      <c r="K849" t="s">
        <v>18</v>
      </c>
      <c r="L849">
        <f>WEEKDAY(Table1[[#This Row],[Transaction_Date]],2)</f>
        <v>7</v>
      </c>
      <c r="M849">
        <f>IF(Table1[[#This Row],[Sale_Type]]="Buffet",1,0)</f>
        <v>0</v>
      </c>
    </row>
    <row r="850" spans="1:13" x14ac:dyDescent="0.2">
      <c r="A850" t="s">
        <v>1118</v>
      </c>
      <c r="B850" t="s">
        <v>637</v>
      </c>
      <c r="C850" s="1">
        <v>45970</v>
      </c>
      <c r="D850" t="s">
        <v>171</v>
      </c>
      <c r="E850" t="s">
        <v>14</v>
      </c>
      <c r="F850" t="s">
        <v>40</v>
      </c>
      <c r="G850" t="s">
        <v>16</v>
      </c>
      <c r="H850">
        <v>1</v>
      </c>
      <c r="I850">
        <v>34.42</v>
      </c>
      <c r="J850" t="s">
        <v>17</v>
      </c>
      <c r="K850" t="s">
        <v>21</v>
      </c>
      <c r="L850">
        <f>WEEKDAY(Table1[[#This Row],[Transaction_Date]],2)</f>
        <v>7</v>
      </c>
      <c r="M850">
        <f>IF(Table1[[#This Row],[Sale_Type]]="Buffet",1,0)</f>
        <v>0</v>
      </c>
    </row>
    <row r="851" spans="1:13" x14ac:dyDescent="0.2">
      <c r="A851" t="s">
        <v>1119</v>
      </c>
      <c r="B851" t="s">
        <v>283</v>
      </c>
      <c r="C851" s="1">
        <v>45970</v>
      </c>
      <c r="D851" t="s">
        <v>171</v>
      </c>
      <c r="E851" t="s">
        <v>43</v>
      </c>
      <c r="F851" t="s">
        <v>53</v>
      </c>
      <c r="G851" t="s">
        <v>16</v>
      </c>
      <c r="H851">
        <v>4</v>
      </c>
      <c r="I851">
        <v>103.56</v>
      </c>
      <c r="J851" t="s">
        <v>17</v>
      </c>
      <c r="K851" t="s">
        <v>18</v>
      </c>
      <c r="L851">
        <f>WEEKDAY(Table1[[#This Row],[Transaction_Date]],2)</f>
        <v>7</v>
      </c>
      <c r="M851">
        <f>IF(Table1[[#This Row],[Sale_Type]]="Buffet",1,0)</f>
        <v>0</v>
      </c>
    </row>
    <row r="852" spans="1:13" x14ac:dyDescent="0.2">
      <c r="A852" t="s">
        <v>1120</v>
      </c>
      <c r="B852" t="s">
        <v>235</v>
      </c>
      <c r="C852" s="1">
        <v>45970</v>
      </c>
      <c r="D852" t="s">
        <v>171</v>
      </c>
      <c r="E852" t="s">
        <v>43</v>
      </c>
      <c r="F852" t="s">
        <v>57</v>
      </c>
      <c r="G852" t="s">
        <v>16</v>
      </c>
      <c r="H852">
        <v>5</v>
      </c>
      <c r="I852">
        <v>124.25</v>
      </c>
      <c r="J852" t="s">
        <v>17</v>
      </c>
      <c r="K852" t="s">
        <v>18</v>
      </c>
      <c r="L852">
        <f>WEEKDAY(Table1[[#This Row],[Transaction_Date]],2)</f>
        <v>7</v>
      </c>
      <c r="M852">
        <f>IF(Table1[[#This Row],[Sale_Type]]="Buffet",1,0)</f>
        <v>0</v>
      </c>
    </row>
    <row r="853" spans="1:13" x14ac:dyDescent="0.2">
      <c r="A853" t="s">
        <v>1121</v>
      </c>
      <c r="B853" t="s">
        <v>630</v>
      </c>
      <c r="C853" s="1">
        <v>45971</v>
      </c>
      <c r="D853" t="s">
        <v>213</v>
      </c>
      <c r="E853" t="s">
        <v>14</v>
      </c>
      <c r="F853" t="s">
        <v>15</v>
      </c>
      <c r="G853" t="s">
        <v>16</v>
      </c>
      <c r="H853">
        <v>3</v>
      </c>
      <c r="I853">
        <v>64.12</v>
      </c>
      <c r="J853" t="s">
        <v>17</v>
      </c>
      <c r="K853" t="s">
        <v>18</v>
      </c>
      <c r="L853">
        <f>WEEKDAY(Table1[[#This Row],[Transaction_Date]],2)</f>
        <v>1</v>
      </c>
      <c r="M853">
        <f>IF(Table1[[#This Row],[Sale_Type]]="Buffet",1,0)</f>
        <v>0</v>
      </c>
    </row>
    <row r="854" spans="1:13" x14ac:dyDescent="0.2">
      <c r="A854" t="s">
        <v>1122</v>
      </c>
      <c r="B854" t="s">
        <v>272</v>
      </c>
      <c r="C854" s="1">
        <v>45971</v>
      </c>
      <c r="D854" t="s">
        <v>213</v>
      </c>
      <c r="E854" t="s">
        <v>14</v>
      </c>
      <c r="F854" t="s">
        <v>15</v>
      </c>
      <c r="G854" t="s">
        <v>16</v>
      </c>
      <c r="H854">
        <v>5</v>
      </c>
      <c r="I854">
        <v>170.99</v>
      </c>
      <c r="J854" t="s">
        <v>28</v>
      </c>
      <c r="K854" t="s">
        <v>18</v>
      </c>
      <c r="L854">
        <f>WEEKDAY(Table1[[#This Row],[Transaction_Date]],2)</f>
        <v>1</v>
      </c>
      <c r="M854">
        <f>IF(Table1[[#This Row],[Sale_Type]]="Buffet",1,0)</f>
        <v>0</v>
      </c>
    </row>
    <row r="855" spans="1:13" x14ac:dyDescent="0.2">
      <c r="A855" t="s">
        <v>1123</v>
      </c>
      <c r="B855" t="s">
        <v>59</v>
      </c>
      <c r="C855" s="1">
        <v>45971</v>
      </c>
      <c r="D855" t="s">
        <v>213</v>
      </c>
      <c r="E855" t="s">
        <v>14</v>
      </c>
      <c r="F855" t="s">
        <v>15</v>
      </c>
      <c r="G855" t="s">
        <v>16</v>
      </c>
      <c r="H855">
        <v>4</v>
      </c>
      <c r="I855">
        <v>81.010000000000005</v>
      </c>
      <c r="J855" t="s">
        <v>17</v>
      </c>
      <c r="K855" t="s">
        <v>18</v>
      </c>
      <c r="L855">
        <f>WEEKDAY(Table1[[#This Row],[Transaction_Date]],2)</f>
        <v>1</v>
      </c>
      <c r="M855">
        <f>IF(Table1[[#This Row],[Sale_Type]]="Buffet",1,0)</f>
        <v>0</v>
      </c>
    </row>
    <row r="856" spans="1:13" x14ac:dyDescent="0.2">
      <c r="A856" t="s">
        <v>1124</v>
      </c>
      <c r="B856" t="s">
        <v>150</v>
      </c>
      <c r="C856" s="1">
        <v>45971</v>
      </c>
      <c r="D856" t="s">
        <v>213</v>
      </c>
      <c r="E856" t="s">
        <v>14</v>
      </c>
      <c r="F856" t="s">
        <v>15</v>
      </c>
      <c r="G856" t="s">
        <v>16</v>
      </c>
      <c r="H856">
        <v>5</v>
      </c>
      <c r="I856">
        <v>119.46</v>
      </c>
      <c r="J856" t="s">
        <v>34</v>
      </c>
      <c r="K856" t="s">
        <v>21</v>
      </c>
      <c r="L856">
        <f>WEEKDAY(Table1[[#This Row],[Transaction_Date]],2)</f>
        <v>1</v>
      </c>
      <c r="M856">
        <f>IF(Table1[[#This Row],[Sale_Type]]="Buffet",1,0)</f>
        <v>0</v>
      </c>
    </row>
    <row r="857" spans="1:13" x14ac:dyDescent="0.2">
      <c r="A857" t="s">
        <v>1125</v>
      </c>
      <c r="B857" t="s">
        <v>518</v>
      </c>
      <c r="C857" s="1">
        <v>45971</v>
      </c>
      <c r="D857" t="s">
        <v>213</v>
      </c>
      <c r="E857" t="s">
        <v>14</v>
      </c>
      <c r="F857" t="s">
        <v>15</v>
      </c>
      <c r="G857" t="s">
        <v>16</v>
      </c>
      <c r="H857">
        <v>3</v>
      </c>
      <c r="I857">
        <v>118.17</v>
      </c>
      <c r="J857" t="s">
        <v>17</v>
      </c>
      <c r="K857" t="s">
        <v>18</v>
      </c>
      <c r="L857">
        <f>WEEKDAY(Table1[[#This Row],[Transaction_Date]],2)</f>
        <v>1</v>
      </c>
      <c r="M857">
        <f>IF(Table1[[#This Row],[Sale_Type]]="Buffet",1,0)</f>
        <v>0</v>
      </c>
    </row>
    <row r="858" spans="1:13" x14ac:dyDescent="0.2">
      <c r="A858" t="s">
        <v>1126</v>
      </c>
      <c r="B858" t="s">
        <v>438</v>
      </c>
      <c r="C858" s="1">
        <v>45971</v>
      </c>
      <c r="D858" t="s">
        <v>213</v>
      </c>
      <c r="E858" t="s">
        <v>14</v>
      </c>
      <c r="F858" t="s">
        <v>15</v>
      </c>
      <c r="G858" t="s">
        <v>16</v>
      </c>
      <c r="H858">
        <v>2</v>
      </c>
      <c r="I858">
        <v>58.95</v>
      </c>
      <c r="J858" t="s">
        <v>34</v>
      </c>
      <c r="K858" t="s">
        <v>18</v>
      </c>
      <c r="L858">
        <f>WEEKDAY(Table1[[#This Row],[Transaction_Date]],2)</f>
        <v>1</v>
      </c>
      <c r="M858">
        <f>IF(Table1[[#This Row],[Sale_Type]]="Buffet",1,0)</f>
        <v>0</v>
      </c>
    </row>
    <row r="859" spans="1:13" x14ac:dyDescent="0.2">
      <c r="A859" t="s">
        <v>1127</v>
      </c>
      <c r="B859" t="s">
        <v>152</v>
      </c>
      <c r="C859" s="1">
        <v>45971</v>
      </c>
      <c r="D859" t="s">
        <v>213</v>
      </c>
      <c r="E859" t="s">
        <v>14</v>
      </c>
      <c r="F859" t="s">
        <v>15</v>
      </c>
      <c r="G859" t="s">
        <v>16</v>
      </c>
      <c r="H859">
        <v>4</v>
      </c>
      <c r="I859">
        <v>121.19</v>
      </c>
      <c r="J859" t="s">
        <v>17</v>
      </c>
      <c r="K859" t="s">
        <v>18</v>
      </c>
      <c r="L859">
        <f>WEEKDAY(Table1[[#This Row],[Transaction_Date]],2)</f>
        <v>1</v>
      </c>
      <c r="M859">
        <f>IF(Table1[[#This Row],[Sale_Type]]="Buffet",1,0)</f>
        <v>0</v>
      </c>
    </row>
    <row r="860" spans="1:13" x14ac:dyDescent="0.2">
      <c r="A860" t="s">
        <v>1128</v>
      </c>
      <c r="B860" t="s">
        <v>300</v>
      </c>
      <c r="C860" s="1">
        <v>45971</v>
      </c>
      <c r="D860" t="s">
        <v>213</v>
      </c>
      <c r="E860" t="s">
        <v>14</v>
      </c>
      <c r="F860" t="s">
        <v>24</v>
      </c>
      <c r="G860" t="s">
        <v>16</v>
      </c>
      <c r="H860">
        <v>1</v>
      </c>
      <c r="I860">
        <v>25.08</v>
      </c>
      <c r="J860" t="s">
        <v>28</v>
      </c>
      <c r="K860" t="s">
        <v>18</v>
      </c>
      <c r="L860">
        <f>WEEKDAY(Table1[[#This Row],[Transaction_Date]],2)</f>
        <v>1</v>
      </c>
      <c r="M860">
        <f>IF(Table1[[#This Row],[Sale_Type]]="Buffet",1,0)</f>
        <v>0</v>
      </c>
    </row>
    <row r="861" spans="1:13" x14ac:dyDescent="0.2">
      <c r="A861" t="s">
        <v>1129</v>
      </c>
      <c r="B861" t="s">
        <v>122</v>
      </c>
      <c r="C861" s="1">
        <v>45971</v>
      </c>
      <c r="D861" t="s">
        <v>213</v>
      </c>
      <c r="E861" t="s">
        <v>14</v>
      </c>
      <c r="F861" t="s">
        <v>27</v>
      </c>
      <c r="G861" t="s">
        <v>16</v>
      </c>
      <c r="H861">
        <v>3</v>
      </c>
      <c r="I861">
        <v>75.83</v>
      </c>
      <c r="J861" t="s">
        <v>17</v>
      </c>
      <c r="K861" t="s">
        <v>18</v>
      </c>
      <c r="L861">
        <f>WEEKDAY(Table1[[#This Row],[Transaction_Date]],2)</f>
        <v>1</v>
      </c>
      <c r="M861">
        <f>IF(Table1[[#This Row],[Sale_Type]]="Buffet",1,0)</f>
        <v>0</v>
      </c>
    </row>
    <row r="862" spans="1:13" x14ac:dyDescent="0.2">
      <c r="A862" t="s">
        <v>1130</v>
      </c>
      <c r="B862" t="s">
        <v>288</v>
      </c>
      <c r="C862" s="1">
        <v>45971</v>
      </c>
      <c r="D862" t="s">
        <v>213</v>
      </c>
      <c r="E862" t="s">
        <v>14</v>
      </c>
      <c r="F862" t="s">
        <v>27</v>
      </c>
      <c r="G862" t="s">
        <v>16</v>
      </c>
      <c r="H862">
        <v>4</v>
      </c>
      <c r="I862">
        <v>53.1</v>
      </c>
      <c r="J862" t="s">
        <v>17</v>
      </c>
      <c r="K862" t="s">
        <v>21</v>
      </c>
      <c r="L862">
        <f>WEEKDAY(Table1[[#This Row],[Transaction_Date]],2)</f>
        <v>1</v>
      </c>
      <c r="M862">
        <f>IF(Table1[[#This Row],[Sale_Type]]="Buffet",1,0)</f>
        <v>0</v>
      </c>
    </row>
    <row r="863" spans="1:13" x14ac:dyDescent="0.2">
      <c r="A863" t="s">
        <v>1131</v>
      </c>
      <c r="B863" t="s">
        <v>348</v>
      </c>
      <c r="C863" s="1">
        <v>45971</v>
      </c>
      <c r="D863" t="s">
        <v>213</v>
      </c>
      <c r="E863" t="s">
        <v>14</v>
      </c>
      <c r="F863" t="s">
        <v>27</v>
      </c>
      <c r="G863" t="s">
        <v>16</v>
      </c>
      <c r="H863">
        <v>4</v>
      </c>
      <c r="I863">
        <v>69.23</v>
      </c>
      <c r="J863" t="s">
        <v>28</v>
      </c>
      <c r="K863" t="s">
        <v>18</v>
      </c>
      <c r="L863">
        <f>WEEKDAY(Table1[[#This Row],[Transaction_Date]],2)</f>
        <v>1</v>
      </c>
      <c r="M863">
        <f>IF(Table1[[#This Row],[Sale_Type]]="Buffet",1,0)</f>
        <v>0</v>
      </c>
    </row>
    <row r="864" spans="1:13" x14ac:dyDescent="0.2">
      <c r="A864" t="s">
        <v>1132</v>
      </c>
      <c r="B864" t="s">
        <v>211</v>
      </c>
      <c r="C864" s="1">
        <v>45971</v>
      </c>
      <c r="D864" t="s">
        <v>213</v>
      </c>
      <c r="E864" t="s">
        <v>14</v>
      </c>
      <c r="F864" t="s">
        <v>27</v>
      </c>
      <c r="G864" t="s">
        <v>16</v>
      </c>
      <c r="H864">
        <v>1</v>
      </c>
      <c r="I864">
        <v>20.99</v>
      </c>
      <c r="J864" t="s">
        <v>17</v>
      </c>
      <c r="K864" t="s">
        <v>18</v>
      </c>
      <c r="L864">
        <f>WEEKDAY(Table1[[#This Row],[Transaction_Date]],2)</f>
        <v>1</v>
      </c>
      <c r="M864">
        <f>IF(Table1[[#This Row],[Sale_Type]]="Buffet",1,0)</f>
        <v>0</v>
      </c>
    </row>
    <row r="865" spans="1:13" x14ac:dyDescent="0.2">
      <c r="A865" t="s">
        <v>1133</v>
      </c>
      <c r="B865" t="s">
        <v>390</v>
      </c>
      <c r="C865" s="1">
        <v>45971</v>
      </c>
      <c r="D865" t="s">
        <v>213</v>
      </c>
      <c r="E865" t="s">
        <v>14</v>
      </c>
      <c r="F865" t="s">
        <v>31</v>
      </c>
      <c r="G865" t="s">
        <v>16</v>
      </c>
      <c r="H865">
        <v>5</v>
      </c>
      <c r="I865">
        <v>169.67</v>
      </c>
      <c r="J865" t="s">
        <v>17</v>
      </c>
      <c r="K865" t="s">
        <v>18</v>
      </c>
      <c r="L865">
        <f>WEEKDAY(Table1[[#This Row],[Transaction_Date]],2)</f>
        <v>1</v>
      </c>
      <c r="M865">
        <f>IF(Table1[[#This Row],[Sale_Type]]="Buffet",1,0)</f>
        <v>0</v>
      </c>
    </row>
    <row r="866" spans="1:13" x14ac:dyDescent="0.2">
      <c r="A866" t="s">
        <v>1134</v>
      </c>
      <c r="B866" t="s">
        <v>152</v>
      </c>
      <c r="C866" s="1">
        <v>45971</v>
      </c>
      <c r="D866" t="s">
        <v>213</v>
      </c>
      <c r="E866" t="s">
        <v>14</v>
      </c>
      <c r="F866" t="s">
        <v>31</v>
      </c>
      <c r="G866" t="s">
        <v>16</v>
      </c>
      <c r="H866">
        <v>3</v>
      </c>
      <c r="I866">
        <v>93.83</v>
      </c>
      <c r="J866" t="s">
        <v>17</v>
      </c>
      <c r="K866" t="s">
        <v>18</v>
      </c>
      <c r="L866">
        <f>WEEKDAY(Table1[[#This Row],[Transaction_Date]],2)</f>
        <v>1</v>
      </c>
      <c r="M866">
        <f>IF(Table1[[#This Row],[Sale_Type]]="Buffet",1,0)</f>
        <v>0</v>
      </c>
    </row>
    <row r="867" spans="1:13" x14ac:dyDescent="0.2">
      <c r="A867" t="s">
        <v>1135</v>
      </c>
      <c r="B867" t="s">
        <v>390</v>
      </c>
      <c r="C867" s="1">
        <v>45971</v>
      </c>
      <c r="D867" t="s">
        <v>213</v>
      </c>
      <c r="E867" t="s">
        <v>14</v>
      </c>
      <c r="F867" t="s">
        <v>31</v>
      </c>
      <c r="G867" t="s">
        <v>16</v>
      </c>
      <c r="H867">
        <v>3</v>
      </c>
      <c r="I867">
        <v>64.62</v>
      </c>
      <c r="J867" t="s">
        <v>17</v>
      </c>
      <c r="K867" t="s">
        <v>18</v>
      </c>
      <c r="L867">
        <f>WEEKDAY(Table1[[#This Row],[Transaction_Date]],2)</f>
        <v>1</v>
      </c>
      <c r="M867">
        <f>IF(Table1[[#This Row],[Sale_Type]]="Buffet",1,0)</f>
        <v>0</v>
      </c>
    </row>
    <row r="868" spans="1:13" x14ac:dyDescent="0.2">
      <c r="A868" t="s">
        <v>1136</v>
      </c>
      <c r="B868" t="s">
        <v>1137</v>
      </c>
      <c r="C868" s="1">
        <v>45971</v>
      </c>
      <c r="D868" t="s">
        <v>213</v>
      </c>
      <c r="E868" t="s">
        <v>14</v>
      </c>
      <c r="F868" t="s">
        <v>31</v>
      </c>
      <c r="G868" t="s">
        <v>16</v>
      </c>
      <c r="H868">
        <v>3</v>
      </c>
      <c r="I868">
        <v>105.62</v>
      </c>
      <c r="J868" t="s">
        <v>17</v>
      </c>
      <c r="K868" t="s">
        <v>21</v>
      </c>
      <c r="L868">
        <f>WEEKDAY(Table1[[#This Row],[Transaction_Date]],2)</f>
        <v>1</v>
      </c>
      <c r="M868">
        <f>IF(Table1[[#This Row],[Sale_Type]]="Buffet",1,0)</f>
        <v>0</v>
      </c>
    </row>
    <row r="869" spans="1:13" x14ac:dyDescent="0.2">
      <c r="A869" t="s">
        <v>1138</v>
      </c>
      <c r="B869" t="s">
        <v>252</v>
      </c>
      <c r="C869" s="1">
        <v>45971</v>
      </c>
      <c r="D869" t="s">
        <v>213</v>
      </c>
      <c r="E869" t="s">
        <v>14</v>
      </c>
      <c r="F869" t="s">
        <v>40</v>
      </c>
      <c r="G869" t="s">
        <v>16</v>
      </c>
      <c r="H869">
        <v>2</v>
      </c>
      <c r="I869">
        <v>49.34</v>
      </c>
      <c r="J869" t="s">
        <v>34</v>
      </c>
      <c r="K869" t="s">
        <v>18</v>
      </c>
      <c r="L869">
        <f>WEEKDAY(Table1[[#This Row],[Transaction_Date]],2)</f>
        <v>1</v>
      </c>
      <c r="M869">
        <f>IF(Table1[[#This Row],[Sale_Type]]="Buffet",1,0)</f>
        <v>0</v>
      </c>
    </row>
    <row r="870" spans="1:13" x14ac:dyDescent="0.2">
      <c r="A870" t="s">
        <v>1139</v>
      </c>
      <c r="B870" t="s">
        <v>39</v>
      </c>
      <c r="C870" s="1">
        <v>45971</v>
      </c>
      <c r="D870" t="s">
        <v>213</v>
      </c>
      <c r="E870" t="s">
        <v>14</v>
      </c>
      <c r="F870" t="s">
        <v>40</v>
      </c>
      <c r="G870" t="s">
        <v>16</v>
      </c>
      <c r="H870">
        <v>5</v>
      </c>
      <c r="I870">
        <v>101.97</v>
      </c>
      <c r="J870" t="s">
        <v>17</v>
      </c>
      <c r="K870" t="s">
        <v>18</v>
      </c>
      <c r="L870">
        <f>WEEKDAY(Table1[[#This Row],[Transaction_Date]],2)</f>
        <v>1</v>
      </c>
      <c r="M870">
        <f>IF(Table1[[#This Row],[Sale_Type]]="Buffet",1,0)</f>
        <v>0</v>
      </c>
    </row>
    <row r="871" spans="1:13" x14ac:dyDescent="0.2">
      <c r="A871" t="s">
        <v>1140</v>
      </c>
      <c r="B871" t="s">
        <v>20</v>
      </c>
      <c r="C871" s="1">
        <v>45971</v>
      </c>
      <c r="D871" t="s">
        <v>213</v>
      </c>
      <c r="E871" t="s">
        <v>14</v>
      </c>
      <c r="F871" t="s">
        <v>40</v>
      </c>
      <c r="G871" t="s">
        <v>16</v>
      </c>
      <c r="H871">
        <v>4</v>
      </c>
      <c r="I871">
        <v>224.98</v>
      </c>
      <c r="J871" t="s">
        <v>17</v>
      </c>
      <c r="K871" t="s">
        <v>21</v>
      </c>
      <c r="L871">
        <f>WEEKDAY(Table1[[#This Row],[Transaction_Date]],2)</f>
        <v>1</v>
      </c>
      <c r="M871">
        <f>IF(Table1[[#This Row],[Sale_Type]]="Buffet",1,0)</f>
        <v>0</v>
      </c>
    </row>
    <row r="872" spans="1:13" x14ac:dyDescent="0.2">
      <c r="A872" t="s">
        <v>1141</v>
      </c>
      <c r="B872" t="s">
        <v>447</v>
      </c>
      <c r="C872" s="1">
        <v>45971</v>
      </c>
      <c r="D872" t="s">
        <v>213</v>
      </c>
      <c r="E872" t="s">
        <v>14</v>
      </c>
      <c r="F872" t="s">
        <v>40</v>
      </c>
      <c r="G872" t="s">
        <v>16</v>
      </c>
      <c r="H872">
        <v>2</v>
      </c>
      <c r="I872">
        <v>47.51</v>
      </c>
      <c r="J872" t="s">
        <v>17</v>
      </c>
      <c r="K872" t="s">
        <v>21</v>
      </c>
      <c r="L872">
        <f>WEEKDAY(Table1[[#This Row],[Transaction_Date]],2)</f>
        <v>1</v>
      </c>
      <c r="M872">
        <f>IF(Table1[[#This Row],[Sale_Type]]="Buffet",1,0)</f>
        <v>0</v>
      </c>
    </row>
    <row r="873" spans="1:13" x14ac:dyDescent="0.2">
      <c r="A873" t="s">
        <v>1142</v>
      </c>
      <c r="B873" t="s">
        <v>30</v>
      </c>
      <c r="C873" s="1">
        <v>45971</v>
      </c>
      <c r="D873" t="s">
        <v>213</v>
      </c>
      <c r="E873" t="s">
        <v>43</v>
      </c>
      <c r="F873" t="s">
        <v>44</v>
      </c>
      <c r="G873" t="s">
        <v>16</v>
      </c>
      <c r="H873">
        <v>2</v>
      </c>
      <c r="I873">
        <v>34.58</v>
      </c>
      <c r="J873" t="s">
        <v>17</v>
      </c>
      <c r="K873" t="s">
        <v>18</v>
      </c>
      <c r="L873">
        <f>WEEKDAY(Table1[[#This Row],[Transaction_Date]],2)</f>
        <v>1</v>
      </c>
      <c r="M873">
        <f>IF(Table1[[#This Row],[Sale_Type]]="Buffet",1,0)</f>
        <v>0</v>
      </c>
    </row>
    <row r="874" spans="1:13" x14ac:dyDescent="0.2">
      <c r="A874" t="s">
        <v>1143</v>
      </c>
      <c r="B874" t="s">
        <v>268</v>
      </c>
      <c r="C874" s="1">
        <v>45971</v>
      </c>
      <c r="D874" t="s">
        <v>213</v>
      </c>
      <c r="E874" t="s">
        <v>43</v>
      </c>
      <c r="F874" t="s">
        <v>44</v>
      </c>
      <c r="G874" t="s">
        <v>16</v>
      </c>
      <c r="H874">
        <v>3</v>
      </c>
      <c r="I874">
        <v>36.49</v>
      </c>
      <c r="J874" t="s">
        <v>34</v>
      </c>
      <c r="K874" t="s">
        <v>18</v>
      </c>
      <c r="L874">
        <f>WEEKDAY(Table1[[#This Row],[Transaction_Date]],2)</f>
        <v>1</v>
      </c>
      <c r="M874">
        <f>IF(Table1[[#This Row],[Sale_Type]]="Buffet",1,0)</f>
        <v>0</v>
      </c>
    </row>
    <row r="875" spans="1:13" x14ac:dyDescent="0.2">
      <c r="A875" t="s">
        <v>1144</v>
      </c>
      <c r="B875" t="s">
        <v>12</v>
      </c>
      <c r="C875" s="1">
        <v>45971</v>
      </c>
      <c r="D875" t="s">
        <v>213</v>
      </c>
      <c r="E875" t="s">
        <v>43</v>
      </c>
      <c r="F875" t="s">
        <v>50</v>
      </c>
      <c r="G875" t="s">
        <v>16</v>
      </c>
      <c r="H875">
        <v>3</v>
      </c>
      <c r="I875">
        <v>57.94</v>
      </c>
      <c r="J875" t="s">
        <v>34</v>
      </c>
      <c r="K875" t="s">
        <v>18</v>
      </c>
      <c r="L875">
        <f>WEEKDAY(Table1[[#This Row],[Transaction_Date]],2)</f>
        <v>1</v>
      </c>
      <c r="M875">
        <f>IF(Table1[[#This Row],[Sale_Type]]="Buffet",1,0)</f>
        <v>0</v>
      </c>
    </row>
    <row r="876" spans="1:13" x14ac:dyDescent="0.2">
      <c r="A876" t="s">
        <v>1145</v>
      </c>
      <c r="B876" t="s">
        <v>329</v>
      </c>
      <c r="C876" s="1">
        <v>45971</v>
      </c>
      <c r="D876" t="s">
        <v>213</v>
      </c>
      <c r="E876" t="s">
        <v>43</v>
      </c>
      <c r="F876" t="s">
        <v>53</v>
      </c>
      <c r="G876" t="s">
        <v>16</v>
      </c>
      <c r="H876">
        <v>3</v>
      </c>
      <c r="I876">
        <v>52.17</v>
      </c>
      <c r="J876" t="s">
        <v>34</v>
      </c>
      <c r="K876" t="s">
        <v>18</v>
      </c>
      <c r="L876">
        <f>WEEKDAY(Table1[[#This Row],[Transaction_Date]],2)</f>
        <v>1</v>
      </c>
      <c r="M876">
        <f>IF(Table1[[#This Row],[Sale_Type]]="Buffet",1,0)</f>
        <v>0</v>
      </c>
    </row>
    <row r="877" spans="1:13" x14ac:dyDescent="0.2">
      <c r="A877" t="s">
        <v>1146</v>
      </c>
      <c r="B877" t="s">
        <v>390</v>
      </c>
      <c r="C877" s="1">
        <v>45972</v>
      </c>
      <c r="D877" t="s">
        <v>250</v>
      </c>
      <c r="E877" t="s">
        <v>14</v>
      </c>
      <c r="F877" t="s">
        <v>15</v>
      </c>
      <c r="G877" t="s">
        <v>16</v>
      </c>
      <c r="H877">
        <v>7</v>
      </c>
      <c r="I877">
        <v>188.08</v>
      </c>
      <c r="J877" t="s">
        <v>17</v>
      </c>
      <c r="K877" t="s">
        <v>18</v>
      </c>
      <c r="L877">
        <f>WEEKDAY(Table1[[#This Row],[Transaction_Date]],2)</f>
        <v>2</v>
      </c>
      <c r="M877">
        <f>IF(Table1[[#This Row],[Sale_Type]]="Buffet",1,0)</f>
        <v>0</v>
      </c>
    </row>
    <row r="878" spans="1:13" x14ac:dyDescent="0.2">
      <c r="A878" t="s">
        <v>1147</v>
      </c>
      <c r="B878" t="s">
        <v>260</v>
      </c>
      <c r="C878" s="1">
        <v>45972</v>
      </c>
      <c r="D878" t="s">
        <v>250</v>
      </c>
      <c r="E878" t="s">
        <v>14</v>
      </c>
      <c r="F878" t="s">
        <v>15</v>
      </c>
      <c r="G878" t="s">
        <v>16</v>
      </c>
      <c r="H878">
        <v>5</v>
      </c>
      <c r="I878">
        <v>85.79</v>
      </c>
      <c r="J878" t="s">
        <v>17</v>
      </c>
      <c r="K878" t="s">
        <v>21</v>
      </c>
      <c r="L878">
        <f>WEEKDAY(Table1[[#This Row],[Transaction_Date]],2)</f>
        <v>2</v>
      </c>
      <c r="M878">
        <f>IF(Table1[[#This Row],[Sale_Type]]="Buffet",1,0)</f>
        <v>0</v>
      </c>
    </row>
    <row r="879" spans="1:13" x14ac:dyDescent="0.2">
      <c r="A879" t="s">
        <v>1148</v>
      </c>
      <c r="B879" t="s">
        <v>74</v>
      </c>
      <c r="C879" s="1">
        <v>45972</v>
      </c>
      <c r="D879" t="s">
        <v>250</v>
      </c>
      <c r="E879" t="s">
        <v>14</v>
      </c>
      <c r="F879" t="s">
        <v>15</v>
      </c>
      <c r="G879" t="s">
        <v>16</v>
      </c>
      <c r="H879">
        <v>2</v>
      </c>
      <c r="I879">
        <v>52.39</v>
      </c>
      <c r="J879" t="s">
        <v>17</v>
      </c>
      <c r="K879" t="s">
        <v>21</v>
      </c>
      <c r="L879">
        <f>WEEKDAY(Table1[[#This Row],[Transaction_Date]],2)</f>
        <v>2</v>
      </c>
      <c r="M879">
        <f>IF(Table1[[#This Row],[Sale_Type]]="Buffet",1,0)</f>
        <v>0</v>
      </c>
    </row>
    <row r="880" spans="1:13" x14ac:dyDescent="0.2">
      <c r="A880" t="s">
        <v>1149</v>
      </c>
      <c r="B880" t="s">
        <v>447</v>
      </c>
      <c r="C880" s="1">
        <v>45972</v>
      </c>
      <c r="D880" t="s">
        <v>250</v>
      </c>
      <c r="E880" t="s">
        <v>14</v>
      </c>
      <c r="F880" t="s">
        <v>15</v>
      </c>
      <c r="G880" t="s">
        <v>16</v>
      </c>
      <c r="H880">
        <v>2</v>
      </c>
      <c r="I880">
        <v>70.86</v>
      </c>
      <c r="J880" t="s">
        <v>34</v>
      </c>
      <c r="K880" t="s">
        <v>18</v>
      </c>
      <c r="L880">
        <f>WEEKDAY(Table1[[#This Row],[Transaction_Date]],2)</f>
        <v>2</v>
      </c>
      <c r="M880">
        <f>IF(Table1[[#This Row],[Sale_Type]]="Buffet",1,0)</f>
        <v>0</v>
      </c>
    </row>
    <row r="881" spans="1:13" x14ac:dyDescent="0.2">
      <c r="A881" t="s">
        <v>1150</v>
      </c>
      <c r="B881" t="s">
        <v>682</v>
      </c>
      <c r="C881" s="1">
        <v>45972</v>
      </c>
      <c r="D881" t="s">
        <v>250</v>
      </c>
      <c r="E881" t="s">
        <v>14</v>
      </c>
      <c r="F881" t="s">
        <v>15</v>
      </c>
      <c r="G881" t="s">
        <v>16</v>
      </c>
      <c r="H881">
        <v>3</v>
      </c>
      <c r="I881">
        <v>102.63</v>
      </c>
      <c r="J881" t="s">
        <v>34</v>
      </c>
      <c r="K881" t="s">
        <v>18</v>
      </c>
      <c r="L881">
        <f>WEEKDAY(Table1[[#This Row],[Transaction_Date]],2)</f>
        <v>2</v>
      </c>
      <c r="M881">
        <f>IF(Table1[[#This Row],[Sale_Type]]="Buffet",1,0)</f>
        <v>0</v>
      </c>
    </row>
    <row r="882" spans="1:13" x14ac:dyDescent="0.2">
      <c r="A882" t="s">
        <v>1151</v>
      </c>
      <c r="B882" t="s">
        <v>503</v>
      </c>
      <c r="C882" s="1">
        <v>45972</v>
      </c>
      <c r="D882" t="s">
        <v>250</v>
      </c>
      <c r="E882" t="s">
        <v>14</v>
      </c>
      <c r="F882" t="s">
        <v>24</v>
      </c>
      <c r="G882" t="s">
        <v>16</v>
      </c>
      <c r="H882">
        <v>3</v>
      </c>
      <c r="I882">
        <v>34.979999999999997</v>
      </c>
      <c r="J882" t="s">
        <v>17</v>
      </c>
      <c r="K882" t="s">
        <v>18</v>
      </c>
      <c r="L882">
        <f>WEEKDAY(Table1[[#This Row],[Transaction_Date]],2)</f>
        <v>2</v>
      </c>
      <c r="M882">
        <f>IF(Table1[[#This Row],[Sale_Type]]="Buffet",1,0)</f>
        <v>0</v>
      </c>
    </row>
    <row r="883" spans="1:13" x14ac:dyDescent="0.2">
      <c r="A883" t="s">
        <v>1152</v>
      </c>
      <c r="B883" t="s">
        <v>252</v>
      </c>
      <c r="C883" s="1">
        <v>45972</v>
      </c>
      <c r="D883" t="s">
        <v>250</v>
      </c>
      <c r="E883" t="s">
        <v>14</v>
      </c>
      <c r="F883" t="s">
        <v>24</v>
      </c>
      <c r="G883" t="s">
        <v>16</v>
      </c>
      <c r="H883">
        <v>5</v>
      </c>
      <c r="I883">
        <v>72.02</v>
      </c>
      <c r="J883" t="s">
        <v>34</v>
      </c>
      <c r="K883" t="s">
        <v>21</v>
      </c>
      <c r="L883">
        <f>WEEKDAY(Table1[[#This Row],[Transaction_Date]],2)</f>
        <v>2</v>
      </c>
      <c r="M883">
        <f>IF(Table1[[#This Row],[Sale_Type]]="Buffet",1,0)</f>
        <v>0</v>
      </c>
    </row>
    <row r="884" spans="1:13" x14ac:dyDescent="0.2">
      <c r="A884" t="s">
        <v>1153</v>
      </c>
      <c r="B884" t="s">
        <v>167</v>
      </c>
      <c r="C884" s="1">
        <v>45972</v>
      </c>
      <c r="D884" t="s">
        <v>250</v>
      </c>
      <c r="E884" t="s">
        <v>14</v>
      </c>
      <c r="F884" t="s">
        <v>24</v>
      </c>
      <c r="G884" t="s">
        <v>16</v>
      </c>
      <c r="H884">
        <v>1</v>
      </c>
      <c r="I884">
        <v>19.059999999999999</v>
      </c>
      <c r="J884" t="s">
        <v>17</v>
      </c>
      <c r="K884" t="s">
        <v>21</v>
      </c>
      <c r="L884">
        <f>WEEKDAY(Table1[[#This Row],[Transaction_Date]],2)</f>
        <v>2</v>
      </c>
      <c r="M884">
        <f>IF(Table1[[#This Row],[Sale_Type]]="Buffet",1,0)</f>
        <v>0</v>
      </c>
    </row>
    <row r="885" spans="1:13" x14ac:dyDescent="0.2">
      <c r="A885" t="s">
        <v>1154</v>
      </c>
      <c r="B885" t="s">
        <v>33</v>
      </c>
      <c r="C885" s="1">
        <v>45972</v>
      </c>
      <c r="D885" t="s">
        <v>250</v>
      </c>
      <c r="E885" t="s">
        <v>14</v>
      </c>
      <c r="F885" t="s">
        <v>24</v>
      </c>
      <c r="G885" t="s">
        <v>16</v>
      </c>
      <c r="H885">
        <v>5</v>
      </c>
      <c r="I885">
        <v>105.85</v>
      </c>
      <c r="J885" t="s">
        <v>17</v>
      </c>
      <c r="K885" t="s">
        <v>18</v>
      </c>
      <c r="L885">
        <f>WEEKDAY(Table1[[#This Row],[Transaction_Date]],2)</f>
        <v>2</v>
      </c>
      <c r="M885">
        <f>IF(Table1[[#This Row],[Sale_Type]]="Buffet",1,0)</f>
        <v>0</v>
      </c>
    </row>
    <row r="886" spans="1:13" x14ac:dyDescent="0.2">
      <c r="A886" t="s">
        <v>1155</v>
      </c>
      <c r="B886" t="s">
        <v>274</v>
      </c>
      <c r="C886" s="1">
        <v>45972</v>
      </c>
      <c r="D886" t="s">
        <v>250</v>
      </c>
      <c r="E886" t="s">
        <v>14</v>
      </c>
      <c r="F886" t="s">
        <v>27</v>
      </c>
      <c r="G886" t="s">
        <v>16</v>
      </c>
      <c r="H886">
        <v>4</v>
      </c>
      <c r="I886">
        <v>121.39</v>
      </c>
      <c r="J886" t="s">
        <v>17</v>
      </c>
      <c r="K886" t="s">
        <v>18</v>
      </c>
      <c r="L886">
        <f>WEEKDAY(Table1[[#This Row],[Transaction_Date]],2)</f>
        <v>2</v>
      </c>
      <c r="M886">
        <f>IF(Table1[[#This Row],[Sale_Type]]="Buffet",1,0)</f>
        <v>0</v>
      </c>
    </row>
    <row r="887" spans="1:13" x14ac:dyDescent="0.2">
      <c r="A887" t="s">
        <v>1156</v>
      </c>
      <c r="B887" t="s">
        <v>822</v>
      </c>
      <c r="C887" s="1">
        <v>45972</v>
      </c>
      <c r="D887" t="s">
        <v>250</v>
      </c>
      <c r="E887" t="s">
        <v>14</v>
      </c>
      <c r="F887" t="s">
        <v>27</v>
      </c>
      <c r="G887" t="s">
        <v>16</v>
      </c>
      <c r="H887">
        <v>3</v>
      </c>
      <c r="I887">
        <v>107.68</v>
      </c>
      <c r="J887" t="s">
        <v>17</v>
      </c>
      <c r="K887" t="s">
        <v>18</v>
      </c>
      <c r="L887">
        <f>WEEKDAY(Table1[[#This Row],[Transaction_Date]],2)</f>
        <v>2</v>
      </c>
      <c r="M887">
        <f>IF(Table1[[#This Row],[Sale_Type]]="Buffet",1,0)</f>
        <v>0</v>
      </c>
    </row>
    <row r="888" spans="1:13" x14ac:dyDescent="0.2">
      <c r="A888" t="s">
        <v>1157</v>
      </c>
      <c r="B888" t="s">
        <v>957</v>
      </c>
      <c r="C888" s="1">
        <v>45972</v>
      </c>
      <c r="D888" t="s">
        <v>250</v>
      </c>
      <c r="E888" t="s">
        <v>14</v>
      </c>
      <c r="F888" t="s">
        <v>27</v>
      </c>
      <c r="G888" t="s">
        <v>16</v>
      </c>
      <c r="H888">
        <v>3</v>
      </c>
      <c r="I888">
        <v>75.94</v>
      </c>
      <c r="J888" t="s">
        <v>28</v>
      </c>
      <c r="K888" t="s">
        <v>18</v>
      </c>
      <c r="L888">
        <f>WEEKDAY(Table1[[#This Row],[Transaction_Date]],2)</f>
        <v>2</v>
      </c>
      <c r="M888">
        <f>IF(Table1[[#This Row],[Sale_Type]]="Buffet",1,0)</f>
        <v>0</v>
      </c>
    </row>
    <row r="889" spans="1:13" x14ac:dyDescent="0.2">
      <c r="A889" t="s">
        <v>1158</v>
      </c>
      <c r="B889" t="s">
        <v>222</v>
      </c>
      <c r="C889" s="1">
        <v>45972</v>
      </c>
      <c r="D889" t="s">
        <v>250</v>
      </c>
      <c r="E889" t="s">
        <v>14</v>
      </c>
      <c r="F889" t="s">
        <v>27</v>
      </c>
      <c r="G889" t="s">
        <v>16</v>
      </c>
      <c r="H889">
        <v>2</v>
      </c>
      <c r="I889">
        <v>42.6</v>
      </c>
      <c r="J889" t="s">
        <v>17</v>
      </c>
      <c r="K889" t="s">
        <v>21</v>
      </c>
      <c r="L889">
        <f>WEEKDAY(Table1[[#This Row],[Transaction_Date]],2)</f>
        <v>2</v>
      </c>
      <c r="M889">
        <f>IF(Table1[[#This Row],[Sale_Type]]="Buffet",1,0)</f>
        <v>0</v>
      </c>
    </row>
    <row r="890" spans="1:13" x14ac:dyDescent="0.2">
      <c r="A890" t="s">
        <v>1159</v>
      </c>
      <c r="B890" t="s">
        <v>264</v>
      </c>
      <c r="C890" s="1">
        <v>45972</v>
      </c>
      <c r="D890" t="s">
        <v>250</v>
      </c>
      <c r="E890" t="s">
        <v>14</v>
      </c>
      <c r="F890" t="s">
        <v>27</v>
      </c>
      <c r="G890" t="s">
        <v>16</v>
      </c>
      <c r="H890">
        <v>4</v>
      </c>
      <c r="I890">
        <v>96.6</v>
      </c>
      <c r="J890" t="s">
        <v>34</v>
      </c>
      <c r="K890" t="s">
        <v>18</v>
      </c>
      <c r="L890">
        <f>WEEKDAY(Table1[[#This Row],[Transaction_Date]],2)</f>
        <v>2</v>
      </c>
      <c r="M890">
        <f>IF(Table1[[#This Row],[Sale_Type]]="Buffet",1,0)</f>
        <v>0</v>
      </c>
    </row>
    <row r="891" spans="1:13" x14ac:dyDescent="0.2">
      <c r="A891" t="s">
        <v>1160</v>
      </c>
      <c r="B891" t="s">
        <v>445</v>
      </c>
      <c r="C891" s="1">
        <v>45972</v>
      </c>
      <c r="D891" t="s">
        <v>250</v>
      </c>
      <c r="E891" t="s">
        <v>14</v>
      </c>
      <c r="F891" t="s">
        <v>27</v>
      </c>
      <c r="G891" t="s">
        <v>16</v>
      </c>
      <c r="H891">
        <v>2</v>
      </c>
      <c r="I891">
        <v>47.73</v>
      </c>
      <c r="J891" t="s">
        <v>34</v>
      </c>
      <c r="K891" t="s">
        <v>21</v>
      </c>
      <c r="L891">
        <f>WEEKDAY(Table1[[#This Row],[Transaction_Date]],2)</f>
        <v>2</v>
      </c>
      <c r="M891">
        <f>IF(Table1[[#This Row],[Sale_Type]]="Buffet",1,0)</f>
        <v>0</v>
      </c>
    </row>
    <row r="892" spans="1:13" x14ac:dyDescent="0.2">
      <c r="A892" t="s">
        <v>1161</v>
      </c>
      <c r="B892" t="s">
        <v>337</v>
      </c>
      <c r="C892" s="1">
        <v>45972</v>
      </c>
      <c r="D892" t="s">
        <v>250</v>
      </c>
      <c r="E892" t="s">
        <v>14</v>
      </c>
      <c r="F892" t="s">
        <v>27</v>
      </c>
      <c r="G892" t="s">
        <v>16</v>
      </c>
      <c r="H892">
        <v>4</v>
      </c>
      <c r="I892">
        <v>84.36</v>
      </c>
      <c r="J892" t="s">
        <v>28</v>
      </c>
      <c r="K892" t="s">
        <v>21</v>
      </c>
      <c r="L892">
        <f>WEEKDAY(Table1[[#This Row],[Transaction_Date]],2)</f>
        <v>2</v>
      </c>
      <c r="M892">
        <f>IF(Table1[[#This Row],[Sale_Type]]="Buffet",1,0)</f>
        <v>0</v>
      </c>
    </row>
    <row r="893" spans="1:13" x14ac:dyDescent="0.2">
      <c r="A893" t="s">
        <v>1162</v>
      </c>
      <c r="B893" t="s">
        <v>1137</v>
      </c>
      <c r="C893" s="1">
        <v>45972</v>
      </c>
      <c r="D893" t="s">
        <v>250</v>
      </c>
      <c r="E893" t="s">
        <v>14</v>
      </c>
      <c r="F893" t="s">
        <v>31</v>
      </c>
      <c r="G893" t="s">
        <v>16</v>
      </c>
      <c r="H893">
        <v>5</v>
      </c>
      <c r="I893">
        <v>192.1</v>
      </c>
      <c r="J893" t="s">
        <v>17</v>
      </c>
      <c r="K893" t="s">
        <v>18</v>
      </c>
      <c r="L893">
        <f>WEEKDAY(Table1[[#This Row],[Transaction_Date]],2)</f>
        <v>2</v>
      </c>
      <c r="M893">
        <f>IF(Table1[[#This Row],[Sale_Type]]="Buffet",1,0)</f>
        <v>0</v>
      </c>
    </row>
    <row r="894" spans="1:13" x14ac:dyDescent="0.2">
      <c r="A894" t="s">
        <v>1163</v>
      </c>
      <c r="B894" t="s">
        <v>238</v>
      </c>
      <c r="C894" s="1">
        <v>45972</v>
      </c>
      <c r="D894" t="s">
        <v>250</v>
      </c>
      <c r="E894" t="s">
        <v>14</v>
      </c>
      <c r="F894" t="s">
        <v>31</v>
      </c>
      <c r="G894" t="s">
        <v>16</v>
      </c>
      <c r="H894">
        <v>3</v>
      </c>
      <c r="I894">
        <v>74.040000000000006</v>
      </c>
      <c r="J894" t="s">
        <v>17</v>
      </c>
      <c r="K894" t="s">
        <v>18</v>
      </c>
      <c r="L894">
        <f>WEEKDAY(Table1[[#This Row],[Transaction_Date]],2)</f>
        <v>2</v>
      </c>
      <c r="M894">
        <f>IF(Table1[[#This Row],[Sale_Type]]="Buffet",1,0)</f>
        <v>0</v>
      </c>
    </row>
    <row r="895" spans="1:13" x14ac:dyDescent="0.2">
      <c r="A895" t="s">
        <v>1164</v>
      </c>
      <c r="B895" t="s">
        <v>318</v>
      </c>
      <c r="C895" s="1">
        <v>45972</v>
      </c>
      <c r="D895" t="s">
        <v>250</v>
      </c>
      <c r="E895" t="s">
        <v>14</v>
      </c>
      <c r="F895" t="s">
        <v>40</v>
      </c>
      <c r="G895" t="s">
        <v>16</v>
      </c>
      <c r="H895">
        <v>2</v>
      </c>
      <c r="I895">
        <v>73.44</v>
      </c>
      <c r="J895" t="s">
        <v>17</v>
      </c>
      <c r="K895" t="s">
        <v>21</v>
      </c>
      <c r="L895">
        <f>WEEKDAY(Table1[[#This Row],[Transaction_Date]],2)</f>
        <v>2</v>
      </c>
      <c r="M895">
        <f>IF(Table1[[#This Row],[Sale_Type]]="Buffet",1,0)</f>
        <v>0</v>
      </c>
    </row>
    <row r="896" spans="1:13" x14ac:dyDescent="0.2">
      <c r="A896" t="s">
        <v>1165</v>
      </c>
      <c r="B896" t="s">
        <v>630</v>
      </c>
      <c r="C896" s="1">
        <v>45972</v>
      </c>
      <c r="D896" t="s">
        <v>250</v>
      </c>
      <c r="E896" t="s">
        <v>14</v>
      </c>
      <c r="F896" t="s">
        <v>40</v>
      </c>
      <c r="G896" t="s">
        <v>16</v>
      </c>
      <c r="H896">
        <v>3</v>
      </c>
      <c r="I896">
        <v>141.46</v>
      </c>
      <c r="J896" t="s">
        <v>34</v>
      </c>
      <c r="K896" t="s">
        <v>21</v>
      </c>
      <c r="L896">
        <f>WEEKDAY(Table1[[#This Row],[Transaction_Date]],2)</f>
        <v>2</v>
      </c>
      <c r="M896">
        <f>IF(Table1[[#This Row],[Sale_Type]]="Buffet",1,0)</f>
        <v>0</v>
      </c>
    </row>
    <row r="897" spans="1:13" x14ac:dyDescent="0.2">
      <c r="A897" t="s">
        <v>1166</v>
      </c>
      <c r="B897" t="s">
        <v>37</v>
      </c>
      <c r="C897" s="1">
        <v>45972</v>
      </c>
      <c r="D897" t="s">
        <v>250</v>
      </c>
      <c r="E897" t="s">
        <v>14</v>
      </c>
      <c r="F897" t="s">
        <v>40</v>
      </c>
      <c r="G897" t="s">
        <v>16</v>
      </c>
      <c r="H897">
        <v>4</v>
      </c>
      <c r="I897">
        <v>87.9</v>
      </c>
      <c r="J897" t="s">
        <v>34</v>
      </c>
      <c r="K897" t="s">
        <v>21</v>
      </c>
      <c r="L897">
        <f>WEEKDAY(Table1[[#This Row],[Transaction_Date]],2)</f>
        <v>2</v>
      </c>
      <c r="M897">
        <f>IF(Table1[[#This Row],[Sale_Type]]="Buffet",1,0)</f>
        <v>0</v>
      </c>
    </row>
    <row r="898" spans="1:13" x14ac:dyDescent="0.2">
      <c r="A898" t="s">
        <v>1167</v>
      </c>
      <c r="B898" t="s">
        <v>231</v>
      </c>
      <c r="C898" s="1">
        <v>45972</v>
      </c>
      <c r="D898" t="s">
        <v>250</v>
      </c>
      <c r="E898" t="s">
        <v>43</v>
      </c>
      <c r="F898" t="s">
        <v>50</v>
      </c>
      <c r="G898" t="s">
        <v>16</v>
      </c>
      <c r="H898">
        <v>1</v>
      </c>
      <c r="I898">
        <v>17.39</v>
      </c>
      <c r="J898" t="s">
        <v>17</v>
      </c>
      <c r="K898" t="s">
        <v>18</v>
      </c>
      <c r="L898">
        <f>WEEKDAY(Table1[[#This Row],[Transaction_Date]],2)</f>
        <v>2</v>
      </c>
      <c r="M898">
        <f>IF(Table1[[#This Row],[Sale_Type]]="Buffet",1,0)</f>
        <v>0</v>
      </c>
    </row>
    <row r="899" spans="1:13" x14ac:dyDescent="0.2">
      <c r="A899" t="s">
        <v>1168</v>
      </c>
      <c r="B899" t="s">
        <v>93</v>
      </c>
      <c r="C899" s="1">
        <v>45972</v>
      </c>
      <c r="D899" t="s">
        <v>250</v>
      </c>
      <c r="E899" t="s">
        <v>43</v>
      </c>
      <c r="F899" t="s">
        <v>53</v>
      </c>
      <c r="G899" t="s">
        <v>16</v>
      </c>
      <c r="H899">
        <v>5</v>
      </c>
      <c r="I899">
        <v>65.09</v>
      </c>
      <c r="J899" t="s">
        <v>17</v>
      </c>
      <c r="K899" t="s">
        <v>18</v>
      </c>
      <c r="L899">
        <f>WEEKDAY(Table1[[#This Row],[Transaction_Date]],2)</f>
        <v>2</v>
      </c>
      <c r="M899">
        <f>IF(Table1[[#This Row],[Sale_Type]]="Buffet",1,0)</f>
        <v>0</v>
      </c>
    </row>
    <row r="900" spans="1:13" x14ac:dyDescent="0.2">
      <c r="A900" t="s">
        <v>1169</v>
      </c>
      <c r="B900" t="s">
        <v>56</v>
      </c>
      <c r="C900" s="1">
        <v>45973</v>
      </c>
      <c r="D900" t="s">
        <v>13</v>
      </c>
      <c r="E900" t="s">
        <v>14</v>
      </c>
      <c r="F900" t="s">
        <v>15</v>
      </c>
      <c r="G900" t="s">
        <v>16</v>
      </c>
      <c r="H900">
        <v>2</v>
      </c>
      <c r="I900">
        <v>76.16</v>
      </c>
      <c r="J900" t="s">
        <v>17</v>
      </c>
      <c r="K900" t="s">
        <v>21</v>
      </c>
      <c r="L900">
        <f>WEEKDAY(Table1[[#This Row],[Transaction_Date]],2)</f>
        <v>3</v>
      </c>
      <c r="M900">
        <f>IF(Table1[[#This Row],[Sale_Type]]="Buffet",1,0)</f>
        <v>0</v>
      </c>
    </row>
    <row r="901" spans="1:13" x14ac:dyDescent="0.2">
      <c r="A901" t="s">
        <v>1170</v>
      </c>
      <c r="B901" t="s">
        <v>637</v>
      </c>
      <c r="C901" s="1">
        <v>45973</v>
      </c>
      <c r="D901" t="s">
        <v>13</v>
      </c>
      <c r="E901" t="s">
        <v>14</v>
      </c>
      <c r="F901" t="s">
        <v>15</v>
      </c>
      <c r="G901" t="s">
        <v>16</v>
      </c>
      <c r="H901">
        <v>5</v>
      </c>
      <c r="I901">
        <v>152.33000000000001</v>
      </c>
      <c r="J901" t="s">
        <v>28</v>
      </c>
      <c r="K901" t="s">
        <v>18</v>
      </c>
      <c r="L901">
        <f>WEEKDAY(Table1[[#This Row],[Transaction_Date]],2)</f>
        <v>3</v>
      </c>
      <c r="M901">
        <f>IF(Table1[[#This Row],[Sale_Type]]="Buffet",1,0)</f>
        <v>0</v>
      </c>
    </row>
    <row r="902" spans="1:13" x14ac:dyDescent="0.2">
      <c r="A902" t="s">
        <v>1171</v>
      </c>
      <c r="B902" t="s">
        <v>952</v>
      </c>
      <c r="C902" s="1">
        <v>45973</v>
      </c>
      <c r="D902" t="s">
        <v>13</v>
      </c>
      <c r="E902" t="s">
        <v>14</v>
      </c>
      <c r="F902" t="s">
        <v>15</v>
      </c>
      <c r="G902" t="s">
        <v>16</v>
      </c>
      <c r="H902">
        <v>3</v>
      </c>
      <c r="I902">
        <v>82.02</v>
      </c>
      <c r="J902" t="s">
        <v>28</v>
      </c>
      <c r="K902" t="s">
        <v>18</v>
      </c>
      <c r="L902">
        <f>WEEKDAY(Table1[[#This Row],[Transaction_Date]],2)</f>
        <v>3</v>
      </c>
      <c r="M902">
        <f>IF(Table1[[#This Row],[Sale_Type]]="Buffet",1,0)</f>
        <v>0</v>
      </c>
    </row>
    <row r="903" spans="1:13" x14ac:dyDescent="0.2">
      <c r="A903" t="s">
        <v>1172</v>
      </c>
      <c r="B903" t="s">
        <v>454</v>
      </c>
      <c r="C903" s="1">
        <v>45973</v>
      </c>
      <c r="D903" t="s">
        <v>13</v>
      </c>
      <c r="E903" t="s">
        <v>14</v>
      </c>
      <c r="F903" t="s">
        <v>15</v>
      </c>
      <c r="G903" t="s">
        <v>16</v>
      </c>
      <c r="H903">
        <v>1</v>
      </c>
      <c r="I903">
        <v>37.74</v>
      </c>
      <c r="J903" t="s">
        <v>17</v>
      </c>
      <c r="K903" t="s">
        <v>18</v>
      </c>
      <c r="L903">
        <f>WEEKDAY(Table1[[#This Row],[Transaction_Date]],2)</f>
        <v>3</v>
      </c>
      <c r="M903">
        <f>IF(Table1[[#This Row],[Sale_Type]]="Buffet",1,0)</f>
        <v>0</v>
      </c>
    </row>
    <row r="904" spans="1:13" x14ac:dyDescent="0.2">
      <c r="A904" t="s">
        <v>1173</v>
      </c>
      <c r="B904" t="s">
        <v>1034</v>
      </c>
      <c r="C904" s="1">
        <v>45973</v>
      </c>
      <c r="D904" t="s">
        <v>13</v>
      </c>
      <c r="E904" t="s">
        <v>14</v>
      </c>
      <c r="F904" t="s">
        <v>15</v>
      </c>
      <c r="G904" t="s">
        <v>16</v>
      </c>
      <c r="H904">
        <v>3</v>
      </c>
      <c r="I904">
        <v>107.95</v>
      </c>
      <c r="J904" t="s">
        <v>17</v>
      </c>
      <c r="K904" t="s">
        <v>21</v>
      </c>
      <c r="L904">
        <f>WEEKDAY(Table1[[#This Row],[Transaction_Date]],2)</f>
        <v>3</v>
      </c>
      <c r="M904">
        <f>IF(Table1[[#This Row],[Sale_Type]]="Buffet",1,0)</f>
        <v>0</v>
      </c>
    </row>
    <row r="905" spans="1:13" x14ac:dyDescent="0.2">
      <c r="A905" t="s">
        <v>1174</v>
      </c>
      <c r="B905" t="s">
        <v>503</v>
      </c>
      <c r="C905" s="1">
        <v>45973</v>
      </c>
      <c r="D905" t="s">
        <v>13</v>
      </c>
      <c r="E905" t="s">
        <v>14</v>
      </c>
      <c r="F905" t="s">
        <v>24</v>
      </c>
      <c r="G905" t="s">
        <v>16</v>
      </c>
      <c r="H905">
        <v>4</v>
      </c>
      <c r="I905">
        <v>69.3</v>
      </c>
      <c r="J905" t="s">
        <v>28</v>
      </c>
      <c r="K905" t="s">
        <v>18</v>
      </c>
      <c r="L905">
        <f>WEEKDAY(Table1[[#This Row],[Transaction_Date]],2)</f>
        <v>3</v>
      </c>
      <c r="M905">
        <f>IF(Table1[[#This Row],[Sale_Type]]="Buffet",1,0)</f>
        <v>0</v>
      </c>
    </row>
    <row r="906" spans="1:13" x14ac:dyDescent="0.2">
      <c r="A906" t="s">
        <v>1175</v>
      </c>
      <c r="B906" t="s">
        <v>300</v>
      </c>
      <c r="C906" s="1">
        <v>45973</v>
      </c>
      <c r="D906" t="s">
        <v>13</v>
      </c>
      <c r="E906" t="s">
        <v>14</v>
      </c>
      <c r="F906" t="s">
        <v>24</v>
      </c>
      <c r="G906" t="s">
        <v>16</v>
      </c>
      <c r="H906">
        <v>4</v>
      </c>
      <c r="I906">
        <v>142.75</v>
      </c>
      <c r="J906" t="s">
        <v>17</v>
      </c>
      <c r="K906" t="s">
        <v>21</v>
      </c>
      <c r="L906">
        <f>WEEKDAY(Table1[[#This Row],[Transaction_Date]],2)</f>
        <v>3</v>
      </c>
      <c r="M906">
        <f>IF(Table1[[#This Row],[Sale_Type]]="Buffet",1,0)</f>
        <v>0</v>
      </c>
    </row>
    <row r="907" spans="1:13" x14ac:dyDescent="0.2">
      <c r="A907" t="s">
        <v>1176</v>
      </c>
      <c r="B907" t="s">
        <v>219</v>
      </c>
      <c r="C907" s="1">
        <v>45973</v>
      </c>
      <c r="D907" t="s">
        <v>13</v>
      </c>
      <c r="E907" t="s">
        <v>14</v>
      </c>
      <c r="F907" t="s">
        <v>27</v>
      </c>
      <c r="G907" t="s">
        <v>16</v>
      </c>
      <c r="H907">
        <v>2</v>
      </c>
      <c r="I907">
        <v>80.849999999999994</v>
      </c>
      <c r="J907" t="s">
        <v>28</v>
      </c>
      <c r="K907" t="s">
        <v>18</v>
      </c>
      <c r="L907">
        <f>WEEKDAY(Table1[[#This Row],[Transaction_Date]],2)</f>
        <v>3</v>
      </c>
      <c r="M907">
        <f>IF(Table1[[#This Row],[Sale_Type]]="Buffet",1,0)</f>
        <v>0</v>
      </c>
    </row>
    <row r="908" spans="1:13" x14ac:dyDescent="0.2">
      <c r="A908" t="s">
        <v>1177</v>
      </c>
      <c r="B908" t="s">
        <v>208</v>
      </c>
      <c r="C908" s="1">
        <v>45973</v>
      </c>
      <c r="D908" t="s">
        <v>13</v>
      </c>
      <c r="E908" t="s">
        <v>14</v>
      </c>
      <c r="F908" t="s">
        <v>27</v>
      </c>
      <c r="G908" t="s">
        <v>16</v>
      </c>
      <c r="H908">
        <v>3</v>
      </c>
      <c r="I908">
        <v>110.35</v>
      </c>
      <c r="J908" t="s">
        <v>17</v>
      </c>
      <c r="K908" t="s">
        <v>18</v>
      </c>
      <c r="L908">
        <f>WEEKDAY(Table1[[#This Row],[Transaction_Date]],2)</f>
        <v>3</v>
      </c>
      <c r="M908">
        <f>IF(Table1[[#This Row],[Sale_Type]]="Buffet",1,0)</f>
        <v>0</v>
      </c>
    </row>
    <row r="909" spans="1:13" x14ac:dyDescent="0.2">
      <c r="A909" t="s">
        <v>1178</v>
      </c>
      <c r="B909" t="s">
        <v>1179</v>
      </c>
      <c r="C909" s="1">
        <v>45973</v>
      </c>
      <c r="D909" t="s">
        <v>13</v>
      </c>
      <c r="E909" t="s">
        <v>14</v>
      </c>
      <c r="F909" t="s">
        <v>31</v>
      </c>
      <c r="G909" t="s">
        <v>16</v>
      </c>
      <c r="H909">
        <v>5</v>
      </c>
      <c r="I909">
        <v>165.75</v>
      </c>
      <c r="J909" t="s">
        <v>17</v>
      </c>
      <c r="K909" t="s">
        <v>18</v>
      </c>
      <c r="L909">
        <f>WEEKDAY(Table1[[#This Row],[Transaction_Date]],2)</f>
        <v>3</v>
      </c>
      <c r="M909">
        <f>IF(Table1[[#This Row],[Sale_Type]]="Buffet",1,0)</f>
        <v>0</v>
      </c>
    </row>
    <row r="910" spans="1:13" x14ac:dyDescent="0.2">
      <c r="A910" t="s">
        <v>1180</v>
      </c>
      <c r="B910" t="s">
        <v>480</v>
      </c>
      <c r="C910" s="1">
        <v>45973</v>
      </c>
      <c r="D910" t="s">
        <v>13</v>
      </c>
      <c r="E910" t="s">
        <v>14</v>
      </c>
      <c r="F910" t="s">
        <v>31</v>
      </c>
      <c r="G910" t="s">
        <v>16</v>
      </c>
      <c r="H910">
        <v>2</v>
      </c>
      <c r="I910">
        <v>67.59</v>
      </c>
      <c r="J910" t="s">
        <v>28</v>
      </c>
      <c r="K910" t="s">
        <v>21</v>
      </c>
      <c r="L910">
        <f>WEEKDAY(Table1[[#This Row],[Transaction_Date]],2)</f>
        <v>3</v>
      </c>
      <c r="M910">
        <f>IF(Table1[[#This Row],[Sale_Type]]="Buffet",1,0)</f>
        <v>0</v>
      </c>
    </row>
    <row r="911" spans="1:13" x14ac:dyDescent="0.2">
      <c r="A911" t="s">
        <v>1181</v>
      </c>
      <c r="B911" t="s">
        <v>1077</v>
      </c>
      <c r="C911" s="1">
        <v>45973</v>
      </c>
      <c r="D911" t="s">
        <v>13</v>
      </c>
      <c r="E911" t="s">
        <v>14</v>
      </c>
      <c r="F911" t="s">
        <v>31</v>
      </c>
      <c r="G911" t="s">
        <v>16</v>
      </c>
      <c r="H911">
        <v>4</v>
      </c>
      <c r="I911">
        <v>49.83</v>
      </c>
      <c r="J911" t="s">
        <v>17</v>
      </c>
      <c r="K911" t="s">
        <v>18</v>
      </c>
      <c r="L911">
        <f>WEEKDAY(Table1[[#This Row],[Transaction_Date]],2)</f>
        <v>3</v>
      </c>
      <c r="M911">
        <f>IF(Table1[[#This Row],[Sale_Type]]="Buffet",1,0)</f>
        <v>0</v>
      </c>
    </row>
    <row r="912" spans="1:13" x14ac:dyDescent="0.2">
      <c r="A912" t="s">
        <v>1182</v>
      </c>
      <c r="B912" t="s">
        <v>383</v>
      </c>
      <c r="C912" s="1">
        <v>45973</v>
      </c>
      <c r="D912" t="s">
        <v>13</v>
      </c>
      <c r="E912" t="s">
        <v>14</v>
      </c>
      <c r="F912" t="s">
        <v>40</v>
      </c>
      <c r="G912" t="s">
        <v>16</v>
      </c>
      <c r="H912">
        <v>1</v>
      </c>
      <c r="I912">
        <v>30</v>
      </c>
      <c r="J912" t="s">
        <v>28</v>
      </c>
      <c r="K912" t="s">
        <v>18</v>
      </c>
      <c r="L912">
        <f>WEEKDAY(Table1[[#This Row],[Transaction_Date]],2)</f>
        <v>3</v>
      </c>
      <c r="M912">
        <f>IF(Table1[[#This Row],[Sale_Type]]="Buffet",1,0)</f>
        <v>0</v>
      </c>
    </row>
    <row r="913" spans="1:13" x14ac:dyDescent="0.2">
      <c r="A913" t="s">
        <v>1183</v>
      </c>
      <c r="B913" t="s">
        <v>684</v>
      </c>
      <c r="C913" s="1">
        <v>45973</v>
      </c>
      <c r="D913" t="s">
        <v>13</v>
      </c>
      <c r="E913" t="s">
        <v>43</v>
      </c>
      <c r="F913" t="s">
        <v>44</v>
      </c>
      <c r="G913" t="s">
        <v>45</v>
      </c>
      <c r="H913">
        <v>5</v>
      </c>
      <c r="I913">
        <v>109</v>
      </c>
      <c r="J913" t="s">
        <v>17</v>
      </c>
      <c r="K913" t="s">
        <v>18</v>
      </c>
      <c r="L913">
        <f>WEEKDAY(Table1[[#This Row],[Transaction_Date]],2)</f>
        <v>3</v>
      </c>
      <c r="M913">
        <f>IF(Table1[[#This Row],[Sale_Type]]="Buffet",1,0)</f>
        <v>1</v>
      </c>
    </row>
    <row r="914" spans="1:13" x14ac:dyDescent="0.2">
      <c r="A914" t="s">
        <v>1184</v>
      </c>
      <c r="B914" t="s">
        <v>989</v>
      </c>
      <c r="C914" s="1">
        <v>45973</v>
      </c>
      <c r="D914" t="s">
        <v>13</v>
      </c>
      <c r="E914" t="s">
        <v>43</v>
      </c>
      <c r="F914" t="s">
        <v>44</v>
      </c>
      <c r="G914" t="s">
        <v>16</v>
      </c>
      <c r="H914">
        <v>5</v>
      </c>
      <c r="I914">
        <v>43.24</v>
      </c>
      <c r="J914" t="s">
        <v>28</v>
      </c>
      <c r="K914" t="s">
        <v>18</v>
      </c>
      <c r="L914">
        <f>WEEKDAY(Table1[[#This Row],[Transaction_Date]],2)</f>
        <v>3</v>
      </c>
      <c r="M914">
        <f>IF(Table1[[#This Row],[Sale_Type]]="Buffet",1,0)</f>
        <v>0</v>
      </c>
    </row>
    <row r="915" spans="1:13" x14ac:dyDescent="0.2">
      <c r="A915" t="s">
        <v>1185</v>
      </c>
      <c r="B915" t="s">
        <v>537</v>
      </c>
      <c r="C915" s="1">
        <v>45973</v>
      </c>
      <c r="D915" t="s">
        <v>13</v>
      </c>
      <c r="E915" t="s">
        <v>43</v>
      </c>
      <c r="F915" t="s">
        <v>44</v>
      </c>
      <c r="G915" t="s">
        <v>16</v>
      </c>
      <c r="H915">
        <v>2</v>
      </c>
      <c r="I915">
        <v>44.75</v>
      </c>
      <c r="J915" t="s">
        <v>34</v>
      </c>
      <c r="K915" t="s">
        <v>21</v>
      </c>
      <c r="L915">
        <f>WEEKDAY(Table1[[#This Row],[Transaction_Date]],2)</f>
        <v>3</v>
      </c>
      <c r="M915">
        <f>IF(Table1[[#This Row],[Sale_Type]]="Buffet",1,0)</f>
        <v>0</v>
      </c>
    </row>
    <row r="916" spans="1:13" x14ac:dyDescent="0.2">
      <c r="A916" t="s">
        <v>1186</v>
      </c>
      <c r="B916" t="s">
        <v>843</v>
      </c>
      <c r="C916" s="1">
        <v>45973</v>
      </c>
      <c r="D916" t="s">
        <v>13</v>
      </c>
      <c r="E916" t="s">
        <v>43</v>
      </c>
      <c r="F916" t="s">
        <v>44</v>
      </c>
      <c r="G916" t="s">
        <v>45</v>
      </c>
      <c r="H916">
        <v>4</v>
      </c>
      <c r="I916">
        <v>93.5</v>
      </c>
      <c r="J916" t="s">
        <v>28</v>
      </c>
      <c r="K916" t="s">
        <v>18</v>
      </c>
      <c r="L916">
        <f>WEEKDAY(Table1[[#This Row],[Transaction_Date]],2)</f>
        <v>3</v>
      </c>
      <c r="M916">
        <f>IF(Table1[[#This Row],[Sale_Type]]="Buffet",1,0)</f>
        <v>1</v>
      </c>
    </row>
    <row r="917" spans="1:13" x14ac:dyDescent="0.2">
      <c r="A917" t="s">
        <v>1187</v>
      </c>
      <c r="B917" t="s">
        <v>363</v>
      </c>
      <c r="C917" s="1">
        <v>45973</v>
      </c>
      <c r="D917" t="s">
        <v>13</v>
      </c>
      <c r="E917" t="s">
        <v>43</v>
      </c>
      <c r="F917" t="s">
        <v>44</v>
      </c>
      <c r="G917" t="s">
        <v>16</v>
      </c>
      <c r="H917">
        <v>4</v>
      </c>
      <c r="I917">
        <v>117.59</v>
      </c>
      <c r="J917" t="s">
        <v>34</v>
      </c>
      <c r="K917" t="s">
        <v>18</v>
      </c>
      <c r="L917">
        <f>WEEKDAY(Table1[[#This Row],[Transaction_Date]],2)</f>
        <v>3</v>
      </c>
      <c r="M917">
        <f>IF(Table1[[#This Row],[Sale_Type]]="Buffet",1,0)</f>
        <v>0</v>
      </c>
    </row>
    <row r="918" spans="1:13" x14ac:dyDescent="0.2">
      <c r="A918" t="s">
        <v>1188</v>
      </c>
      <c r="B918" t="s">
        <v>864</v>
      </c>
      <c r="C918" s="1">
        <v>45973</v>
      </c>
      <c r="D918" t="s">
        <v>13</v>
      </c>
      <c r="E918" t="s">
        <v>43</v>
      </c>
      <c r="F918" t="s">
        <v>44</v>
      </c>
      <c r="G918" t="s">
        <v>45</v>
      </c>
      <c r="H918">
        <v>4</v>
      </c>
      <c r="I918">
        <v>89</v>
      </c>
      <c r="J918" t="s">
        <v>17</v>
      </c>
      <c r="K918" t="s">
        <v>18</v>
      </c>
      <c r="L918">
        <f>WEEKDAY(Table1[[#This Row],[Transaction_Date]],2)</f>
        <v>3</v>
      </c>
      <c r="M918">
        <f>IF(Table1[[#This Row],[Sale_Type]]="Buffet",1,0)</f>
        <v>1</v>
      </c>
    </row>
    <row r="919" spans="1:13" x14ac:dyDescent="0.2">
      <c r="A919" t="s">
        <v>1189</v>
      </c>
      <c r="B919" t="s">
        <v>725</v>
      </c>
      <c r="C919" s="1">
        <v>45973</v>
      </c>
      <c r="D919" t="s">
        <v>13</v>
      </c>
      <c r="E919" t="s">
        <v>43</v>
      </c>
      <c r="F919" t="s">
        <v>44</v>
      </c>
      <c r="G919" t="s">
        <v>45</v>
      </c>
      <c r="H919">
        <v>2</v>
      </c>
      <c r="I919">
        <v>40</v>
      </c>
      <c r="J919" t="s">
        <v>17</v>
      </c>
      <c r="K919" t="s">
        <v>18</v>
      </c>
      <c r="L919">
        <f>WEEKDAY(Table1[[#This Row],[Transaction_Date]],2)</f>
        <v>3</v>
      </c>
      <c r="M919">
        <f>IF(Table1[[#This Row],[Sale_Type]]="Buffet",1,0)</f>
        <v>1</v>
      </c>
    </row>
    <row r="920" spans="1:13" x14ac:dyDescent="0.2">
      <c r="A920" t="s">
        <v>1190</v>
      </c>
      <c r="B920" t="s">
        <v>81</v>
      </c>
      <c r="C920" s="1">
        <v>45973</v>
      </c>
      <c r="D920" t="s">
        <v>13</v>
      </c>
      <c r="E920" t="s">
        <v>43</v>
      </c>
      <c r="F920" t="s">
        <v>50</v>
      </c>
      <c r="G920" t="s">
        <v>45</v>
      </c>
      <c r="H920">
        <v>2</v>
      </c>
      <c r="I920">
        <v>44.5</v>
      </c>
      <c r="J920" t="s">
        <v>28</v>
      </c>
      <c r="K920" t="s">
        <v>18</v>
      </c>
      <c r="L920">
        <f>WEEKDAY(Table1[[#This Row],[Transaction_Date]],2)</f>
        <v>3</v>
      </c>
      <c r="M920">
        <f>IF(Table1[[#This Row],[Sale_Type]]="Buffet",1,0)</f>
        <v>1</v>
      </c>
    </row>
    <row r="921" spans="1:13" x14ac:dyDescent="0.2">
      <c r="A921" t="s">
        <v>1191</v>
      </c>
      <c r="B921" t="s">
        <v>30</v>
      </c>
      <c r="C921" s="1">
        <v>45973</v>
      </c>
      <c r="D921" t="s">
        <v>13</v>
      </c>
      <c r="E921" t="s">
        <v>43</v>
      </c>
      <c r="F921" t="s">
        <v>53</v>
      </c>
      <c r="G921" t="s">
        <v>16</v>
      </c>
      <c r="H921">
        <v>4</v>
      </c>
      <c r="I921">
        <v>50.92</v>
      </c>
      <c r="J921" t="s">
        <v>17</v>
      </c>
      <c r="K921" t="s">
        <v>21</v>
      </c>
      <c r="L921">
        <f>WEEKDAY(Table1[[#This Row],[Transaction_Date]],2)</f>
        <v>3</v>
      </c>
      <c r="M921">
        <f>IF(Table1[[#This Row],[Sale_Type]]="Buffet",1,0)</f>
        <v>0</v>
      </c>
    </row>
    <row r="922" spans="1:13" x14ac:dyDescent="0.2">
      <c r="A922" t="s">
        <v>1192</v>
      </c>
      <c r="B922" t="s">
        <v>300</v>
      </c>
      <c r="C922" s="1">
        <v>45973</v>
      </c>
      <c r="D922" t="s">
        <v>13</v>
      </c>
      <c r="E922" t="s">
        <v>43</v>
      </c>
      <c r="F922" t="s">
        <v>53</v>
      </c>
      <c r="G922" t="s">
        <v>45</v>
      </c>
      <c r="H922">
        <v>3</v>
      </c>
      <c r="I922">
        <v>64.5</v>
      </c>
      <c r="J922" t="s">
        <v>28</v>
      </c>
      <c r="K922" t="s">
        <v>18</v>
      </c>
      <c r="L922">
        <f>WEEKDAY(Table1[[#This Row],[Transaction_Date]],2)</f>
        <v>3</v>
      </c>
      <c r="M922">
        <f>IF(Table1[[#This Row],[Sale_Type]]="Buffet",1,0)</f>
        <v>1</v>
      </c>
    </row>
    <row r="923" spans="1:13" x14ac:dyDescent="0.2">
      <c r="A923" t="s">
        <v>1193</v>
      </c>
      <c r="B923" t="s">
        <v>23</v>
      </c>
      <c r="C923" s="1">
        <v>45973</v>
      </c>
      <c r="D923" t="s">
        <v>13</v>
      </c>
      <c r="E923" t="s">
        <v>43</v>
      </c>
      <c r="F923" t="s">
        <v>53</v>
      </c>
      <c r="G923" t="s">
        <v>16</v>
      </c>
      <c r="H923">
        <v>4</v>
      </c>
      <c r="I923">
        <v>69.42</v>
      </c>
      <c r="J923" t="s">
        <v>17</v>
      </c>
      <c r="K923" t="s">
        <v>18</v>
      </c>
      <c r="L923">
        <f>WEEKDAY(Table1[[#This Row],[Transaction_Date]],2)</f>
        <v>3</v>
      </c>
      <c r="M923">
        <f>IF(Table1[[#This Row],[Sale_Type]]="Buffet",1,0)</f>
        <v>0</v>
      </c>
    </row>
    <row r="924" spans="1:13" x14ac:dyDescent="0.2">
      <c r="A924" t="s">
        <v>1194</v>
      </c>
      <c r="B924" t="s">
        <v>624</v>
      </c>
      <c r="C924" s="1">
        <v>45973</v>
      </c>
      <c r="D924" t="s">
        <v>13</v>
      </c>
      <c r="E924" t="s">
        <v>43</v>
      </c>
      <c r="F924" t="s">
        <v>57</v>
      </c>
      <c r="G924" t="s">
        <v>45</v>
      </c>
      <c r="H924">
        <v>1</v>
      </c>
      <c r="I924">
        <v>20</v>
      </c>
      <c r="J924" t="s">
        <v>17</v>
      </c>
      <c r="K924" t="s">
        <v>18</v>
      </c>
      <c r="L924">
        <f>WEEKDAY(Table1[[#This Row],[Transaction_Date]],2)</f>
        <v>3</v>
      </c>
      <c r="M924">
        <f>IF(Table1[[#This Row],[Sale_Type]]="Buffet",1,0)</f>
        <v>1</v>
      </c>
    </row>
    <row r="925" spans="1:13" x14ac:dyDescent="0.2">
      <c r="A925" t="s">
        <v>1195</v>
      </c>
      <c r="B925" t="s">
        <v>100</v>
      </c>
      <c r="C925" s="1">
        <v>45973</v>
      </c>
      <c r="D925" t="s">
        <v>13</v>
      </c>
      <c r="E925" t="s">
        <v>43</v>
      </c>
      <c r="F925" t="s">
        <v>57</v>
      </c>
      <c r="G925" t="s">
        <v>45</v>
      </c>
      <c r="H925">
        <v>4</v>
      </c>
      <c r="I925">
        <v>84.5</v>
      </c>
      <c r="J925" t="s">
        <v>34</v>
      </c>
      <c r="K925" t="s">
        <v>18</v>
      </c>
      <c r="L925">
        <f>WEEKDAY(Table1[[#This Row],[Transaction_Date]],2)</f>
        <v>3</v>
      </c>
      <c r="M925">
        <f>IF(Table1[[#This Row],[Sale_Type]]="Buffet",1,0)</f>
        <v>1</v>
      </c>
    </row>
    <row r="926" spans="1:13" x14ac:dyDescent="0.2">
      <c r="A926" t="s">
        <v>1196</v>
      </c>
      <c r="B926" t="s">
        <v>266</v>
      </c>
      <c r="C926" s="1">
        <v>45973</v>
      </c>
      <c r="D926" t="s">
        <v>13</v>
      </c>
      <c r="E926" t="s">
        <v>43</v>
      </c>
      <c r="F926" t="s">
        <v>57</v>
      </c>
      <c r="G926" t="s">
        <v>45</v>
      </c>
      <c r="H926">
        <v>6</v>
      </c>
      <c r="I926">
        <v>124.5</v>
      </c>
      <c r="J926" t="s">
        <v>28</v>
      </c>
      <c r="K926" t="s">
        <v>21</v>
      </c>
      <c r="L926">
        <f>WEEKDAY(Table1[[#This Row],[Transaction_Date]],2)</f>
        <v>3</v>
      </c>
      <c r="M926">
        <f>IF(Table1[[#This Row],[Sale_Type]]="Buffet",1,0)</f>
        <v>1</v>
      </c>
    </row>
    <row r="927" spans="1:13" x14ac:dyDescent="0.2">
      <c r="A927" t="s">
        <v>1197</v>
      </c>
      <c r="B927" t="s">
        <v>730</v>
      </c>
      <c r="C927" s="1">
        <v>45974</v>
      </c>
      <c r="D927" t="s">
        <v>62</v>
      </c>
      <c r="E927" t="s">
        <v>14</v>
      </c>
      <c r="F927" t="s">
        <v>15</v>
      </c>
      <c r="G927" t="s">
        <v>16</v>
      </c>
      <c r="H927">
        <v>3</v>
      </c>
      <c r="I927">
        <v>74.260000000000005</v>
      </c>
      <c r="J927" t="s">
        <v>28</v>
      </c>
      <c r="K927" t="s">
        <v>18</v>
      </c>
      <c r="L927">
        <f>WEEKDAY(Table1[[#This Row],[Transaction_Date]],2)</f>
        <v>4</v>
      </c>
      <c r="M927">
        <f>IF(Table1[[#This Row],[Sale_Type]]="Buffet",1,0)</f>
        <v>0</v>
      </c>
    </row>
    <row r="928" spans="1:13" x14ac:dyDescent="0.2">
      <c r="A928" t="s">
        <v>1198</v>
      </c>
      <c r="B928" t="s">
        <v>518</v>
      </c>
      <c r="C928" s="1">
        <v>45974</v>
      </c>
      <c r="D928" t="s">
        <v>62</v>
      </c>
      <c r="E928" t="s">
        <v>14</v>
      </c>
      <c r="F928" t="s">
        <v>15</v>
      </c>
      <c r="G928" t="s">
        <v>16</v>
      </c>
      <c r="H928">
        <v>3</v>
      </c>
      <c r="I928">
        <v>81.7</v>
      </c>
      <c r="J928" t="s">
        <v>17</v>
      </c>
      <c r="K928" t="s">
        <v>18</v>
      </c>
      <c r="L928">
        <f>WEEKDAY(Table1[[#This Row],[Transaction_Date]],2)</f>
        <v>4</v>
      </c>
      <c r="M928">
        <f>IF(Table1[[#This Row],[Sale_Type]]="Buffet",1,0)</f>
        <v>0</v>
      </c>
    </row>
    <row r="929" spans="1:13" x14ac:dyDescent="0.2">
      <c r="A929" t="s">
        <v>1199</v>
      </c>
      <c r="B929" t="s">
        <v>545</v>
      </c>
      <c r="C929" s="1">
        <v>45974</v>
      </c>
      <c r="D929" t="s">
        <v>62</v>
      </c>
      <c r="E929" t="s">
        <v>14</v>
      </c>
      <c r="F929" t="s">
        <v>15</v>
      </c>
      <c r="G929" t="s">
        <v>16</v>
      </c>
      <c r="H929">
        <v>2</v>
      </c>
      <c r="I929">
        <v>61.5</v>
      </c>
      <c r="J929" t="s">
        <v>17</v>
      </c>
      <c r="K929" t="s">
        <v>18</v>
      </c>
      <c r="L929">
        <f>WEEKDAY(Table1[[#This Row],[Transaction_Date]],2)</f>
        <v>4</v>
      </c>
      <c r="M929">
        <f>IF(Table1[[#This Row],[Sale_Type]]="Buffet",1,0)</f>
        <v>0</v>
      </c>
    </row>
    <row r="930" spans="1:13" x14ac:dyDescent="0.2">
      <c r="A930" t="s">
        <v>1200</v>
      </c>
      <c r="B930" t="s">
        <v>337</v>
      </c>
      <c r="C930" s="1">
        <v>45974</v>
      </c>
      <c r="D930" t="s">
        <v>62</v>
      </c>
      <c r="E930" t="s">
        <v>14</v>
      </c>
      <c r="F930" t="s">
        <v>15</v>
      </c>
      <c r="G930" t="s">
        <v>16</v>
      </c>
      <c r="H930">
        <v>3</v>
      </c>
      <c r="I930">
        <v>87.73</v>
      </c>
      <c r="J930" t="s">
        <v>17</v>
      </c>
      <c r="K930" t="s">
        <v>21</v>
      </c>
      <c r="L930">
        <f>WEEKDAY(Table1[[#This Row],[Transaction_Date]],2)</f>
        <v>4</v>
      </c>
      <c r="M930">
        <f>IF(Table1[[#This Row],[Sale_Type]]="Buffet",1,0)</f>
        <v>0</v>
      </c>
    </row>
    <row r="931" spans="1:13" x14ac:dyDescent="0.2">
      <c r="A931" t="s">
        <v>1201</v>
      </c>
      <c r="B931" t="s">
        <v>433</v>
      </c>
      <c r="C931" s="1">
        <v>45974</v>
      </c>
      <c r="D931" t="s">
        <v>62</v>
      </c>
      <c r="E931" t="s">
        <v>14</v>
      </c>
      <c r="F931" t="s">
        <v>24</v>
      </c>
      <c r="G931" t="s">
        <v>16</v>
      </c>
      <c r="H931">
        <v>3</v>
      </c>
      <c r="I931">
        <v>137.46</v>
      </c>
      <c r="J931" t="s">
        <v>34</v>
      </c>
      <c r="K931" t="s">
        <v>21</v>
      </c>
      <c r="L931">
        <f>WEEKDAY(Table1[[#This Row],[Transaction_Date]],2)</f>
        <v>4</v>
      </c>
      <c r="M931">
        <f>IF(Table1[[#This Row],[Sale_Type]]="Buffet",1,0)</f>
        <v>0</v>
      </c>
    </row>
    <row r="932" spans="1:13" x14ac:dyDescent="0.2">
      <c r="A932" t="s">
        <v>1202</v>
      </c>
      <c r="B932" t="s">
        <v>120</v>
      </c>
      <c r="C932" s="1">
        <v>45974</v>
      </c>
      <c r="D932" t="s">
        <v>62</v>
      </c>
      <c r="E932" t="s">
        <v>14</v>
      </c>
      <c r="F932" t="s">
        <v>27</v>
      </c>
      <c r="G932" t="s">
        <v>16</v>
      </c>
      <c r="H932">
        <v>4</v>
      </c>
      <c r="I932">
        <v>97.78</v>
      </c>
      <c r="J932" t="s">
        <v>28</v>
      </c>
      <c r="K932" t="s">
        <v>21</v>
      </c>
      <c r="L932">
        <f>WEEKDAY(Table1[[#This Row],[Transaction_Date]],2)</f>
        <v>4</v>
      </c>
      <c r="M932">
        <f>IF(Table1[[#This Row],[Sale_Type]]="Buffet",1,0)</f>
        <v>0</v>
      </c>
    </row>
    <row r="933" spans="1:13" x14ac:dyDescent="0.2">
      <c r="A933" t="s">
        <v>1203</v>
      </c>
      <c r="B933" t="s">
        <v>423</v>
      </c>
      <c r="C933" s="1">
        <v>45974</v>
      </c>
      <c r="D933" t="s">
        <v>62</v>
      </c>
      <c r="E933" t="s">
        <v>14</v>
      </c>
      <c r="F933" t="s">
        <v>27</v>
      </c>
      <c r="G933" t="s">
        <v>16</v>
      </c>
      <c r="H933">
        <v>3</v>
      </c>
      <c r="I933">
        <v>170.56</v>
      </c>
      <c r="J933" t="s">
        <v>28</v>
      </c>
      <c r="K933" t="s">
        <v>18</v>
      </c>
      <c r="L933">
        <f>WEEKDAY(Table1[[#This Row],[Transaction_Date]],2)</f>
        <v>4</v>
      </c>
      <c r="M933">
        <f>IF(Table1[[#This Row],[Sale_Type]]="Buffet",1,0)</f>
        <v>0</v>
      </c>
    </row>
    <row r="934" spans="1:13" x14ac:dyDescent="0.2">
      <c r="A934" t="s">
        <v>1204</v>
      </c>
      <c r="B934" t="s">
        <v>323</v>
      </c>
      <c r="C934" s="1">
        <v>45974</v>
      </c>
      <c r="D934" t="s">
        <v>62</v>
      </c>
      <c r="E934" t="s">
        <v>14</v>
      </c>
      <c r="F934" t="s">
        <v>27</v>
      </c>
      <c r="G934" t="s">
        <v>16</v>
      </c>
      <c r="H934">
        <v>2</v>
      </c>
      <c r="I934">
        <v>64.260000000000005</v>
      </c>
      <c r="J934" t="s">
        <v>34</v>
      </c>
      <c r="K934" t="s">
        <v>18</v>
      </c>
      <c r="L934">
        <f>WEEKDAY(Table1[[#This Row],[Transaction_Date]],2)</f>
        <v>4</v>
      </c>
      <c r="M934">
        <f>IF(Table1[[#This Row],[Sale_Type]]="Buffet",1,0)</f>
        <v>0</v>
      </c>
    </row>
    <row r="935" spans="1:13" x14ac:dyDescent="0.2">
      <c r="A935" t="s">
        <v>1205</v>
      </c>
      <c r="B935" t="s">
        <v>486</v>
      </c>
      <c r="C935" s="1">
        <v>45974</v>
      </c>
      <c r="D935" t="s">
        <v>62</v>
      </c>
      <c r="E935" t="s">
        <v>14</v>
      </c>
      <c r="F935" t="s">
        <v>27</v>
      </c>
      <c r="G935" t="s">
        <v>16</v>
      </c>
      <c r="H935">
        <v>3</v>
      </c>
      <c r="I935">
        <v>88.93</v>
      </c>
      <c r="J935" t="s">
        <v>34</v>
      </c>
      <c r="K935" t="s">
        <v>18</v>
      </c>
      <c r="L935">
        <f>WEEKDAY(Table1[[#This Row],[Transaction_Date]],2)</f>
        <v>4</v>
      </c>
      <c r="M935">
        <f>IF(Table1[[#This Row],[Sale_Type]]="Buffet",1,0)</f>
        <v>0</v>
      </c>
    </row>
    <row r="936" spans="1:13" x14ac:dyDescent="0.2">
      <c r="A936" t="s">
        <v>1206</v>
      </c>
      <c r="B936" t="s">
        <v>459</v>
      </c>
      <c r="C936" s="1">
        <v>45974</v>
      </c>
      <c r="D936" t="s">
        <v>62</v>
      </c>
      <c r="E936" t="s">
        <v>14</v>
      </c>
      <c r="F936" t="s">
        <v>31</v>
      </c>
      <c r="G936" t="s">
        <v>16</v>
      </c>
      <c r="H936">
        <v>1</v>
      </c>
      <c r="I936">
        <v>25.39</v>
      </c>
      <c r="J936" t="s">
        <v>17</v>
      </c>
      <c r="K936" t="s">
        <v>18</v>
      </c>
      <c r="L936">
        <f>WEEKDAY(Table1[[#This Row],[Transaction_Date]],2)</f>
        <v>4</v>
      </c>
      <c r="M936">
        <f>IF(Table1[[#This Row],[Sale_Type]]="Buffet",1,0)</f>
        <v>0</v>
      </c>
    </row>
    <row r="937" spans="1:13" x14ac:dyDescent="0.2">
      <c r="A937" t="s">
        <v>1207</v>
      </c>
      <c r="B937" t="s">
        <v>23</v>
      </c>
      <c r="C937" s="1">
        <v>45974</v>
      </c>
      <c r="D937" t="s">
        <v>62</v>
      </c>
      <c r="E937" t="s">
        <v>14</v>
      </c>
      <c r="F937" t="s">
        <v>31</v>
      </c>
      <c r="G937" t="s">
        <v>16</v>
      </c>
      <c r="H937">
        <v>1</v>
      </c>
      <c r="I937">
        <v>19.260000000000002</v>
      </c>
      <c r="J937" t="s">
        <v>17</v>
      </c>
      <c r="K937" t="s">
        <v>21</v>
      </c>
      <c r="L937">
        <f>WEEKDAY(Table1[[#This Row],[Transaction_Date]],2)</f>
        <v>4</v>
      </c>
      <c r="M937">
        <f>IF(Table1[[#This Row],[Sale_Type]]="Buffet",1,0)</f>
        <v>0</v>
      </c>
    </row>
    <row r="938" spans="1:13" x14ac:dyDescent="0.2">
      <c r="A938" t="s">
        <v>1208</v>
      </c>
      <c r="B938" t="s">
        <v>326</v>
      </c>
      <c r="C938" s="1">
        <v>45974</v>
      </c>
      <c r="D938" t="s">
        <v>62</v>
      </c>
      <c r="E938" t="s">
        <v>14</v>
      </c>
      <c r="F938" t="s">
        <v>31</v>
      </c>
      <c r="G938" t="s">
        <v>16</v>
      </c>
      <c r="H938">
        <v>3</v>
      </c>
      <c r="I938">
        <v>72.709999999999994</v>
      </c>
      <c r="J938" t="s">
        <v>28</v>
      </c>
      <c r="K938" t="s">
        <v>21</v>
      </c>
      <c r="L938">
        <f>WEEKDAY(Table1[[#This Row],[Transaction_Date]],2)</f>
        <v>4</v>
      </c>
      <c r="M938">
        <f>IF(Table1[[#This Row],[Sale_Type]]="Buffet",1,0)</f>
        <v>0</v>
      </c>
    </row>
    <row r="939" spans="1:13" x14ac:dyDescent="0.2">
      <c r="A939" t="s">
        <v>1209</v>
      </c>
      <c r="B939" t="s">
        <v>637</v>
      </c>
      <c r="C939" s="1">
        <v>45974</v>
      </c>
      <c r="D939" t="s">
        <v>62</v>
      </c>
      <c r="E939" t="s">
        <v>14</v>
      </c>
      <c r="F939" t="s">
        <v>31</v>
      </c>
      <c r="G939" t="s">
        <v>16</v>
      </c>
      <c r="H939">
        <v>1</v>
      </c>
      <c r="I939">
        <v>19.5</v>
      </c>
      <c r="J939" t="s">
        <v>34</v>
      </c>
      <c r="K939" t="s">
        <v>18</v>
      </c>
      <c r="L939">
        <f>WEEKDAY(Table1[[#This Row],[Transaction_Date]],2)</f>
        <v>4</v>
      </c>
      <c r="M939">
        <f>IF(Table1[[#This Row],[Sale_Type]]="Buffet",1,0)</f>
        <v>0</v>
      </c>
    </row>
    <row r="940" spans="1:13" x14ac:dyDescent="0.2">
      <c r="A940" t="s">
        <v>1210</v>
      </c>
      <c r="B940" t="s">
        <v>196</v>
      </c>
      <c r="C940" s="1">
        <v>45974</v>
      </c>
      <c r="D940" t="s">
        <v>62</v>
      </c>
      <c r="E940" t="s">
        <v>14</v>
      </c>
      <c r="F940" t="s">
        <v>40</v>
      </c>
      <c r="G940" t="s">
        <v>16</v>
      </c>
      <c r="H940">
        <v>2</v>
      </c>
      <c r="I940">
        <v>50.06</v>
      </c>
      <c r="J940" t="s">
        <v>17</v>
      </c>
      <c r="K940" t="s">
        <v>18</v>
      </c>
      <c r="L940">
        <f>WEEKDAY(Table1[[#This Row],[Transaction_Date]],2)</f>
        <v>4</v>
      </c>
      <c r="M940">
        <f>IF(Table1[[#This Row],[Sale_Type]]="Buffet",1,0)</f>
        <v>0</v>
      </c>
    </row>
    <row r="941" spans="1:13" x14ac:dyDescent="0.2">
      <c r="A941" t="s">
        <v>1211</v>
      </c>
      <c r="B941" t="s">
        <v>346</v>
      </c>
      <c r="C941" s="1">
        <v>45974</v>
      </c>
      <c r="D941" t="s">
        <v>62</v>
      </c>
      <c r="E941" t="s">
        <v>14</v>
      </c>
      <c r="F941" t="s">
        <v>40</v>
      </c>
      <c r="G941" t="s">
        <v>16</v>
      </c>
      <c r="H941">
        <v>7</v>
      </c>
      <c r="I941">
        <v>142.41</v>
      </c>
      <c r="J941" t="s">
        <v>34</v>
      </c>
      <c r="K941" t="s">
        <v>18</v>
      </c>
      <c r="L941">
        <f>WEEKDAY(Table1[[#This Row],[Transaction_Date]],2)</f>
        <v>4</v>
      </c>
      <c r="M941">
        <f>IF(Table1[[#This Row],[Sale_Type]]="Buffet",1,0)</f>
        <v>0</v>
      </c>
    </row>
    <row r="942" spans="1:13" x14ac:dyDescent="0.2">
      <c r="A942" t="s">
        <v>1212</v>
      </c>
      <c r="B942" t="s">
        <v>656</v>
      </c>
      <c r="C942" s="1">
        <v>45974</v>
      </c>
      <c r="D942" t="s">
        <v>62</v>
      </c>
      <c r="E942" t="s">
        <v>43</v>
      </c>
      <c r="F942" t="s">
        <v>44</v>
      </c>
      <c r="G942" t="s">
        <v>16</v>
      </c>
      <c r="H942">
        <v>2</v>
      </c>
      <c r="I942">
        <v>30.09</v>
      </c>
      <c r="J942" t="s">
        <v>17</v>
      </c>
      <c r="K942" t="s">
        <v>18</v>
      </c>
      <c r="L942">
        <f>WEEKDAY(Table1[[#This Row],[Transaction_Date]],2)</f>
        <v>4</v>
      </c>
      <c r="M942">
        <f>IF(Table1[[#This Row],[Sale_Type]]="Buffet",1,0)</f>
        <v>0</v>
      </c>
    </row>
    <row r="943" spans="1:13" x14ac:dyDescent="0.2">
      <c r="A943" t="s">
        <v>1213</v>
      </c>
      <c r="B943" t="s">
        <v>346</v>
      </c>
      <c r="C943" s="1">
        <v>45974</v>
      </c>
      <c r="D943" t="s">
        <v>62</v>
      </c>
      <c r="E943" t="s">
        <v>43</v>
      </c>
      <c r="F943" t="s">
        <v>44</v>
      </c>
      <c r="G943" t="s">
        <v>45</v>
      </c>
      <c r="H943">
        <v>1</v>
      </c>
      <c r="I943">
        <v>24.5</v>
      </c>
      <c r="J943" t="s">
        <v>28</v>
      </c>
      <c r="K943" t="s">
        <v>18</v>
      </c>
      <c r="L943">
        <f>WEEKDAY(Table1[[#This Row],[Transaction_Date]],2)</f>
        <v>4</v>
      </c>
      <c r="M943">
        <f>IF(Table1[[#This Row],[Sale_Type]]="Buffet",1,0)</f>
        <v>1</v>
      </c>
    </row>
    <row r="944" spans="1:13" x14ac:dyDescent="0.2">
      <c r="A944" t="s">
        <v>1214</v>
      </c>
      <c r="B944" t="s">
        <v>537</v>
      </c>
      <c r="C944" s="1">
        <v>45974</v>
      </c>
      <c r="D944" t="s">
        <v>62</v>
      </c>
      <c r="E944" t="s">
        <v>43</v>
      </c>
      <c r="F944" t="s">
        <v>50</v>
      </c>
      <c r="G944" t="s">
        <v>45</v>
      </c>
      <c r="H944">
        <v>4</v>
      </c>
      <c r="I944">
        <v>89</v>
      </c>
      <c r="J944" t="s">
        <v>34</v>
      </c>
      <c r="K944" t="s">
        <v>18</v>
      </c>
      <c r="L944">
        <f>WEEKDAY(Table1[[#This Row],[Transaction_Date]],2)</f>
        <v>4</v>
      </c>
      <c r="M944">
        <f>IF(Table1[[#This Row],[Sale_Type]]="Buffet",1,0)</f>
        <v>1</v>
      </c>
    </row>
    <row r="945" spans="1:13" x14ac:dyDescent="0.2">
      <c r="A945" t="s">
        <v>1215</v>
      </c>
      <c r="B945" t="s">
        <v>89</v>
      </c>
      <c r="C945" s="1">
        <v>45974</v>
      </c>
      <c r="D945" t="s">
        <v>62</v>
      </c>
      <c r="E945" t="s">
        <v>43</v>
      </c>
      <c r="F945" t="s">
        <v>50</v>
      </c>
      <c r="G945" t="s">
        <v>45</v>
      </c>
      <c r="H945">
        <v>3</v>
      </c>
      <c r="I945">
        <v>69</v>
      </c>
      <c r="J945" t="s">
        <v>28</v>
      </c>
      <c r="K945" t="s">
        <v>18</v>
      </c>
      <c r="L945">
        <f>WEEKDAY(Table1[[#This Row],[Transaction_Date]],2)</f>
        <v>4</v>
      </c>
      <c r="M945">
        <f>IF(Table1[[#This Row],[Sale_Type]]="Buffet",1,0)</f>
        <v>1</v>
      </c>
    </row>
    <row r="946" spans="1:13" x14ac:dyDescent="0.2">
      <c r="A946" t="s">
        <v>1216</v>
      </c>
      <c r="B946" t="s">
        <v>254</v>
      </c>
      <c r="C946" s="1">
        <v>45974</v>
      </c>
      <c r="D946" t="s">
        <v>62</v>
      </c>
      <c r="E946" t="s">
        <v>43</v>
      </c>
      <c r="F946" t="s">
        <v>50</v>
      </c>
      <c r="G946" t="s">
        <v>45</v>
      </c>
      <c r="H946">
        <v>1</v>
      </c>
      <c r="I946">
        <v>20</v>
      </c>
      <c r="J946" t="s">
        <v>34</v>
      </c>
      <c r="K946" t="s">
        <v>18</v>
      </c>
      <c r="L946">
        <f>WEEKDAY(Table1[[#This Row],[Transaction_Date]],2)</f>
        <v>4</v>
      </c>
      <c r="M946">
        <f>IF(Table1[[#This Row],[Sale_Type]]="Buffet",1,0)</f>
        <v>1</v>
      </c>
    </row>
    <row r="947" spans="1:13" x14ac:dyDescent="0.2">
      <c r="A947" t="s">
        <v>1217</v>
      </c>
      <c r="B947" t="s">
        <v>93</v>
      </c>
      <c r="C947" s="1">
        <v>45974</v>
      </c>
      <c r="D947" t="s">
        <v>62</v>
      </c>
      <c r="E947" t="s">
        <v>43</v>
      </c>
      <c r="F947" t="s">
        <v>50</v>
      </c>
      <c r="G947" t="s">
        <v>16</v>
      </c>
      <c r="H947">
        <v>1</v>
      </c>
      <c r="I947">
        <v>12.9</v>
      </c>
      <c r="J947" t="s">
        <v>17</v>
      </c>
      <c r="K947" t="s">
        <v>18</v>
      </c>
      <c r="L947">
        <f>WEEKDAY(Table1[[#This Row],[Transaction_Date]],2)</f>
        <v>4</v>
      </c>
      <c r="M947">
        <f>IF(Table1[[#This Row],[Sale_Type]]="Buffet",1,0)</f>
        <v>0</v>
      </c>
    </row>
    <row r="948" spans="1:13" x14ac:dyDescent="0.2">
      <c r="A948" t="s">
        <v>1218</v>
      </c>
      <c r="B948" t="s">
        <v>56</v>
      </c>
      <c r="C948" s="1">
        <v>45974</v>
      </c>
      <c r="D948" t="s">
        <v>62</v>
      </c>
      <c r="E948" t="s">
        <v>43</v>
      </c>
      <c r="F948" t="s">
        <v>53</v>
      </c>
      <c r="G948" t="s">
        <v>45</v>
      </c>
      <c r="H948">
        <v>3</v>
      </c>
      <c r="I948">
        <v>60</v>
      </c>
      <c r="J948" t="s">
        <v>17</v>
      </c>
      <c r="K948" t="s">
        <v>21</v>
      </c>
      <c r="L948">
        <f>WEEKDAY(Table1[[#This Row],[Transaction_Date]],2)</f>
        <v>4</v>
      </c>
      <c r="M948">
        <f>IF(Table1[[#This Row],[Sale_Type]]="Buffet",1,0)</f>
        <v>1</v>
      </c>
    </row>
    <row r="949" spans="1:13" x14ac:dyDescent="0.2">
      <c r="A949" t="s">
        <v>1219</v>
      </c>
      <c r="B949" t="s">
        <v>843</v>
      </c>
      <c r="C949" s="1">
        <v>45974</v>
      </c>
      <c r="D949" t="s">
        <v>62</v>
      </c>
      <c r="E949" t="s">
        <v>43</v>
      </c>
      <c r="F949" t="s">
        <v>57</v>
      </c>
      <c r="G949" t="s">
        <v>45</v>
      </c>
      <c r="H949">
        <v>3</v>
      </c>
      <c r="I949">
        <v>60</v>
      </c>
      <c r="J949" t="s">
        <v>17</v>
      </c>
      <c r="K949" t="s">
        <v>18</v>
      </c>
      <c r="L949">
        <f>WEEKDAY(Table1[[#This Row],[Transaction_Date]],2)</f>
        <v>4</v>
      </c>
      <c r="M949">
        <f>IF(Table1[[#This Row],[Sale_Type]]="Buffet",1,0)</f>
        <v>1</v>
      </c>
    </row>
    <row r="950" spans="1:13" x14ac:dyDescent="0.2">
      <c r="A950" t="s">
        <v>1220</v>
      </c>
      <c r="B950" t="s">
        <v>542</v>
      </c>
      <c r="C950" s="1">
        <v>45974</v>
      </c>
      <c r="D950" t="s">
        <v>62</v>
      </c>
      <c r="E950" t="s">
        <v>43</v>
      </c>
      <c r="F950" t="s">
        <v>57</v>
      </c>
      <c r="G950" t="s">
        <v>16</v>
      </c>
      <c r="H950">
        <v>2</v>
      </c>
      <c r="I950">
        <v>18.32</v>
      </c>
      <c r="J950" t="s">
        <v>34</v>
      </c>
      <c r="K950" t="s">
        <v>18</v>
      </c>
      <c r="L950">
        <f>WEEKDAY(Table1[[#This Row],[Transaction_Date]],2)</f>
        <v>4</v>
      </c>
      <c r="M950">
        <f>IF(Table1[[#This Row],[Sale_Type]]="Buffet",1,0)</f>
        <v>0</v>
      </c>
    </row>
    <row r="951" spans="1:13" x14ac:dyDescent="0.2">
      <c r="A951" t="s">
        <v>1221</v>
      </c>
      <c r="B951" t="s">
        <v>283</v>
      </c>
      <c r="C951" s="1">
        <v>45974</v>
      </c>
      <c r="D951" t="s">
        <v>62</v>
      </c>
      <c r="E951" t="s">
        <v>43</v>
      </c>
      <c r="F951" t="s">
        <v>57</v>
      </c>
      <c r="G951" t="s">
        <v>45</v>
      </c>
      <c r="H951">
        <v>2</v>
      </c>
      <c r="I951">
        <v>44.5</v>
      </c>
      <c r="J951" t="s">
        <v>28</v>
      </c>
      <c r="K951" t="s">
        <v>18</v>
      </c>
      <c r="L951">
        <f>WEEKDAY(Table1[[#This Row],[Transaction_Date]],2)</f>
        <v>4</v>
      </c>
      <c r="M951">
        <f>IF(Table1[[#This Row],[Sale_Type]]="Buffet",1,0)</f>
        <v>1</v>
      </c>
    </row>
    <row r="952" spans="1:13" x14ac:dyDescent="0.2">
      <c r="A952" t="s">
        <v>1222</v>
      </c>
      <c r="B952" t="s">
        <v>652</v>
      </c>
      <c r="C952" s="1">
        <v>45974</v>
      </c>
      <c r="D952" t="s">
        <v>62</v>
      </c>
      <c r="E952" t="s">
        <v>43</v>
      </c>
      <c r="F952" t="s">
        <v>57</v>
      </c>
      <c r="G952" t="s">
        <v>45</v>
      </c>
      <c r="H952">
        <v>4</v>
      </c>
      <c r="I952">
        <v>84.5</v>
      </c>
      <c r="J952" t="s">
        <v>17</v>
      </c>
      <c r="K952" t="s">
        <v>21</v>
      </c>
      <c r="L952">
        <f>WEEKDAY(Table1[[#This Row],[Transaction_Date]],2)</f>
        <v>4</v>
      </c>
      <c r="M952">
        <f>IF(Table1[[#This Row],[Sale_Type]]="Buffet",1,0)</f>
        <v>1</v>
      </c>
    </row>
    <row r="953" spans="1:13" x14ac:dyDescent="0.2">
      <c r="A953" t="s">
        <v>1223</v>
      </c>
      <c r="B953" t="s">
        <v>260</v>
      </c>
      <c r="C953" s="1">
        <v>45975</v>
      </c>
      <c r="D953" t="s">
        <v>96</v>
      </c>
      <c r="E953" t="s">
        <v>14</v>
      </c>
      <c r="F953" t="s">
        <v>15</v>
      </c>
      <c r="G953" t="s">
        <v>16</v>
      </c>
      <c r="H953">
        <v>2</v>
      </c>
      <c r="I953">
        <v>43.98</v>
      </c>
      <c r="J953" t="s">
        <v>17</v>
      </c>
      <c r="K953" t="s">
        <v>21</v>
      </c>
      <c r="L953">
        <f>WEEKDAY(Table1[[#This Row],[Transaction_Date]],2)</f>
        <v>5</v>
      </c>
      <c r="M953">
        <f>IF(Table1[[#This Row],[Sale_Type]]="Buffet",1,0)</f>
        <v>0</v>
      </c>
    </row>
    <row r="954" spans="1:13" x14ac:dyDescent="0.2">
      <c r="A954" t="s">
        <v>1224</v>
      </c>
      <c r="B954" t="s">
        <v>176</v>
      </c>
      <c r="C954" s="1">
        <v>45975</v>
      </c>
      <c r="D954" t="s">
        <v>96</v>
      </c>
      <c r="E954" t="s">
        <v>14</v>
      </c>
      <c r="F954" t="s">
        <v>15</v>
      </c>
      <c r="G954" t="s">
        <v>16</v>
      </c>
      <c r="H954">
        <v>4</v>
      </c>
      <c r="I954">
        <v>129.44999999999999</v>
      </c>
      <c r="J954" t="s">
        <v>17</v>
      </c>
      <c r="K954" t="s">
        <v>18</v>
      </c>
      <c r="L954">
        <f>WEEKDAY(Table1[[#This Row],[Transaction_Date]],2)</f>
        <v>5</v>
      </c>
      <c r="M954">
        <f>IF(Table1[[#This Row],[Sale_Type]]="Buffet",1,0)</f>
        <v>0</v>
      </c>
    </row>
    <row r="955" spans="1:13" x14ac:dyDescent="0.2">
      <c r="A955" t="s">
        <v>1225</v>
      </c>
      <c r="B955" t="s">
        <v>178</v>
      </c>
      <c r="C955" s="1">
        <v>45975</v>
      </c>
      <c r="D955" t="s">
        <v>96</v>
      </c>
      <c r="E955" t="s">
        <v>14</v>
      </c>
      <c r="F955" t="s">
        <v>24</v>
      </c>
      <c r="G955" t="s">
        <v>16</v>
      </c>
      <c r="H955">
        <v>3</v>
      </c>
      <c r="I955">
        <v>113.62</v>
      </c>
      <c r="J955" t="s">
        <v>17</v>
      </c>
      <c r="K955" t="s">
        <v>18</v>
      </c>
      <c r="L955">
        <f>WEEKDAY(Table1[[#This Row],[Transaction_Date]],2)</f>
        <v>5</v>
      </c>
      <c r="M955">
        <f>IF(Table1[[#This Row],[Sale_Type]]="Buffet",1,0)</f>
        <v>0</v>
      </c>
    </row>
    <row r="956" spans="1:13" x14ac:dyDescent="0.2">
      <c r="A956" t="s">
        <v>1226</v>
      </c>
      <c r="B956" t="s">
        <v>996</v>
      </c>
      <c r="C956" s="1">
        <v>45975</v>
      </c>
      <c r="D956" t="s">
        <v>96</v>
      </c>
      <c r="E956" t="s">
        <v>14</v>
      </c>
      <c r="F956" t="s">
        <v>27</v>
      </c>
      <c r="G956" t="s">
        <v>16</v>
      </c>
      <c r="H956">
        <v>3</v>
      </c>
      <c r="I956">
        <v>92.04</v>
      </c>
      <c r="J956" t="s">
        <v>17</v>
      </c>
      <c r="K956" t="s">
        <v>18</v>
      </c>
      <c r="L956">
        <f>WEEKDAY(Table1[[#This Row],[Transaction_Date]],2)</f>
        <v>5</v>
      </c>
      <c r="M956">
        <f>IF(Table1[[#This Row],[Sale_Type]]="Buffet",1,0)</f>
        <v>0</v>
      </c>
    </row>
    <row r="957" spans="1:13" x14ac:dyDescent="0.2">
      <c r="A957" t="s">
        <v>1227</v>
      </c>
      <c r="B957" t="s">
        <v>637</v>
      </c>
      <c r="C957" s="1">
        <v>45975</v>
      </c>
      <c r="D957" t="s">
        <v>96</v>
      </c>
      <c r="E957" t="s">
        <v>14</v>
      </c>
      <c r="F957" t="s">
        <v>27</v>
      </c>
      <c r="G957" t="s">
        <v>16</v>
      </c>
      <c r="H957">
        <v>1</v>
      </c>
      <c r="I957">
        <v>33.369999999999997</v>
      </c>
      <c r="J957" t="s">
        <v>34</v>
      </c>
      <c r="K957" t="s">
        <v>18</v>
      </c>
      <c r="L957">
        <f>WEEKDAY(Table1[[#This Row],[Transaction_Date]],2)</f>
        <v>5</v>
      </c>
      <c r="M957">
        <f>IF(Table1[[#This Row],[Sale_Type]]="Buffet",1,0)</f>
        <v>0</v>
      </c>
    </row>
    <row r="958" spans="1:13" x14ac:dyDescent="0.2">
      <c r="A958" t="s">
        <v>1228</v>
      </c>
      <c r="B958" t="s">
        <v>503</v>
      </c>
      <c r="C958" s="1">
        <v>45975</v>
      </c>
      <c r="D958" t="s">
        <v>96</v>
      </c>
      <c r="E958" t="s">
        <v>14</v>
      </c>
      <c r="F958" t="s">
        <v>40</v>
      </c>
      <c r="G958" t="s">
        <v>16</v>
      </c>
      <c r="H958">
        <v>3</v>
      </c>
      <c r="I958">
        <v>64.59</v>
      </c>
      <c r="J958" t="s">
        <v>17</v>
      </c>
      <c r="K958" t="s">
        <v>21</v>
      </c>
      <c r="L958">
        <f>WEEKDAY(Table1[[#This Row],[Transaction_Date]],2)</f>
        <v>5</v>
      </c>
      <c r="M958">
        <f>IF(Table1[[#This Row],[Sale_Type]]="Buffet",1,0)</f>
        <v>0</v>
      </c>
    </row>
    <row r="959" spans="1:13" x14ac:dyDescent="0.2">
      <c r="A959" t="s">
        <v>1229</v>
      </c>
      <c r="B959" t="s">
        <v>684</v>
      </c>
      <c r="C959" s="1">
        <v>45975</v>
      </c>
      <c r="D959" t="s">
        <v>96</v>
      </c>
      <c r="E959" t="s">
        <v>43</v>
      </c>
      <c r="F959" t="s">
        <v>44</v>
      </c>
      <c r="G959" t="s">
        <v>16</v>
      </c>
      <c r="H959">
        <v>2</v>
      </c>
      <c r="I959">
        <v>47.13</v>
      </c>
      <c r="J959" t="s">
        <v>17</v>
      </c>
      <c r="K959" t="s">
        <v>18</v>
      </c>
      <c r="L959">
        <f>WEEKDAY(Table1[[#This Row],[Transaction_Date]],2)</f>
        <v>5</v>
      </c>
      <c r="M959">
        <f>IF(Table1[[#This Row],[Sale_Type]]="Buffet",1,0)</f>
        <v>0</v>
      </c>
    </row>
    <row r="960" spans="1:13" x14ac:dyDescent="0.2">
      <c r="A960" t="s">
        <v>1230</v>
      </c>
      <c r="B960" t="s">
        <v>1231</v>
      </c>
      <c r="C960" s="1">
        <v>45975</v>
      </c>
      <c r="D960" t="s">
        <v>96</v>
      </c>
      <c r="E960" t="s">
        <v>43</v>
      </c>
      <c r="F960" t="s">
        <v>44</v>
      </c>
      <c r="G960" t="s">
        <v>16</v>
      </c>
      <c r="H960">
        <v>3</v>
      </c>
      <c r="I960">
        <v>80.77</v>
      </c>
      <c r="J960" t="s">
        <v>28</v>
      </c>
      <c r="K960" t="s">
        <v>18</v>
      </c>
      <c r="L960">
        <f>WEEKDAY(Table1[[#This Row],[Transaction_Date]],2)</f>
        <v>5</v>
      </c>
      <c r="M960">
        <f>IF(Table1[[#This Row],[Sale_Type]]="Buffet",1,0)</f>
        <v>0</v>
      </c>
    </row>
    <row r="961" spans="1:13" x14ac:dyDescent="0.2">
      <c r="A961" t="s">
        <v>1232</v>
      </c>
      <c r="B961" t="s">
        <v>83</v>
      </c>
      <c r="C961" s="1">
        <v>45975</v>
      </c>
      <c r="D961" t="s">
        <v>96</v>
      </c>
      <c r="E961" t="s">
        <v>43</v>
      </c>
      <c r="F961" t="s">
        <v>50</v>
      </c>
      <c r="G961" t="s">
        <v>16</v>
      </c>
      <c r="H961">
        <v>5</v>
      </c>
      <c r="I961">
        <v>108.66</v>
      </c>
      <c r="J961" t="s">
        <v>17</v>
      </c>
      <c r="K961" t="s">
        <v>18</v>
      </c>
      <c r="L961">
        <f>WEEKDAY(Table1[[#This Row],[Transaction_Date]],2)</f>
        <v>5</v>
      </c>
      <c r="M961">
        <f>IF(Table1[[#This Row],[Sale_Type]]="Buffet",1,0)</f>
        <v>0</v>
      </c>
    </row>
    <row r="962" spans="1:13" x14ac:dyDescent="0.2">
      <c r="A962" t="s">
        <v>1233</v>
      </c>
      <c r="B962" t="s">
        <v>228</v>
      </c>
      <c r="C962" s="1">
        <v>45975</v>
      </c>
      <c r="D962" t="s">
        <v>96</v>
      </c>
      <c r="E962" t="s">
        <v>43</v>
      </c>
      <c r="F962" t="s">
        <v>53</v>
      </c>
      <c r="G962" t="s">
        <v>45</v>
      </c>
      <c r="H962">
        <v>2</v>
      </c>
      <c r="I962">
        <v>40</v>
      </c>
      <c r="J962" t="s">
        <v>17</v>
      </c>
      <c r="K962" t="s">
        <v>21</v>
      </c>
      <c r="L962">
        <f>WEEKDAY(Table1[[#This Row],[Transaction_Date]],2)</f>
        <v>5</v>
      </c>
      <c r="M962">
        <f>IF(Table1[[#This Row],[Sale_Type]]="Buffet",1,0)</f>
        <v>1</v>
      </c>
    </row>
    <row r="963" spans="1:13" x14ac:dyDescent="0.2">
      <c r="A963" t="s">
        <v>1234</v>
      </c>
      <c r="B963" t="s">
        <v>394</v>
      </c>
      <c r="C963" s="1">
        <v>45975</v>
      </c>
      <c r="D963" t="s">
        <v>96</v>
      </c>
      <c r="E963" t="s">
        <v>43</v>
      </c>
      <c r="F963" t="s">
        <v>53</v>
      </c>
      <c r="G963" t="s">
        <v>45</v>
      </c>
      <c r="H963">
        <v>4</v>
      </c>
      <c r="I963">
        <v>89</v>
      </c>
      <c r="J963" t="s">
        <v>28</v>
      </c>
      <c r="K963" t="s">
        <v>18</v>
      </c>
      <c r="L963">
        <f>WEEKDAY(Table1[[#This Row],[Transaction_Date]],2)</f>
        <v>5</v>
      </c>
      <c r="M963">
        <f>IF(Table1[[#This Row],[Sale_Type]]="Buffet",1,0)</f>
        <v>1</v>
      </c>
    </row>
    <row r="964" spans="1:13" x14ac:dyDescent="0.2">
      <c r="A964" t="s">
        <v>1235</v>
      </c>
      <c r="B964" t="s">
        <v>567</v>
      </c>
      <c r="C964" s="1">
        <v>45975</v>
      </c>
      <c r="D964" t="s">
        <v>96</v>
      </c>
      <c r="E964" t="s">
        <v>43</v>
      </c>
      <c r="F964" t="s">
        <v>53</v>
      </c>
      <c r="G964" t="s">
        <v>45</v>
      </c>
      <c r="H964">
        <v>1</v>
      </c>
      <c r="I964">
        <v>20</v>
      </c>
      <c r="J964" t="s">
        <v>28</v>
      </c>
      <c r="K964" t="s">
        <v>18</v>
      </c>
      <c r="L964">
        <f>WEEKDAY(Table1[[#This Row],[Transaction_Date]],2)</f>
        <v>5</v>
      </c>
      <c r="M964">
        <f>IF(Table1[[#This Row],[Sale_Type]]="Buffet",1,0)</f>
        <v>1</v>
      </c>
    </row>
    <row r="965" spans="1:13" x14ac:dyDescent="0.2">
      <c r="A965" t="s">
        <v>1236</v>
      </c>
      <c r="B965" t="s">
        <v>304</v>
      </c>
      <c r="C965" s="1">
        <v>45975</v>
      </c>
      <c r="D965" t="s">
        <v>96</v>
      </c>
      <c r="E965" t="s">
        <v>43</v>
      </c>
      <c r="F965" t="s">
        <v>57</v>
      </c>
      <c r="G965" t="s">
        <v>16</v>
      </c>
      <c r="H965">
        <v>2</v>
      </c>
      <c r="I965">
        <v>27.5</v>
      </c>
      <c r="J965" t="s">
        <v>34</v>
      </c>
      <c r="K965" t="s">
        <v>21</v>
      </c>
      <c r="L965">
        <f>WEEKDAY(Table1[[#This Row],[Transaction_Date]],2)</f>
        <v>5</v>
      </c>
      <c r="M965">
        <f>IF(Table1[[#This Row],[Sale_Type]]="Buffet",1,0)</f>
        <v>0</v>
      </c>
    </row>
    <row r="966" spans="1:13" x14ac:dyDescent="0.2">
      <c r="A966" t="s">
        <v>1237</v>
      </c>
      <c r="B966" t="s">
        <v>252</v>
      </c>
      <c r="C966" s="1">
        <v>45975</v>
      </c>
      <c r="D966" t="s">
        <v>96</v>
      </c>
      <c r="E966" t="s">
        <v>43</v>
      </c>
      <c r="F966" t="s">
        <v>57</v>
      </c>
      <c r="G966" t="s">
        <v>45</v>
      </c>
      <c r="H966">
        <v>3</v>
      </c>
      <c r="I966">
        <v>64.5</v>
      </c>
      <c r="J966" t="s">
        <v>17</v>
      </c>
      <c r="K966" t="s">
        <v>18</v>
      </c>
      <c r="L966">
        <f>WEEKDAY(Table1[[#This Row],[Transaction_Date]],2)</f>
        <v>5</v>
      </c>
      <c r="M966">
        <f>IF(Table1[[#This Row],[Sale_Type]]="Buffet",1,0)</f>
        <v>1</v>
      </c>
    </row>
    <row r="967" spans="1:13" x14ac:dyDescent="0.2">
      <c r="A967" t="s">
        <v>1238</v>
      </c>
      <c r="B967" t="s">
        <v>427</v>
      </c>
      <c r="C967" s="1">
        <v>45975</v>
      </c>
      <c r="D967" t="s">
        <v>96</v>
      </c>
      <c r="E967" t="s">
        <v>43</v>
      </c>
      <c r="F967" t="s">
        <v>57</v>
      </c>
      <c r="G967" t="s">
        <v>45</v>
      </c>
      <c r="H967">
        <v>4</v>
      </c>
      <c r="I967">
        <v>84.5</v>
      </c>
      <c r="J967" t="s">
        <v>34</v>
      </c>
      <c r="K967" t="s">
        <v>18</v>
      </c>
      <c r="L967">
        <f>WEEKDAY(Table1[[#This Row],[Transaction_Date]],2)</f>
        <v>5</v>
      </c>
      <c r="M967">
        <f>IF(Table1[[#This Row],[Sale_Type]]="Buffet",1,0)</f>
        <v>1</v>
      </c>
    </row>
    <row r="968" spans="1:13" x14ac:dyDescent="0.2">
      <c r="A968" t="s">
        <v>1239</v>
      </c>
      <c r="B968" t="s">
        <v>165</v>
      </c>
      <c r="C968" s="1">
        <v>45976</v>
      </c>
      <c r="D968" t="s">
        <v>127</v>
      </c>
      <c r="E968" t="s">
        <v>14</v>
      </c>
      <c r="F968" t="s">
        <v>15</v>
      </c>
      <c r="G968" t="s">
        <v>16</v>
      </c>
      <c r="H968">
        <v>3</v>
      </c>
      <c r="I968">
        <v>127.69</v>
      </c>
      <c r="J968" t="s">
        <v>28</v>
      </c>
      <c r="K968" t="s">
        <v>18</v>
      </c>
      <c r="L968">
        <f>WEEKDAY(Table1[[#This Row],[Transaction_Date]],2)</f>
        <v>6</v>
      </c>
      <c r="M968">
        <f>IF(Table1[[#This Row],[Sale_Type]]="Buffet",1,0)</f>
        <v>0</v>
      </c>
    </row>
    <row r="969" spans="1:13" x14ac:dyDescent="0.2">
      <c r="A969" t="s">
        <v>1240</v>
      </c>
      <c r="B969" t="s">
        <v>1017</v>
      </c>
      <c r="C969" s="1">
        <v>45976</v>
      </c>
      <c r="D969" t="s">
        <v>127</v>
      </c>
      <c r="E969" t="s">
        <v>14</v>
      </c>
      <c r="F969" t="s">
        <v>15</v>
      </c>
      <c r="G969" t="s">
        <v>16</v>
      </c>
      <c r="H969">
        <v>5</v>
      </c>
      <c r="I969">
        <v>100.07</v>
      </c>
      <c r="J969" t="s">
        <v>17</v>
      </c>
      <c r="K969" t="s">
        <v>18</v>
      </c>
      <c r="L969">
        <f>WEEKDAY(Table1[[#This Row],[Transaction_Date]],2)</f>
        <v>6</v>
      </c>
      <c r="M969">
        <f>IF(Table1[[#This Row],[Sale_Type]]="Buffet",1,0)</f>
        <v>0</v>
      </c>
    </row>
    <row r="970" spans="1:13" x14ac:dyDescent="0.2">
      <c r="A970" t="s">
        <v>1241</v>
      </c>
      <c r="B970" t="s">
        <v>133</v>
      </c>
      <c r="C970" s="1">
        <v>45976</v>
      </c>
      <c r="D970" t="s">
        <v>127</v>
      </c>
      <c r="E970" t="s">
        <v>14</v>
      </c>
      <c r="F970" t="s">
        <v>24</v>
      </c>
      <c r="G970" t="s">
        <v>16</v>
      </c>
      <c r="H970">
        <v>1</v>
      </c>
      <c r="I970">
        <v>23.02</v>
      </c>
      <c r="J970" t="s">
        <v>17</v>
      </c>
      <c r="K970" t="s">
        <v>18</v>
      </c>
      <c r="L970">
        <f>WEEKDAY(Table1[[#This Row],[Transaction_Date]],2)</f>
        <v>6</v>
      </c>
      <c r="M970">
        <f>IF(Table1[[#This Row],[Sale_Type]]="Buffet",1,0)</f>
        <v>0</v>
      </c>
    </row>
    <row r="971" spans="1:13" x14ac:dyDescent="0.2">
      <c r="A971" t="s">
        <v>1242</v>
      </c>
      <c r="B971" t="s">
        <v>238</v>
      </c>
      <c r="C971" s="1">
        <v>45976</v>
      </c>
      <c r="D971" t="s">
        <v>127</v>
      </c>
      <c r="E971" t="s">
        <v>14</v>
      </c>
      <c r="F971" t="s">
        <v>27</v>
      </c>
      <c r="G971" t="s">
        <v>16</v>
      </c>
      <c r="H971">
        <v>2</v>
      </c>
      <c r="I971">
        <v>59.12</v>
      </c>
      <c r="J971" t="s">
        <v>17</v>
      </c>
      <c r="K971" t="s">
        <v>18</v>
      </c>
      <c r="L971">
        <f>WEEKDAY(Table1[[#This Row],[Transaction_Date]],2)</f>
        <v>6</v>
      </c>
      <c r="M971">
        <f>IF(Table1[[#This Row],[Sale_Type]]="Buffet",1,0)</f>
        <v>0</v>
      </c>
    </row>
    <row r="972" spans="1:13" x14ac:dyDescent="0.2">
      <c r="A972" t="s">
        <v>1243</v>
      </c>
      <c r="B972" t="s">
        <v>206</v>
      </c>
      <c r="C972" s="1">
        <v>45976</v>
      </c>
      <c r="D972" t="s">
        <v>127</v>
      </c>
      <c r="E972" t="s">
        <v>14</v>
      </c>
      <c r="F972" t="s">
        <v>27</v>
      </c>
      <c r="G972" t="s">
        <v>16</v>
      </c>
      <c r="H972">
        <v>4</v>
      </c>
      <c r="I972">
        <v>120.44</v>
      </c>
      <c r="J972" t="s">
        <v>34</v>
      </c>
      <c r="K972" t="s">
        <v>18</v>
      </c>
      <c r="L972">
        <f>WEEKDAY(Table1[[#This Row],[Transaction_Date]],2)</f>
        <v>6</v>
      </c>
      <c r="M972">
        <f>IF(Table1[[#This Row],[Sale_Type]]="Buffet",1,0)</f>
        <v>0</v>
      </c>
    </row>
    <row r="973" spans="1:13" x14ac:dyDescent="0.2">
      <c r="A973" t="s">
        <v>1244</v>
      </c>
      <c r="B973" t="s">
        <v>467</v>
      </c>
      <c r="C973" s="1">
        <v>45976</v>
      </c>
      <c r="D973" t="s">
        <v>127</v>
      </c>
      <c r="E973" t="s">
        <v>14</v>
      </c>
      <c r="F973" t="s">
        <v>27</v>
      </c>
      <c r="G973" t="s">
        <v>16</v>
      </c>
      <c r="H973">
        <v>5</v>
      </c>
      <c r="I973">
        <v>131.12</v>
      </c>
      <c r="J973" t="s">
        <v>34</v>
      </c>
      <c r="K973" t="s">
        <v>18</v>
      </c>
      <c r="L973">
        <f>WEEKDAY(Table1[[#This Row],[Transaction_Date]],2)</f>
        <v>6</v>
      </c>
      <c r="M973">
        <f>IF(Table1[[#This Row],[Sale_Type]]="Buffet",1,0)</f>
        <v>0</v>
      </c>
    </row>
    <row r="974" spans="1:13" x14ac:dyDescent="0.2">
      <c r="A974" t="s">
        <v>1245</v>
      </c>
      <c r="B974" t="s">
        <v>182</v>
      </c>
      <c r="C974" s="1">
        <v>45976</v>
      </c>
      <c r="D974" t="s">
        <v>127</v>
      </c>
      <c r="E974" t="s">
        <v>14</v>
      </c>
      <c r="F974" t="s">
        <v>27</v>
      </c>
      <c r="G974" t="s">
        <v>16</v>
      </c>
      <c r="H974">
        <v>1</v>
      </c>
      <c r="I974">
        <v>39.85</v>
      </c>
      <c r="J974" t="s">
        <v>17</v>
      </c>
      <c r="K974" t="s">
        <v>18</v>
      </c>
      <c r="L974">
        <f>WEEKDAY(Table1[[#This Row],[Transaction_Date]],2)</f>
        <v>6</v>
      </c>
      <c r="M974">
        <f>IF(Table1[[#This Row],[Sale_Type]]="Buffet",1,0)</f>
        <v>0</v>
      </c>
    </row>
    <row r="975" spans="1:13" x14ac:dyDescent="0.2">
      <c r="A975" t="s">
        <v>1246</v>
      </c>
      <c r="B975" t="s">
        <v>208</v>
      </c>
      <c r="C975" s="1">
        <v>45976</v>
      </c>
      <c r="D975" t="s">
        <v>127</v>
      </c>
      <c r="E975" t="s">
        <v>14</v>
      </c>
      <c r="F975" t="s">
        <v>27</v>
      </c>
      <c r="G975" t="s">
        <v>16</v>
      </c>
      <c r="H975">
        <v>1</v>
      </c>
      <c r="I975">
        <v>36.200000000000003</v>
      </c>
      <c r="J975" t="s">
        <v>28</v>
      </c>
      <c r="K975" t="s">
        <v>21</v>
      </c>
      <c r="L975">
        <f>WEEKDAY(Table1[[#This Row],[Transaction_Date]],2)</f>
        <v>6</v>
      </c>
      <c r="M975">
        <f>IF(Table1[[#This Row],[Sale_Type]]="Buffet",1,0)</f>
        <v>0</v>
      </c>
    </row>
    <row r="976" spans="1:13" x14ac:dyDescent="0.2">
      <c r="A976" t="s">
        <v>1247</v>
      </c>
      <c r="B976" t="s">
        <v>682</v>
      </c>
      <c r="C976" s="1">
        <v>45976</v>
      </c>
      <c r="D976" t="s">
        <v>127</v>
      </c>
      <c r="E976" t="s">
        <v>14</v>
      </c>
      <c r="F976" t="s">
        <v>27</v>
      </c>
      <c r="G976" t="s">
        <v>16</v>
      </c>
      <c r="H976">
        <v>2</v>
      </c>
      <c r="I976">
        <v>46.89</v>
      </c>
      <c r="J976" t="s">
        <v>34</v>
      </c>
      <c r="K976" t="s">
        <v>18</v>
      </c>
      <c r="L976">
        <f>WEEKDAY(Table1[[#This Row],[Transaction_Date]],2)</f>
        <v>6</v>
      </c>
      <c r="M976">
        <f>IF(Table1[[#This Row],[Sale_Type]]="Buffet",1,0)</f>
        <v>0</v>
      </c>
    </row>
    <row r="977" spans="1:13" x14ac:dyDescent="0.2">
      <c r="A977" t="s">
        <v>1248</v>
      </c>
      <c r="B977" t="s">
        <v>471</v>
      </c>
      <c r="C977" s="1">
        <v>45976</v>
      </c>
      <c r="D977" t="s">
        <v>127</v>
      </c>
      <c r="E977" t="s">
        <v>14</v>
      </c>
      <c r="F977" t="s">
        <v>27</v>
      </c>
      <c r="G977" t="s">
        <v>16</v>
      </c>
      <c r="H977">
        <v>3</v>
      </c>
      <c r="I977">
        <v>61.5</v>
      </c>
      <c r="J977" t="s">
        <v>17</v>
      </c>
      <c r="K977" t="s">
        <v>18</v>
      </c>
      <c r="L977">
        <f>WEEKDAY(Table1[[#This Row],[Transaction_Date]],2)</f>
        <v>6</v>
      </c>
      <c r="M977">
        <f>IF(Table1[[#This Row],[Sale_Type]]="Buffet",1,0)</f>
        <v>0</v>
      </c>
    </row>
    <row r="978" spans="1:13" x14ac:dyDescent="0.2">
      <c r="A978" t="s">
        <v>1249</v>
      </c>
      <c r="B978" t="s">
        <v>471</v>
      </c>
      <c r="C978" s="1">
        <v>45976</v>
      </c>
      <c r="D978" t="s">
        <v>127</v>
      </c>
      <c r="E978" t="s">
        <v>14</v>
      </c>
      <c r="F978" t="s">
        <v>27</v>
      </c>
      <c r="G978" t="s">
        <v>16</v>
      </c>
      <c r="H978">
        <v>6</v>
      </c>
      <c r="I978">
        <v>150.46</v>
      </c>
      <c r="J978" t="s">
        <v>34</v>
      </c>
      <c r="K978" t="s">
        <v>18</v>
      </c>
      <c r="L978">
        <f>WEEKDAY(Table1[[#This Row],[Transaction_Date]],2)</f>
        <v>6</v>
      </c>
      <c r="M978">
        <f>IF(Table1[[#This Row],[Sale_Type]]="Buffet",1,0)</f>
        <v>0</v>
      </c>
    </row>
    <row r="979" spans="1:13" x14ac:dyDescent="0.2">
      <c r="A979" t="s">
        <v>1250</v>
      </c>
      <c r="B979" t="s">
        <v>372</v>
      </c>
      <c r="C979" s="1">
        <v>45976</v>
      </c>
      <c r="D979" t="s">
        <v>127</v>
      </c>
      <c r="E979" t="s">
        <v>14</v>
      </c>
      <c r="F979" t="s">
        <v>31</v>
      </c>
      <c r="G979" t="s">
        <v>16</v>
      </c>
      <c r="H979">
        <v>5</v>
      </c>
      <c r="I979">
        <v>260.91000000000003</v>
      </c>
      <c r="J979" t="s">
        <v>28</v>
      </c>
      <c r="K979" t="s">
        <v>21</v>
      </c>
      <c r="L979">
        <f>WEEKDAY(Table1[[#This Row],[Transaction_Date]],2)</f>
        <v>6</v>
      </c>
      <c r="M979">
        <f>IF(Table1[[#This Row],[Sale_Type]]="Buffet",1,0)</f>
        <v>0</v>
      </c>
    </row>
    <row r="980" spans="1:13" x14ac:dyDescent="0.2">
      <c r="A980" t="s">
        <v>1251</v>
      </c>
      <c r="B980" t="s">
        <v>156</v>
      </c>
      <c r="C980" s="1">
        <v>45976</v>
      </c>
      <c r="D980" t="s">
        <v>127</v>
      </c>
      <c r="E980" t="s">
        <v>14</v>
      </c>
      <c r="F980" t="s">
        <v>31</v>
      </c>
      <c r="G980" t="s">
        <v>16</v>
      </c>
      <c r="H980">
        <v>3</v>
      </c>
      <c r="I980">
        <v>62.37</v>
      </c>
      <c r="J980" t="s">
        <v>34</v>
      </c>
      <c r="K980" t="s">
        <v>18</v>
      </c>
      <c r="L980">
        <f>WEEKDAY(Table1[[#This Row],[Transaction_Date]],2)</f>
        <v>6</v>
      </c>
      <c r="M980">
        <f>IF(Table1[[#This Row],[Sale_Type]]="Buffet",1,0)</f>
        <v>0</v>
      </c>
    </row>
    <row r="981" spans="1:13" x14ac:dyDescent="0.2">
      <c r="A981" t="s">
        <v>1252</v>
      </c>
      <c r="B981" t="s">
        <v>318</v>
      </c>
      <c r="C981" s="1">
        <v>45976</v>
      </c>
      <c r="D981" t="s">
        <v>127</v>
      </c>
      <c r="E981" t="s">
        <v>14</v>
      </c>
      <c r="F981" t="s">
        <v>40</v>
      </c>
      <c r="G981" t="s">
        <v>16</v>
      </c>
      <c r="H981">
        <v>4</v>
      </c>
      <c r="I981">
        <v>199.19</v>
      </c>
      <c r="J981" t="s">
        <v>17</v>
      </c>
      <c r="K981" t="s">
        <v>18</v>
      </c>
      <c r="L981">
        <f>WEEKDAY(Table1[[#This Row],[Transaction_Date]],2)</f>
        <v>6</v>
      </c>
      <c r="M981">
        <f>IF(Table1[[#This Row],[Sale_Type]]="Buffet",1,0)</f>
        <v>0</v>
      </c>
    </row>
    <row r="982" spans="1:13" x14ac:dyDescent="0.2">
      <c r="A982" t="s">
        <v>1253</v>
      </c>
      <c r="B982" t="s">
        <v>247</v>
      </c>
      <c r="C982" s="1">
        <v>45976</v>
      </c>
      <c r="D982" t="s">
        <v>127</v>
      </c>
      <c r="E982" t="s">
        <v>14</v>
      </c>
      <c r="F982" t="s">
        <v>40</v>
      </c>
      <c r="G982" t="s">
        <v>16</v>
      </c>
      <c r="H982">
        <v>5</v>
      </c>
      <c r="I982">
        <v>310.02</v>
      </c>
      <c r="J982" t="s">
        <v>17</v>
      </c>
      <c r="K982" t="s">
        <v>21</v>
      </c>
      <c r="L982">
        <f>WEEKDAY(Table1[[#This Row],[Transaction_Date]],2)</f>
        <v>6</v>
      </c>
      <c r="M982">
        <f>IF(Table1[[#This Row],[Sale_Type]]="Buffet",1,0)</f>
        <v>0</v>
      </c>
    </row>
    <row r="983" spans="1:13" x14ac:dyDescent="0.2">
      <c r="A983" t="s">
        <v>1254</v>
      </c>
      <c r="B983" t="s">
        <v>957</v>
      </c>
      <c r="C983" s="1">
        <v>45976</v>
      </c>
      <c r="D983" t="s">
        <v>127</v>
      </c>
      <c r="E983" t="s">
        <v>14</v>
      </c>
      <c r="F983" t="s">
        <v>40</v>
      </c>
      <c r="G983" t="s">
        <v>16</v>
      </c>
      <c r="H983">
        <v>4</v>
      </c>
      <c r="I983">
        <v>133.25</v>
      </c>
      <c r="J983" t="s">
        <v>17</v>
      </c>
      <c r="K983" t="s">
        <v>21</v>
      </c>
      <c r="L983">
        <f>WEEKDAY(Table1[[#This Row],[Transaction_Date]],2)</f>
        <v>6</v>
      </c>
      <c r="M983">
        <f>IF(Table1[[#This Row],[Sale_Type]]="Buffet",1,0)</f>
        <v>0</v>
      </c>
    </row>
    <row r="984" spans="1:13" x14ac:dyDescent="0.2">
      <c r="A984" t="s">
        <v>1255</v>
      </c>
      <c r="B984" t="s">
        <v>95</v>
      </c>
      <c r="C984" s="1">
        <v>45976</v>
      </c>
      <c r="D984" t="s">
        <v>127</v>
      </c>
      <c r="E984" t="s">
        <v>43</v>
      </c>
      <c r="F984" t="s">
        <v>50</v>
      </c>
      <c r="G984" t="s">
        <v>16</v>
      </c>
      <c r="H984">
        <v>1</v>
      </c>
      <c r="I984">
        <v>28.55</v>
      </c>
      <c r="J984" t="s">
        <v>17</v>
      </c>
      <c r="K984" t="s">
        <v>21</v>
      </c>
      <c r="L984">
        <f>WEEKDAY(Table1[[#This Row],[Transaction_Date]],2)</f>
        <v>6</v>
      </c>
      <c r="M984">
        <f>IF(Table1[[#This Row],[Sale_Type]]="Buffet",1,0)</f>
        <v>0</v>
      </c>
    </row>
    <row r="985" spans="1:13" x14ac:dyDescent="0.2">
      <c r="A985" t="s">
        <v>1256</v>
      </c>
      <c r="B985" t="s">
        <v>678</v>
      </c>
      <c r="C985" s="1">
        <v>45976</v>
      </c>
      <c r="D985" t="s">
        <v>127</v>
      </c>
      <c r="E985" t="s">
        <v>43</v>
      </c>
      <c r="F985" t="s">
        <v>53</v>
      </c>
      <c r="G985" t="s">
        <v>16</v>
      </c>
      <c r="H985">
        <v>2</v>
      </c>
      <c r="I985">
        <v>30.47</v>
      </c>
      <c r="J985" t="s">
        <v>17</v>
      </c>
      <c r="K985" t="s">
        <v>18</v>
      </c>
      <c r="L985">
        <f>WEEKDAY(Table1[[#This Row],[Transaction_Date]],2)</f>
        <v>6</v>
      </c>
      <c r="M985">
        <f>IF(Table1[[#This Row],[Sale_Type]]="Buffet",1,0)</f>
        <v>0</v>
      </c>
    </row>
    <row r="986" spans="1:13" x14ac:dyDescent="0.2">
      <c r="A986" t="s">
        <v>1257</v>
      </c>
      <c r="B986" t="s">
        <v>522</v>
      </c>
      <c r="C986" s="1">
        <v>45976</v>
      </c>
      <c r="D986" t="s">
        <v>127</v>
      </c>
      <c r="E986" t="s">
        <v>43</v>
      </c>
      <c r="F986" t="s">
        <v>53</v>
      </c>
      <c r="G986" t="s">
        <v>16</v>
      </c>
      <c r="H986">
        <v>2</v>
      </c>
      <c r="I986">
        <v>25.04</v>
      </c>
      <c r="J986" t="s">
        <v>17</v>
      </c>
      <c r="K986" t="s">
        <v>18</v>
      </c>
      <c r="L986">
        <f>WEEKDAY(Table1[[#This Row],[Transaction_Date]],2)</f>
        <v>6</v>
      </c>
      <c r="M986">
        <f>IF(Table1[[#This Row],[Sale_Type]]="Buffet",1,0)</f>
        <v>0</v>
      </c>
    </row>
    <row r="987" spans="1:13" x14ac:dyDescent="0.2">
      <c r="A987" t="s">
        <v>1258</v>
      </c>
      <c r="B987" t="s">
        <v>467</v>
      </c>
      <c r="C987" s="1">
        <v>45977</v>
      </c>
      <c r="D987" t="s">
        <v>171</v>
      </c>
      <c r="E987" t="s">
        <v>14</v>
      </c>
      <c r="F987" t="s">
        <v>15</v>
      </c>
      <c r="G987" t="s">
        <v>16</v>
      </c>
      <c r="H987">
        <v>3</v>
      </c>
      <c r="I987">
        <v>62.35</v>
      </c>
      <c r="J987" t="s">
        <v>17</v>
      </c>
      <c r="K987" t="s">
        <v>18</v>
      </c>
      <c r="L987">
        <f>WEEKDAY(Table1[[#This Row],[Transaction_Date]],2)</f>
        <v>7</v>
      </c>
      <c r="M987">
        <f>IF(Table1[[#This Row],[Sale_Type]]="Buffet",1,0)</f>
        <v>0</v>
      </c>
    </row>
    <row r="988" spans="1:13" x14ac:dyDescent="0.2">
      <c r="A988" t="s">
        <v>1259</v>
      </c>
      <c r="B988" t="s">
        <v>1017</v>
      </c>
      <c r="C988" s="1">
        <v>45977</v>
      </c>
      <c r="D988" t="s">
        <v>171</v>
      </c>
      <c r="E988" t="s">
        <v>14</v>
      </c>
      <c r="F988" t="s">
        <v>24</v>
      </c>
      <c r="G988" t="s">
        <v>16</v>
      </c>
      <c r="H988">
        <v>2</v>
      </c>
      <c r="I988">
        <v>55.4</v>
      </c>
      <c r="J988" t="s">
        <v>17</v>
      </c>
      <c r="K988" t="s">
        <v>18</v>
      </c>
      <c r="L988">
        <f>WEEKDAY(Table1[[#This Row],[Transaction_Date]],2)</f>
        <v>7</v>
      </c>
      <c r="M988">
        <f>IF(Table1[[#This Row],[Sale_Type]]="Buffet",1,0)</f>
        <v>0</v>
      </c>
    </row>
    <row r="989" spans="1:13" x14ac:dyDescent="0.2">
      <c r="A989" t="s">
        <v>1260</v>
      </c>
      <c r="B989" t="s">
        <v>272</v>
      </c>
      <c r="C989" s="1">
        <v>45977</v>
      </c>
      <c r="D989" t="s">
        <v>171</v>
      </c>
      <c r="E989" t="s">
        <v>14</v>
      </c>
      <c r="F989" t="s">
        <v>24</v>
      </c>
      <c r="G989" t="s">
        <v>16</v>
      </c>
      <c r="H989">
        <v>2</v>
      </c>
      <c r="I989">
        <v>83.46</v>
      </c>
      <c r="J989" t="s">
        <v>17</v>
      </c>
      <c r="K989" t="s">
        <v>21</v>
      </c>
      <c r="L989">
        <f>WEEKDAY(Table1[[#This Row],[Transaction_Date]],2)</f>
        <v>7</v>
      </c>
      <c r="M989">
        <f>IF(Table1[[#This Row],[Sale_Type]]="Buffet",1,0)</f>
        <v>0</v>
      </c>
    </row>
    <row r="990" spans="1:13" x14ac:dyDescent="0.2">
      <c r="A990" t="s">
        <v>1261</v>
      </c>
      <c r="B990" t="s">
        <v>404</v>
      </c>
      <c r="C990" s="1">
        <v>45977</v>
      </c>
      <c r="D990" t="s">
        <v>171</v>
      </c>
      <c r="E990" t="s">
        <v>14</v>
      </c>
      <c r="F990" t="s">
        <v>24</v>
      </c>
      <c r="G990" t="s">
        <v>16</v>
      </c>
      <c r="H990">
        <v>5</v>
      </c>
      <c r="I990">
        <v>193.59</v>
      </c>
      <c r="J990" t="s">
        <v>34</v>
      </c>
      <c r="K990" t="s">
        <v>18</v>
      </c>
      <c r="L990">
        <f>WEEKDAY(Table1[[#This Row],[Transaction_Date]],2)</f>
        <v>7</v>
      </c>
      <c r="M990">
        <f>IF(Table1[[#This Row],[Sale_Type]]="Buffet",1,0)</f>
        <v>0</v>
      </c>
    </row>
    <row r="991" spans="1:13" x14ac:dyDescent="0.2">
      <c r="A991" t="s">
        <v>1262</v>
      </c>
      <c r="B991" t="s">
        <v>106</v>
      </c>
      <c r="C991" s="1">
        <v>45977</v>
      </c>
      <c r="D991" t="s">
        <v>171</v>
      </c>
      <c r="E991" t="s">
        <v>14</v>
      </c>
      <c r="F991" t="s">
        <v>24</v>
      </c>
      <c r="G991" t="s">
        <v>16</v>
      </c>
      <c r="H991">
        <v>1</v>
      </c>
      <c r="I991">
        <v>26.05</v>
      </c>
      <c r="J991" t="s">
        <v>34</v>
      </c>
      <c r="K991" t="s">
        <v>18</v>
      </c>
      <c r="L991">
        <f>WEEKDAY(Table1[[#This Row],[Transaction_Date]],2)</f>
        <v>7</v>
      </c>
      <c r="M991">
        <f>IF(Table1[[#This Row],[Sale_Type]]="Buffet",1,0)</f>
        <v>0</v>
      </c>
    </row>
    <row r="992" spans="1:13" x14ac:dyDescent="0.2">
      <c r="A992" t="s">
        <v>1263</v>
      </c>
      <c r="B992" t="s">
        <v>59</v>
      </c>
      <c r="C992" s="1">
        <v>45977</v>
      </c>
      <c r="D992" t="s">
        <v>171</v>
      </c>
      <c r="E992" t="s">
        <v>14</v>
      </c>
      <c r="F992" t="s">
        <v>24</v>
      </c>
      <c r="G992" t="s">
        <v>16</v>
      </c>
      <c r="H992">
        <v>5</v>
      </c>
      <c r="I992">
        <v>148.43</v>
      </c>
      <c r="J992" t="s">
        <v>17</v>
      </c>
      <c r="K992" t="s">
        <v>18</v>
      </c>
      <c r="L992">
        <f>WEEKDAY(Table1[[#This Row],[Transaction_Date]],2)</f>
        <v>7</v>
      </c>
      <c r="M992">
        <f>IF(Table1[[#This Row],[Sale_Type]]="Buffet",1,0)</f>
        <v>0</v>
      </c>
    </row>
    <row r="993" spans="1:13" x14ac:dyDescent="0.2">
      <c r="A993" t="s">
        <v>1264</v>
      </c>
      <c r="B993" t="s">
        <v>1067</v>
      </c>
      <c r="C993" s="1">
        <v>45977</v>
      </c>
      <c r="D993" t="s">
        <v>171</v>
      </c>
      <c r="E993" t="s">
        <v>14</v>
      </c>
      <c r="F993" t="s">
        <v>27</v>
      </c>
      <c r="G993" t="s">
        <v>16</v>
      </c>
      <c r="H993">
        <v>2</v>
      </c>
      <c r="I993">
        <v>66.180000000000007</v>
      </c>
      <c r="J993" t="s">
        <v>17</v>
      </c>
      <c r="K993" t="s">
        <v>21</v>
      </c>
      <c r="L993">
        <f>WEEKDAY(Table1[[#This Row],[Transaction_Date]],2)</f>
        <v>7</v>
      </c>
      <c r="M993">
        <f>IF(Table1[[#This Row],[Sale_Type]]="Buffet",1,0)</f>
        <v>0</v>
      </c>
    </row>
    <row r="994" spans="1:13" x14ac:dyDescent="0.2">
      <c r="A994" t="s">
        <v>1265</v>
      </c>
      <c r="B994" t="s">
        <v>138</v>
      </c>
      <c r="C994" s="1">
        <v>45977</v>
      </c>
      <c r="D994" t="s">
        <v>171</v>
      </c>
      <c r="E994" t="s">
        <v>14</v>
      </c>
      <c r="F994" t="s">
        <v>27</v>
      </c>
      <c r="G994" t="s">
        <v>16</v>
      </c>
      <c r="H994">
        <v>3</v>
      </c>
      <c r="I994">
        <v>211.2</v>
      </c>
      <c r="J994" t="s">
        <v>34</v>
      </c>
      <c r="K994" t="s">
        <v>18</v>
      </c>
      <c r="L994">
        <f>WEEKDAY(Table1[[#This Row],[Transaction_Date]],2)</f>
        <v>7</v>
      </c>
      <c r="M994">
        <f>IF(Table1[[#This Row],[Sale_Type]]="Buffet",1,0)</f>
        <v>0</v>
      </c>
    </row>
    <row r="995" spans="1:13" x14ac:dyDescent="0.2">
      <c r="A995" t="s">
        <v>1266</v>
      </c>
      <c r="B995" t="s">
        <v>129</v>
      </c>
      <c r="C995" s="1">
        <v>45977</v>
      </c>
      <c r="D995" t="s">
        <v>171</v>
      </c>
      <c r="E995" t="s">
        <v>14</v>
      </c>
      <c r="F995" t="s">
        <v>27</v>
      </c>
      <c r="G995" t="s">
        <v>16</v>
      </c>
      <c r="H995">
        <v>4</v>
      </c>
      <c r="I995">
        <v>89</v>
      </c>
      <c r="J995" t="s">
        <v>28</v>
      </c>
      <c r="K995" t="s">
        <v>18</v>
      </c>
      <c r="L995">
        <f>WEEKDAY(Table1[[#This Row],[Transaction_Date]],2)</f>
        <v>7</v>
      </c>
      <c r="M995">
        <f>IF(Table1[[#This Row],[Sale_Type]]="Buffet",1,0)</f>
        <v>0</v>
      </c>
    </row>
    <row r="996" spans="1:13" x14ac:dyDescent="0.2">
      <c r="A996" t="s">
        <v>1267</v>
      </c>
      <c r="B996" t="s">
        <v>194</v>
      </c>
      <c r="C996" s="1">
        <v>45977</v>
      </c>
      <c r="D996" t="s">
        <v>171</v>
      </c>
      <c r="E996" t="s">
        <v>14</v>
      </c>
      <c r="F996" t="s">
        <v>27</v>
      </c>
      <c r="G996" t="s">
        <v>16</v>
      </c>
      <c r="H996">
        <v>1</v>
      </c>
      <c r="I996">
        <v>25.61</v>
      </c>
      <c r="J996" t="s">
        <v>17</v>
      </c>
      <c r="K996" t="s">
        <v>21</v>
      </c>
      <c r="L996">
        <f>WEEKDAY(Table1[[#This Row],[Transaction_Date]],2)</f>
        <v>7</v>
      </c>
      <c r="M996">
        <f>IF(Table1[[#This Row],[Sale_Type]]="Buffet",1,0)</f>
        <v>0</v>
      </c>
    </row>
    <row r="997" spans="1:13" x14ac:dyDescent="0.2">
      <c r="A997" t="s">
        <v>1268</v>
      </c>
      <c r="B997" t="s">
        <v>200</v>
      </c>
      <c r="C997" s="1">
        <v>45977</v>
      </c>
      <c r="D997" t="s">
        <v>171</v>
      </c>
      <c r="E997" t="s">
        <v>14</v>
      </c>
      <c r="F997" t="s">
        <v>27</v>
      </c>
      <c r="G997" t="s">
        <v>16</v>
      </c>
      <c r="H997">
        <v>3</v>
      </c>
      <c r="I997">
        <v>65.790000000000006</v>
      </c>
      <c r="J997" t="s">
        <v>17</v>
      </c>
      <c r="K997" t="s">
        <v>18</v>
      </c>
      <c r="L997">
        <f>WEEKDAY(Table1[[#This Row],[Transaction_Date]],2)</f>
        <v>7</v>
      </c>
      <c r="M997">
        <f>IF(Table1[[#This Row],[Sale_Type]]="Buffet",1,0)</f>
        <v>0</v>
      </c>
    </row>
    <row r="998" spans="1:13" x14ac:dyDescent="0.2">
      <c r="A998" t="s">
        <v>1269</v>
      </c>
      <c r="B998" t="s">
        <v>120</v>
      </c>
      <c r="C998" s="1">
        <v>45977</v>
      </c>
      <c r="D998" t="s">
        <v>171</v>
      </c>
      <c r="E998" t="s">
        <v>14</v>
      </c>
      <c r="F998" t="s">
        <v>27</v>
      </c>
      <c r="G998" t="s">
        <v>16</v>
      </c>
      <c r="H998">
        <v>2</v>
      </c>
      <c r="I998">
        <v>40.53</v>
      </c>
      <c r="J998" t="s">
        <v>34</v>
      </c>
      <c r="K998" t="s">
        <v>18</v>
      </c>
      <c r="L998">
        <f>WEEKDAY(Table1[[#This Row],[Transaction_Date]],2)</f>
        <v>7</v>
      </c>
      <c r="M998">
        <f>IF(Table1[[#This Row],[Sale_Type]]="Buffet",1,0)</f>
        <v>0</v>
      </c>
    </row>
    <row r="999" spans="1:13" x14ac:dyDescent="0.2">
      <c r="A999" t="s">
        <v>1270</v>
      </c>
      <c r="B999" t="s">
        <v>755</v>
      </c>
      <c r="C999" s="1">
        <v>45977</v>
      </c>
      <c r="D999" t="s">
        <v>171</v>
      </c>
      <c r="E999" t="s">
        <v>14</v>
      </c>
      <c r="F999" t="s">
        <v>31</v>
      </c>
      <c r="G999" t="s">
        <v>16</v>
      </c>
      <c r="H999">
        <v>6</v>
      </c>
      <c r="I999">
        <v>169.67</v>
      </c>
      <c r="J999" t="s">
        <v>34</v>
      </c>
      <c r="K999" t="s">
        <v>18</v>
      </c>
      <c r="L999">
        <f>WEEKDAY(Table1[[#This Row],[Transaction_Date]],2)</f>
        <v>7</v>
      </c>
      <c r="M999">
        <f>IF(Table1[[#This Row],[Sale_Type]]="Buffet",1,0)</f>
        <v>0</v>
      </c>
    </row>
    <row r="1000" spans="1:13" x14ac:dyDescent="0.2">
      <c r="A1000" t="s">
        <v>1271</v>
      </c>
      <c r="B1000" t="s">
        <v>410</v>
      </c>
      <c r="C1000" s="1">
        <v>45977</v>
      </c>
      <c r="D1000" t="s">
        <v>171</v>
      </c>
      <c r="E1000" t="s">
        <v>14</v>
      </c>
      <c r="F1000" t="s">
        <v>31</v>
      </c>
      <c r="G1000" t="s">
        <v>16</v>
      </c>
      <c r="H1000">
        <v>1</v>
      </c>
      <c r="I1000">
        <v>19.440000000000001</v>
      </c>
      <c r="J1000" t="s">
        <v>34</v>
      </c>
      <c r="K1000" t="s">
        <v>18</v>
      </c>
      <c r="L1000">
        <f>WEEKDAY(Table1[[#This Row],[Transaction_Date]],2)</f>
        <v>7</v>
      </c>
      <c r="M1000">
        <f>IF(Table1[[#This Row],[Sale_Type]]="Buffet",1,0)</f>
        <v>0</v>
      </c>
    </row>
    <row r="1001" spans="1:13" x14ac:dyDescent="0.2">
      <c r="A1001" t="s">
        <v>1272</v>
      </c>
      <c r="B1001" t="s">
        <v>313</v>
      </c>
      <c r="C1001" s="1">
        <v>45977</v>
      </c>
      <c r="D1001" t="s">
        <v>171</v>
      </c>
      <c r="E1001" t="s">
        <v>14</v>
      </c>
      <c r="F1001" t="s">
        <v>31</v>
      </c>
      <c r="G1001" t="s">
        <v>16</v>
      </c>
      <c r="H1001">
        <v>3</v>
      </c>
      <c r="I1001">
        <v>52.92</v>
      </c>
      <c r="J1001" t="s">
        <v>17</v>
      </c>
      <c r="K1001" t="s">
        <v>18</v>
      </c>
      <c r="L1001">
        <f>WEEKDAY(Table1[[#This Row],[Transaction_Date]],2)</f>
        <v>7</v>
      </c>
      <c r="M1001">
        <f>IF(Table1[[#This Row],[Sale_Type]]="Buffet",1,0)</f>
        <v>0</v>
      </c>
    </row>
    <row r="1002" spans="1:13" x14ac:dyDescent="0.2">
      <c r="A1002" t="s">
        <v>1273</v>
      </c>
      <c r="B1002" t="s">
        <v>68</v>
      </c>
      <c r="C1002" s="1">
        <v>45977</v>
      </c>
      <c r="D1002" t="s">
        <v>171</v>
      </c>
      <c r="E1002" t="s">
        <v>14</v>
      </c>
      <c r="F1002" t="s">
        <v>40</v>
      </c>
      <c r="G1002" t="s">
        <v>16</v>
      </c>
      <c r="H1002">
        <v>3</v>
      </c>
      <c r="I1002">
        <v>117.22</v>
      </c>
      <c r="J1002" t="s">
        <v>34</v>
      </c>
      <c r="K1002" t="s">
        <v>18</v>
      </c>
      <c r="L1002">
        <f>WEEKDAY(Table1[[#This Row],[Transaction_Date]],2)</f>
        <v>7</v>
      </c>
      <c r="M1002">
        <f>IF(Table1[[#This Row],[Sale_Type]]="Buffet",1,0)</f>
        <v>0</v>
      </c>
    </row>
    <row r="1003" spans="1:13" x14ac:dyDescent="0.2">
      <c r="A1003" t="s">
        <v>1274</v>
      </c>
      <c r="B1003" t="s">
        <v>33</v>
      </c>
      <c r="C1003" s="1">
        <v>45977</v>
      </c>
      <c r="D1003" t="s">
        <v>171</v>
      </c>
      <c r="E1003" t="s">
        <v>14</v>
      </c>
      <c r="F1003" t="s">
        <v>40</v>
      </c>
      <c r="G1003" t="s">
        <v>16</v>
      </c>
      <c r="H1003">
        <v>5</v>
      </c>
      <c r="I1003">
        <v>111.47</v>
      </c>
      <c r="J1003" t="s">
        <v>28</v>
      </c>
      <c r="K1003" t="s">
        <v>21</v>
      </c>
      <c r="L1003">
        <f>WEEKDAY(Table1[[#This Row],[Transaction_Date]],2)</f>
        <v>7</v>
      </c>
      <c r="M1003">
        <f>IF(Table1[[#This Row],[Sale_Type]]="Buffet",1,0)</f>
        <v>0</v>
      </c>
    </row>
    <row r="1004" spans="1:13" x14ac:dyDescent="0.2">
      <c r="A1004" t="s">
        <v>1275</v>
      </c>
      <c r="B1004" t="s">
        <v>410</v>
      </c>
      <c r="C1004" s="1">
        <v>45977</v>
      </c>
      <c r="D1004" t="s">
        <v>171</v>
      </c>
      <c r="E1004" t="s">
        <v>14</v>
      </c>
      <c r="F1004" t="s">
        <v>40</v>
      </c>
      <c r="G1004" t="s">
        <v>16</v>
      </c>
      <c r="H1004">
        <v>3</v>
      </c>
      <c r="I1004">
        <v>61.44</v>
      </c>
      <c r="J1004" t="s">
        <v>34</v>
      </c>
      <c r="K1004" t="s">
        <v>18</v>
      </c>
      <c r="L1004">
        <f>WEEKDAY(Table1[[#This Row],[Transaction_Date]],2)</f>
        <v>7</v>
      </c>
      <c r="M1004">
        <f>IF(Table1[[#This Row],[Sale_Type]]="Buffet",1,0)</f>
        <v>0</v>
      </c>
    </row>
    <row r="1005" spans="1:13" x14ac:dyDescent="0.2">
      <c r="A1005" t="s">
        <v>1276</v>
      </c>
      <c r="B1005" t="s">
        <v>117</v>
      </c>
      <c r="C1005" s="1">
        <v>45977</v>
      </c>
      <c r="D1005" t="s">
        <v>171</v>
      </c>
      <c r="E1005" t="s">
        <v>43</v>
      </c>
      <c r="F1005" t="s">
        <v>50</v>
      </c>
      <c r="G1005" t="s">
        <v>16</v>
      </c>
      <c r="H1005">
        <v>5</v>
      </c>
      <c r="I1005">
        <v>130.13999999999999</v>
      </c>
      <c r="J1005" t="s">
        <v>17</v>
      </c>
      <c r="K1005" t="s">
        <v>18</v>
      </c>
      <c r="L1005">
        <f>WEEKDAY(Table1[[#This Row],[Transaction_Date]],2)</f>
        <v>7</v>
      </c>
      <c r="M1005">
        <f>IF(Table1[[#This Row],[Sale_Type]]="Buffet",1,0)</f>
        <v>0</v>
      </c>
    </row>
    <row r="1006" spans="1:13" x14ac:dyDescent="0.2">
      <c r="A1006" t="s">
        <v>1277</v>
      </c>
      <c r="B1006" t="s">
        <v>337</v>
      </c>
      <c r="C1006" s="1">
        <v>45977</v>
      </c>
      <c r="D1006" t="s">
        <v>171</v>
      </c>
      <c r="E1006" t="s">
        <v>43</v>
      </c>
      <c r="F1006" t="s">
        <v>50</v>
      </c>
      <c r="G1006" t="s">
        <v>16</v>
      </c>
      <c r="H1006">
        <v>2</v>
      </c>
      <c r="I1006">
        <v>35.86</v>
      </c>
      <c r="J1006" t="s">
        <v>17</v>
      </c>
      <c r="K1006" t="s">
        <v>18</v>
      </c>
      <c r="L1006">
        <f>WEEKDAY(Table1[[#This Row],[Transaction_Date]],2)</f>
        <v>7</v>
      </c>
      <c r="M1006">
        <f>IF(Table1[[#This Row],[Sale_Type]]="Buffet",1,0)</f>
        <v>0</v>
      </c>
    </row>
    <row r="1007" spans="1:13" x14ac:dyDescent="0.2">
      <c r="A1007" t="s">
        <v>1278</v>
      </c>
      <c r="B1007" t="s">
        <v>264</v>
      </c>
      <c r="C1007" s="1">
        <v>45977</v>
      </c>
      <c r="D1007" t="s">
        <v>171</v>
      </c>
      <c r="E1007" t="s">
        <v>43</v>
      </c>
      <c r="F1007" t="s">
        <v>50</v>
      </c>
      <c r="G1007" t="s">
        <v>16</v>
      </c>
      <c r="H1007">
        <v>4</v>
      </c>
      <c r="I1007">
        <v>51.18</v>
      </c>
      <c r="J1007" t="s">
        <v>34</v>
      </c>
      <c r="K1007" t="s">
        <v>18</v>
      </c>
      <c r="L1007">
        <f>WEEKDAY(Table1[[#This Row],[Transaction_Date]],2)</f>
        <v>7</v>
      </c>
      <c r="M1007">
        <f>IF(Table1[[#This Row],[Sale_Type]]="Buffet",1,0)</f>
        <v>0</v>
      </c>
    </row>
    <row r="1008" spans="1:13" x14ac:dyDescent="0.2">
      <c r="A1008" t="s">
        <v>1279</v>
      </c>
      <c r="B1008" t="s">
        <v>242</v>
      </c>
      <c r="C1008" s="1">
        <v>45977</v>
      </c>
      <c r="D1008" t="s">
        <v>171</v>
      </c>
      <c r="E1008" t="s">
        <v>43</v>
      </c>
      <c r="F1008" t="s">
        <v>53</v>
      </c>
      <c r="G1008" t="s">
        <v>16</v>
      </c>
      <c r="H1008">
        <v>2</v>
      </c>
      <c r="I1008">
        <v>13.79</v>
      </c>
      <c r="J1008" t="s">
        <v>34</v>
      </c>
      <c r="K1008" t="s">
        <v>18</v>
      </c>
      <c r="L1008">
        <f>WEEKDAY(Table1[[#This Row],[Transaction_Date]],2)</f>
        <v>7</v>
      </c>
      <c r="M1008">
        <f>IF(Table1[[#This Row],[Sale_Type]]="Buffet",1,0)</f>
        <v>0</v>
      </c>
    </row>
    <row r="1009" spans="1:13" x14ac:dyDescent="0.2">
      <c r="A1009" t="s">
        <v>1280</v>
      </c>
      <c r="B1009" t="s">
        <v>758</v>
      </c>
      <c r="C1009" s="1">
        <v>45977</v>
      </c>
      <c r="D1009" t="s">
        <v>171</v>
      </c>
      <c r="E1009" t="s">
        <v>43</v>
      </c>
      <c r="F1009" t="s">
        <v>53</v>
      </c>
      <c r="G1009" t="s">
        <v>16</v>
      </c>
      <c r="H1009">
        <v>5</v>
      </c>
      <c r="I1009">
        <v>103.25</v>
      </c>
      <c r="J1009" t="s">
        <v>17</v>
      </c>
      <c r="K1009" t="s">
        <v>21</v>
      </c>
      <c r="L1009">
        <f>WEEKDAY(Table1[[#This Row],[Transaction_Date]],2)</f>
        <v>7</v>
      </c>
      <c r="M1009">
        <f>IF(Table1[[#This Row],[Sale_Type]]="Buffet",1,0)</f>
        <v>0</v>
      </c>
    </row>
    <row r="1010" spans="1:13" x14ac:dyDescent="0.2">
      <c r="A1010" t="s">
        <v>1281</v>
      </c>
      <c r="B1010" t="s">
        <v>160</v>
      </c>
      <c r="C1010" s="1">
        <v>45978</v>
      </c>
      <c r="D1010" t="s">
        <v>213</v>
      </c>
      <c r="E1010" t="s">
        <v>14</v>
      </c>
      <c r="F1010" t="s">
        <v>15</v>
      </c>
      <c r="G1010" t="s">
        <v>16</v>
      </c>
      <c r="H1010">
        <v>2</v>
      </c>
      <c r="I1010">
        <v>96.25</v>
      </c>
      <c r="J1010" t="s">
        <v>17</v>
      </c>
      <c r="K1010" t="s">
        <v>18</v>
      </c>
      <c r="L1010">
        <f>WEEKDAY(Table1[[#This Row],[Transaction_Date]],2)</f>
        <v>1</v>
      </c>
      <c r="M1010">
        <f>IF(Table1[[#This Row],[Sale_Type]]="Buffet",1,0)</f>
        <v>0</v>
      </c>
    </row>
    <row r="1011" spans="1:13" x14ac:dyDescent="0.2">
      <c r="A1011" t="s">
        <v>1282</v>
      </c>
      <c r="B1011" t="s">
        <v>235</v>
      </c>
      <c r="C1011" s="1">
        <v>45978</v>
      </c>
      <c r="D1011" t="s">
        <v>213</v>
      </c>
      <c r="E1011" t="s">
        <v>14</v>
      </c>
      <c r="F1011" t="s">
        <v>24</v>
      </c>
      <c r="G1011" t="s">
        <v>16</v>
      </c>
      <c r="H1011">
        <v>4</v>
      </c>
      <c r="I1011">
        <v>79.84</v>
      </c>
      <c r="J1011" t="s">
        <v>17</v>
      </c>
      <c r="K1011" t="s">
        <v>21</v>
      </c>
      <c r="L1011">
        <f>WEEKDAY(Table1[[#This Row],[Transaction_Date]],2)</f>
        <v>1</v>
      </c>
      <c r="M1011">
        <f>IF(Table1[[#This Row],[Sale_Type]]="Buffet",1,0)</f>
        <v>0</v>
      </c>
    </row>
    <row r="1012" spans="1:13" x14ac:dyDescent="0.2">
      <c r="A1012" t="s">
        <v>1283</v>
      </c>
      <c r="B1012" t="s">
        <v>140</v>
      </c>
      <c r="C1012" s="1">
        <v>45978</v>
      </c>
      <c r="D1012" t="s">
        <v>213</v>
      </c>
      <c r="E1012" t="s">
        <v>14</v>
      </c>
      <c r="F1012" t="s">
        <v>24</v>
      </c>
      <c r="G1012" t="s">
        <v>16</v>
      </c>
      <c r="H1012">
        <v>2</v>
      </c>
      <c r="I1012">
        <v>25.85</v>
      </c>
      <c r="J1012" t="s">
        <v>17</v>
      </c>
      <c r="K1012" t="s">
        <v>18</v>
      </c>
      <c r="L1012">
        <f>WEEKDAY(Table1[[#This Row],[Transaction_Date]],2)</f>
        <v>1</v>
      </c>
      <c r="M1012">
        <f>IF(Table1[[#This Row],[Sale_Type]]="Buffet",1,0)</f>
        <v>0</v>
      </c>
    </row>
    <row r="1013" spans="1:13" x14ac:dyDescent="0.2">
      <c r="A1013" t="s">
        <v>1284</v>
      </c>
      <c r="B1013" t="s">
        <v>185</v>
      </c>
      <c r="C1013" s="1">
        <v>45978</v>
      </c>
      <c r="D1013" t="s">
        <v>213</v>
      </c>
      <c r="E1013" t="s">
        <v>14</v>
      </c>
      <c r="F1013" t="s">
        <v>24</v>
      </c>
      <c r="G1013" t="s">
        <v>16</v>
      </c>
      <c r="H1013">
        <v>4</v>
      </c>
      <c r="I1013">
        <v>148.77000000000001</v>
      </c>
      <c r="J1013" t="s">
        <v>17</v>
      </c>
      <c r="K1013" t="s">
        <v>18</v>
      </c>
      <c r="L1013">
        <f>WEEKDAY(Table1[[#This Row],[Transaction_Date]],2)</f>
        <v>1</v>
      </c>
      <c r="M1013">
        <f>IF(Table1[[#This Row],[Sale_Type]]="Buffet",1,0)</f>
        <v>0</v>
      </c>
    </row>
    <row r="1014" spans="1:13" x14ac:dyDescent="0.2">
      <c r="A1014" t="s">
        <v>1285</v>
      </c>
      <c r="B1014" t="s">
        <v>39</v>
      </c>
      <c r="C1014" s="1">
        <v>45978</v>
      </c>
      <c r="D1014" t="s">
        <v>213</v>
      </c>
      <c r="E1014" t="s">
        <v>14</v>
      </c>
      <c r="F1014" t="s">
        <v>24</v>
      </c>
      <c r="G1014" t="s">
        <v>16</v>
      </c>
      <c r="H1014">
        <v>2</v>
      </c>
      <c r="I1014">
        <v>74.77</v>
      </c>
      <c r="J1014" t="s">
        <v>34</v>
      </c>
      <c r="K1014" t="s">
        <v>18</v>
      </c>
      <c r="L1014">
        <f>WEEKDAY(Table1[[#This Row],[Transaction_Date]],2)</f>
        <v>1</v>
      </c>
      <c r="M1014">
        <f>IF(Table1[[#This Row],[Sale_Type]]="Buffet",1,0)</f>
        <v>0</v>
      </c>
    </row>
    <row r="1015" spans="1:13" x14ac:dyDescent="0.2">
      <c r="A1015" t="s">
        <v>1286</v>
      </c>
      <c r="B1015" t="s">
        <v>156</v>
      </c>
      <c r="C1015" s="1">
        <v>45978</v>
      </c>
      <c r="D1015" t="s">
        <v>213</v>
      </c>
      <c r="E1015" t="s">
        <v>14</v>
      </c>
      <c r="F1015" t="s">
        <v>27</v>
      </c>
      <c r="G1015" t="s">
        <v>16</v>
      </c>
      <c r="H1015">
        <v>2</v>
      </c>
      <c r="I1015">
        <v>62.88</v>
      </c>
      <c r="J1015" t="s">
        <v>28</v>
      </c>
      <c r="K1015" t="s">
        <v>18</v>
      </c>
      <c r="L1015">
        <f>WEEKDAY(Table1[[#This Row],[Transaction_Date]],2)</f>
        <v>1</v>
      </c>
      <c r="M1015">
        <f>IF(Table1[[#This Row],[Sale_Type]]="Buffet",1,0)</f>
        <v>0</v>
      </c>
    </row>
    <row r="1016" spans="1:13" x14ac:dyDescent="0.2">
      <c r="A1016" t="s">
        <v>1287</v>
      </c>
      <c r="B1016" t="s">
        <v>266</v>
      </c>
      <c r="C1016" s="1">
        <v>45978</v>
      </c>
      <c r="D1016" t="s">
        <v>213</v>
      </c>
      <c r="E1016" t="s">
        <v>14</v>
      </c>
      <c r="F1016" t="s">
        <v>27</v>
      </c>
      <c r="G1016" t="s">
        <v>16</v>
      </c>
      <c r="H1016">
        <v>3</v>
      </c>
      <c r="I1016">
        <v>82.61</v>
      </c>
      <c r="J1016" t="s">
        <v>28</v>
      </c>
      <c r="K1016" t="s">
        <v>21</v>
      </c>
      <c r="L1016">
        <f>WEEKDAY(Table1[[#This Row],[Transaction_Date]],2)</f>
        <v>1</v>
      </c>
      <c r="M1016">
        <f>IF(Table1[[#This Row],[Sale_Type]]="Buffet",1,0)</f>
        <v>0</v>
      </c>
    </row>
    <row r="1017" spans="1:13" x14ac:dyDescent="0.2">
      <c r="A1017" t="s">
        <v>1288</v>
      </c>
      <c r="B1017" t="s">
        <v>351</v>
      </c>
      <c r="C1017" s="1">
        <v>45978</v>
      </c>
      <c r="D1017" t="s">
        <v>213</v>
      </c>
      <c r="E1017" t="s">
        <v>14</v>
      </c>
      <c r="F1017" t="s">
        <v>27</v>
      </c>
      <c r="G1017" t="s">
        <v>16</v>
      </c>
      <c r="H1017">
        <v>3</v>
      </c>
      <c r="I1017">
        <v>105.25</v>
      </c>
      <c r="J1017" t="s">
        <v>34</v>
      </c>
      <c r="K1017" t="s">
        <v>18</v>
      </c>
      <c r="L1017">
        <f>WEEKDAY(Table1[[#This Row],[Transaction_Date]],2)</f>
        <v>1</v>
      </c>
      <c r="M1017">
        <f>IF(Table1[[#This Row],[Sale_Type]]="Buffet",1,0)</f>
        <v>0</v>
      </c>
    </row>
    <row r="1018" spans="1:13" x14ac:dyDescent="0.2">
      <c r="A1018" t="s">
        <v>1289</v>
      </c>
      <c r="B1018" t="s">
        <v>447</v>
      </c>
      <c r="C1018" s="1">
        <v>45978</v>
      </c>
      <c r="D1018" t="s">
        <v>213</v>
      </c>
      <c r="E1018" t="s">
        <v>14</v>
      </c>
      <c r="F1018" t="s">
        <v>27</v>
      </c>
      <c r="G1018" t="s">
        <v>16</v>
      </c>
      <c r="H1018">
        <v>4</v>
      </c>
      <c r="I1018">
        <v>61.67</v>
      </c>
      <c r="J1018" t="s">
        <v>34</v>
      </c>
      <c r="K1018" t="s">
        <v>18</v>
      </c>
      <c r="L1018">
        <f>WEEKDAY(Table1[[#This Row],[Transaction_Date]],2)</f>
        <v>1</v>
      </c>
      <c r="M1018">
        <f>IF(Table1[[#This Row],[Sale_Type]]="Buffet",1,0)</f>
        <v>0</v>
      </c>
    </row>
    <row r="1019" spans="1:13" x14ac:dyDescent="0.2">
      <c r="A1019" t="s">
        <v>1290</v>
      </c>
      <c r="B1019" t="s">
        <v>438</v>
      </c>
      <c r="C1019" s="1">
        <v>45978</v>
      </c>
      <c r="D1019" t="s">
        <v>213</v>
      </c>
      <c r="E1019" t="s">
        <v>14</v>
      </c>
      <c r="F1019" t="s">
        <v>27</v>
      </c>
      <c r="G1019" t="s">
        <v>16</v>
      </c>
      <c r="H1019">
        <v>5</v>
      </c>
      <c r="I1019">
        <v>136.88999999999999</v>
      </c>
      <c r="J1019" t="s">
        <v>34</v>
      </c>
      <c r="K1019" t="s">
        <v>21</v>
      </c>
      <c r="L1019">
        <f>WEEKDAY(Table1[[#This Row],[Transaction_Date]],2)</f>
        <v>1</v>
      </c>
      <c r="M1019">
        <f>IF(Table1[[#This Row],[Sale_Type]]="Buffet",1,0)</f>
        <v>0</v>
      </c>
    </row>
    <row r="1020" spans="1:13" x14ac:dyDescent="0.2">
      <c r="A1020" t="s">
        <v>1291</v>
      </c>
      <c r="B1020" t="s">
        <v>89</v>
      </c>
      <c r="C1020" s="1">
        <v>45978</v>
      </c>
      <c r="D1020" t="s">
        <v>213</v>
      </c>
      <c r="E1020" t="s">
        <v>14</v>
      </c>
      <c r="F1020" t="s">
        <v>27</v>
      </c>
      <c r="G1020" t="s">
        <v>16</v>
      </c>
      <c r="H1020">
        <v>1</v>
      </c>
      <c r="I1020">
        <v>50.69</v>
      </c>
      <c r="J1020" t="s">
        <v>17</v>
      </c>
      <c r="K1020" t="s">
        <v>18</v>
      </c>
      <c r="L1020">
        <f>WEEKDAY(Table1[[#This Row],[Transaction_Date]],2)</f>
        <v>1</v>
      </c>
      <c r="M1020">
        <f>IF(Table1[[#This Row],[Sale_Type]]="Buffet",1,0)</f>
        <v>0</v>
      </c>
    </row>
    <row r="1021" spans="1:13" x14ac:dyDescent="0.2">
      <c r="A1021" t="s">
        <v>1292</v>
      </c>
      <c r="B1021" t="s">
        <v>1079</v>
      </c>
      <c r="C1021" s="1">
        <v>45978</v>
      </c>
      <c r="D1021" t="s">
        <v>213</v>
      </c>
      <c r="E1021" t="s">
        <v>14</v>
      </c>
      <c r="F1021" t="s">
        <v>27</v>
      </c>
      <c r="G1021" t="s">
        <v>16</v>
      </c>
      <c r="H1021">
        <v>2</v>
      </c>
      <c r="I1021">
        <v>92.29</v>
      </c>
      <c r="J1021" t="s">
        <v>17</v>
      </c>
      <c r="K1021" t="s">
        <v>21</v>
      </c>
      <c r="L1021">
        <f>WEEKDAY(Table1[[#This Row],[Transaction_Date]],2)</f>
        <v>1</v>
      </c>
      <c r="M1021">
        <f>IF(Table1[[#This Row],[Sale_Type]]="Buffet",1,0)</f>
        <v>0</v>
      </c>
    </row>
    <row r="1022" spans="1:13" x14ac:dyDescent="0.2">
      <c r="A1022" t="s">
        <v>1293</v>
      </c>
      <c r="B1022" t="s">
        <v>537</v>
      </c>
      <c r="C1022" s="1">
        <v>45978</v>
      </c>
      <c r="D1022" t="s">
        <v>213</v>
      </c>
      <c r="E1022" t="s">
        <v>14</v>
      </c>
      <c r="F1022" t="s">
        <v>27</v>
      </c>
      <c r="G1022" t="s">
        <v>16</v>
      </c>
      <c r="H1022">
        <v>3</v>
      </c>
      <c r="I1022">
        <v>77.36</v>
      </c>
      <c r="J1022" t="s">
        <v>34</v>
      </c>
      <c r="K1022" t="s">
        <v>18</v>
      </c>
      <c r="L1022">
        <f>WEEKDAY(Table1[[#This Row],[Transaction_Date]],2)</f>
        <v>1</v>
      </c>
      <c r="M1022">
        <f>IF(Table1[[#This Row],[Sale_Type]]="Buffet",1,0)</f>
        <v>0</v>
      </c>
    </row>
    <row r="1023" spans="1:13" x14ac:dyDescent="0.2">
      <c r="A1023" t="s">
        <v>1294</v>
      </c>
      <c r="B1023" t="s">
        <v>208</v>
      </c>
      <c r="C1023" s="1">
        <v>45978</v>
      </c>
      <c r="D1023" t="s">
        <v>213</v>
      </c>
      <c r="E1023" t="s">
        <v>14</v>
      </c>
      <c r="F1023" t="s">
        <v>27</v>
      </c>
      <c r="G1023" t="s">
        <v>16</v>
      </c>
      <c r="H1023">
        <v>1</v>
      </c>
      <c r="I1023">
        <v>32.74</v>
      </c>
      <c r="J1023" t="s">
        <v>28</v>
      </c>
      <c r="K1023" t="s">
        <v>18</v>
      </c>
      <c r="L1023">
        <f>WEEKDAY(Table1[[#This Row],[Transaction_Date]],2)</f>
        <v>1</v>
      </c>
      <c r="M1023">
        <f>IF(Table1[[#This Row],[Sale_Type]]="Buffet",1,0)</f>
        <v>0</v>
      </c>
    </row>
    <row r="1024" spans="1:13" x14ac:dyDescent="0.2">
      <c r="A1024" t="s">
        <v>1295</v>
      </c>
      <c r="B1024" t="s">
        <v>427</v>
      </c>
      <c r="C1024" s="1">
        <v>45978</v>
      </c>
      <c r="D1024" t="s">
        <v>213</v>
      </c>
      <c r="E1024" t="s">
        <v>14</v>
      </c>
      <c r="F1024" t="s">
        <v>31</v>
      </c>
      <c r="G1024" t="s">
        <v>16</v>
      </c>
      <c r="H1024">
        <v>1</v>
      </c>
      <c r="I1024">
        <v>27.73</v>
      </c>
      <c r="J1024" t="s">
        <v>17</v>
      </c>
      <c r="K1024" t="s">
        <v>18</v>
      </c>
      <c r="L1024">
        <f>WEEKDAY(Table1[[#This Row],[Transaction_Date]],2)</f>
        <v>1</v>
      </c>
      <c r="M1024">
        <f>IF(Table1[[#This Row],[Sale_Type]]="Buffet",1,0)</f>
        <v>0</v>
      </c>
    </row>
    <row r="1025" spans="1:13" x14ac:dyDescent="0.2">
      <c r="A1025" t="s">
        <v>1296</v>
      </c>
      <c r="B1025" t="s">
        <v>235</v>
      </c>
      <c r="C1025" s="1">
        <v>45978</v>
      </c>
      <c r="D1025" t="s">
        <v>213</v>
      </c>
      <c r="E1025" t="s">
        <v>14</v>
      </c>
      <c r="F1025" t="s">
        <v>31</v>
      </c>
      <c r="G1025" t="s">
        <v>16</v>
      </c>
      <c r="H1025">
        <v>2</v>
      </c>
      <c r="I1025">
        <v>30.29</v>
      </c>
      <c r="J1025" t="s">
        <v>17</v>
      </c>
      <c r="K1025" t="s">
        <v>21</v>
      </c>
      <c r="L1025">
        <f>WEEKDAY(Table1[[#This Row],[Transaction_Date]],2)</f>
        <v>1</v>
      </c>
      <c r="M1025">
        <f>IF(Table1[[#This Row],[Sale_Type]]="Buffet",1,0)</f>
        <v>0</v>
      </c>
    </row>
    <row r="1026" spans="1:13" x14ac:dyDescent="0.2">
      <c r="A1026" t="s">
        <v>1297</v>
      </c>
      <c r="B1026" t="s">
        <v>176</v>
      </c>
      <c r="C1026" s="1">
        <v>45978</v>
      </c>
      <c r="D1026" t="s">
        <v>213</v>
      </c>
      <c r="E1026" t="s">
        <v>14</v>
      </c>
      <c r="F1026" t="s">
        <v>40</v>
      </c>
      <c r="G1026" t="s">
        <v>16</v>
      </c>
      <c r="H1026">
        <v>6</v>
      </c>
      <c r="I1026">
        <v>292.02</v>
      </c>
      <c r="J1026" t="s">
        <v>34</v>
      </c>
      <c r="K1026" t="s">
        <v>18</v>
      </c>
      <c r="L1026">
        <f>WEEKDAY(Table1[[#This Row],[Transaction_Date]],2)</f>
        <v>1</v>
      </c>
      <c r="M1026">
        <f>IF(Table1[[#This Row],[Sale_Type]]="Buffet",1,0)</f>
        <v>0</v>
      </c>
    </row>
    <row r="1027" spans="1:13" x14ac:dyDescent="0.2">
      <c r="A1027" t="s">
        <v>1298</v>
      </c>
      <c r="B1027" t="s">
        <v>423</v>
      </c>
      <c r="C1027" s="1">
        <v>45978</v>
      </c>
      <c r="D1027" t="s">
        <v>213</v>
      </c>
      <c r="E1027" t="s">
        <v>14</v>
      </c>
      <c r="F1027" t="s">
        <v>40</v>
      </c>
      <c r="G1027" t="s">
        <v>16</v>
      </c>
      <c r="H1027">
        <v>3</v>
      </c>
      <c r="I1027">
        <v>105.39</v>
      </c>
      <c r="J1027" t="s">
        <v>17</v>
      </c>
      <c r="K1027" t="s">
        <v>21</v>
      </c>
      <c r="L1027">
        <f>WEEKDAY(Table1[[#This Row],[Transaction_Date]],2)</f>
        <v>1</v>
      </c>
      <c r="M1027">
        <f>IF(Table1[[#This Row],[Sale_Type]]="Buffet",1,0)</f>
        <v>0</v>
      </c>
    </row>
    <row r="1028" spans="1:13" x14ac:dyDescent="0.2">
      <c r="A1028" t="s">
        <v>1299</v>
      </c>
      <c r="B1028" t="s">
        <v>858</v>
      </c>
      <c r="C1028" s="1">
        <v>45978</v>
      </c>
      <c r="D1028" t="s">
        <v>213</v>
      </c>
      <c r="E1028" t="s">
        <v>14</v>
      </c>
      <c r="F1028" t="s">
        <v>40</v>
      </c>
      <c r="G1028" t="s">
        <v>16</v>
      </c>
      <c r="H1028">
        <v>3</v>
      </c>
      <c r="I1028">
        <v>69.63</v>
      </c>
      <c r="J1028" t="s">
        <v>28</v>
      </c>
      <c r="K1028" t="s">
        <v>21</v>
      </c>
      <c r="L1028">
        <f>WEEKDAY(Table1[[#This Row],[Transaction_Date]],2)</f>
        <v>1</v>
      </c>
      <c r="M1028">
        <f>IF(Table1[[#This Row],[Sale_Type]]="Buffet",1,0)</f>
        <v>0</v>
      </c>
    </row>
    <row r="1029" spans="1:13" x14ac:dyDescent="0.2">
      <c r="A1029" t="s">
        <v>1300</v>
      </c>
      <c r="B1029" t="s">
        <v>678</v>
      </c>
      <c r="C1029" s="1">
        <v>45978</v>
      </c>
      <c r="D1029" t="s">
        <v>213</v>
      </c>
      <c r="E1029" t="s">
        <v>43</v>
      </c>
      <c r="F1029" t="s">
        <v>44</v>
      </c>
      <c r="G1029" t="s">
        <v>16</v>
      </c>
      <c r="H1029">
        <v>2</v>
      </c>
      <c r="I1029">
        <v>36.729999999999997</v>
      </c>
      <c r="J1029" t="s">
        <v>34</v>
      </c>
      <c r="K1029" t="s">
        <v>18</v>
      </c>
      <c r="L1029">
        <f>WEEKDAY(Table1[[#This Row],[Transaction_Date]],2)</f>
        <v>1</v>
      </c>
      <c r="M1029">
        <f>IF(Table1[[#This Row],[Sale_Type]]="Buffet",1,0)</f>
        <v>0</v>
      </c>
    </row>
    <row r="1030" spans="1:13" x14ac:dyDescent="0.2">
      <c r="A1030" t="s">
        <v>1301</v>
      </c>
      <c r="B1030" t="s">
        <v>341</v>
      </c>
      <c r="C1030" s="1">
        <v>45978</v>
      </c>
      <c r="D1030" t="s">
        <v>213</v>
      </c>
      <c r="E1030" t="s">
        <v>43</v>
      </c>
      <c r="F1030" t="s">
        <v>44</v>
      </c>
      <c r="G1030" t="s">
        <v>16</v>
      </c>
      <c r="H1030">
        <v>3</v>
      </c>
      <c r="I1030">
        <v>25.68</v>
      </c>
      <c r="J1030" t="s">
        <v>34</v>
      </c>
      <c r="K1030" t="s">
        <v>18</v>
      </c>
      <c r="L1030">
        <f>WEEKDAY(Table1[[#This Row],[Transaction_Date]],2)</f>
        <v>1</v>
      </c>
      <c r="M1030">
        <f>IF(Table1[[#This Row],[Sale_Type]]="Buffet",1,0)</f>
        <v>0</v>
      </c>
    </row>
    <row r="1031" spans="1:13" x14ac:dyDescent="0.2">
      <c r="A1031" t="s">
        <v>1302</v>
      </c>
      <c r="B1031" t="s">
        <v>334</v>
      </c>
      <c r="C1031" s="1">
        <v>45978</v>
      </c>
      <c r="D1031" t="s">
        <v>213</v>
      </c>
      <c r="E1031" t="s">
        <v>43</v>
      </c>
      <c r="F1031" t="s">
        <v>44</v>
      </c>
      <c r="G1031" t="s">
        <v>16</v>
      </c>
      <c r="H1031">
        <v>1</v>
      </c>
      <c r="I1031">
        <v>28.82</v>
      </c>
      <c r="J1031" t="s">
        <v>17</v>
      </c>
      <c r="K1031" t="s">
        <v>18</v>
      </c>
      <c r="L1031">
        <f>WEEKDAY(Table1[[#This Row],[Transaction_Date]],2)</f>
        <v>1</v>
      </c>
      <c r="M1031">
        <f>IF(Table1[[#This Row],[Sale_Type]]="Buffet",1,0)</f>
        <v>0</v>
      </c>
    </row>
    <row r="1032" spans="1:13" x14ac:dyDescent="0.2">
      <c r="A1032" t="s">
        <v>1303</v>
      </c>
      <c r="B1032" t="s">
        <v>104</v>
      </c>
      <c r="C1032" s="1">
        <v>45978</v>
      </c>
      <c r="D1032" t="s">
        <v>213</v>
      </c>
      <c r="E1032" t="s">
        <v>43</v>
      </c>
      <c r="F1032" t="s">
        <v>50</v>
      </c>
      <c r="G1032" t="s">
        <v>16</v>
      </c>
      <c r="H1032">
        <v>2</v>
      </c>
      <c r="I1032">
        <v>31.72</v>
      </c>
      <c r="J1032" t="s">
        <v>17</v>
      </c>
      <c r="K1032" t="s">
        <v>21</v>
      </c>
      <c r="L1032">
        <f>WEEKDAY(Table1[[#This Row],[Transaction_Date]],2)</f>
        <v>1</v>
      </c>
      <c r="M1032">
        <f>IF(Table1[[#This Row],[Sale_Type]]="Buffet",1,0)</f>
        <v>0</v>
      </c>
    </row>
    <row r="1033" spans="1:13" x14ac:dyDescent="0.2">
      <c r="A1033" t="s">
        <v>1304</v>
      </c>
      <c r="B1033" t="s">
        <v>652</v>
      </c>
      <c r="C1033" s="1">
        <v>45978</v>
      </c>
      <c r="D1033" t="s">
        <v>213</v>
      </c>
      <c r="E1033" t="s">
        <v>43</v>
      </c>
      <c r="F1033" t="s">
        <v>50</v>
      </c>
      <c r="G1033" t="s">
        <v>16</v>
      </c>
      <c r="H1033">
        <v>1</v>
      </c>
      <c r="I1033">
        <v>18.88</v>
      </c>
      <c r="J1033" t="s">
        <v>34</v>
      </c>
      <c r="K1033" t="s">
        <v>21</v>
      </c>
      <c r="L1033">
        <f>WEEKDAY(Table1[[#This Row],[Transaction_Date]],2)</f>
        <v>1</v>
      </c>
      <c r="M1033">
        <f>IF(Table1[[#This Row],[Sale_Type]]="Buffet",1,0)</f>
        <v>0</v>
      </c>
    </row>
    <row r="1034" spans="1:13" x14ac:dyDescent="0.2">
      <c r="A1034" t="s">
        <v>1305</v>
      </c>
      <c r="B1034" t="s">
        <v>81</v>
      </c>
      <c r="C1034" s="1">
        <v>45978</v>
      </c>
      <c r="D1034" t="s">
        <v>213</v>
      </c>
      <c r="E1034" t="s">
        <v>43</v>
      </c>
      <c r="F1034" t="s">
        <v>50</v>
      </c>
      <c r="G1034" t="s">
        <v>16</v>
      </c>
      <c r="H1034">
        <v>2</v>
      </c>
      <c r="I1034">
        <v>37.729999999999997</v>
      </c>
      <c r="J1034" t="s">
        <v>17</v>
      </c>
      <c r="K1034" t="s">
        <v>18</v>
      </c>
      <c r="L1034">
        <f>WEEKDAY(Table1[[#This Row],[Transaction_Date]],2)</f>
        <v>1</v>
      </c>
      <c r="M1034">
        <f>IF(Table1[[#This Row],[Sale_Type]]="Buffet",1,0)</f>
        <v>0</v>
      </c>
    </row>
    <row r="1035" spans="1:13" x14ac:dyDescent="0.2">
      <c r="A1035" t="s">
        <v>1306</v>
      </c>
      <c r="B1035" t="s">
        <v>117</v>
      </c>
      <c r="C1035" s="1">
        <v>45978</v>
      </c>
      <c r="D1035" t="s">
        <v>213</v>
      </c>
      <c r="E1035" t="s">
        <v>43</v>
      </c>
      <c r="F1035" t="s">
        <v>50</v>
      </c>
      <c r="G1035" t="s">
        <v>16</v>
      </c>
      <c r="H1035">
        <v>1</v>
      </c>
      <c r="I1035">
        <v>36.14</v>
      </c>
      <c r="J1035" t="s">
        <v>28</v>
      </c>
      <c r="K1035" t="s">
        <v>18</v>
      </c>
      <c r="L1035">
        <f>WEEKDAY(Table1[[#This Row],[Transaction_Date]],2)</f>
        <v>1</v>
      </c>
      <c r="M1035">
        <f>IF(Table1[[#This Row],[Sale_Type]]="Buffet",1,0)</f>
        <v>0</v>
      </c>
    </row>
    <row r="1036" spans="1:13" x14ac:dyDescent="0.2">
      <c r="A1036" t="s">
        <v>1307</v>
      </c>
      <c r="B1036" t="s">
        <v>52</v>
      </c>
      <c r="C1036" s="1">
        <v>45978</v>
      </c>
      <c r="D1036" t="s">
        <v>213</v>
      </c>
      <c r="E1036" t="s">
        <v>43</v>
      </c>
      <c r="F1036" t="s">
        <v>53</v>
      </c>
      <c r="G1036" t="s">
        <v>16</v>
      </c>
      <c r="H1036">
        <v>3</v>
      </c>
      <c r="I1036">
        <v>58.07</v>
      </c>
      <c r="J1036" t="s">
        <v>28</v>
      </c>
      <c r="K1036" t="s">
        <v>18</v>
      </c>
      <c r="L1036">
        <f>WEEKDAY(Table1[[#This Row],[Transaction_Date]],2)</f>
        <v>1</v>
      </c>
      <c r="M1036">
        <f>IF(Table1[[#This Row],[Sale_Type]]="Buffet",1,0)</f>
        <v>0</v>
      </c>
    </row>
    <row r="1037" spans="1:13" x14ac:dyDescent="0.2">
      <c r="A1037" t="s">
        <v>1308</v>
      </c>
      <c r="B1037" t="s">
        <v>945</v>
      </c>
      <c r="C1037" s="1">
        <v>45979</v>
      </c>
      <c r="D1037" t="s">
        <v>250</v>
      </c>
      <c r="E1037" t="s">
        <v>14</v>
      </c>
      <c r="F1037" t="s">
        <v>15</v>
      </c>
      <c r="G1037" t="s">
        <v>16</v>
      </c>
      <c r="H1037">
        <v>1</v>
      </c>
      <c r="I1037">
        <v>28.93</v>
      </c>
      <c r="J1037" t="s">
        <v>17</v>
      </c>
      <c r="K1037" t="s">
        <v>18</v>
      </c>
      <c r="L1037">
        <f>WEEKDAY(Table1[[#This Row],[Transaction_Date]],2)</f>
        <v>2</v>
      </c>
      <c r="M1037">
        <f>IF(Table1[[#This Row],[Sale_Type]]="Buffet",1,0)</f>
        <v>0</v>
      </c>
    </row>
    <row r="1038" spans="1:13" x14ac:dyDescent="0.2">
      <c r="A1038" t="s">
        <v>1309</v>
      </c>
      <c r="B1038" t="s">
        <v>42</v>
      </c>
      <c r="C1038" s="1">
        <v>45979</v>
      </c>
      <c r="D1038" t="s">
        <v>250</v>
      </c>
      <c r="E1038" t="s">
        <v>14</v>
      </c>
      <c r="F1038" t="s">
        <v>24</v>
      </c>
      <c r="G1038" t="s">
        <v>16</v>
      </c>
      <c r="H1038">
        <v>2</v>
      </c>
      <c r="I1038">
        <v>56.64</v>
      </c>
      <c r="J1038" t="s">
        <v>17</v>
      </c>
      <c r="K1038" t="s">
        <v>18</v>
      </c>
      <c r="L1038">
        <f>WEEKDAY(Table1[[#This Row],[Transaction_Date]],2)</f>
        <v>2</v>
      </c>
      <c r="M1038">
        <f>IF(Table1[[#This Row],[Sale_Type]]="Buffet",1,0)</f>
        <v>0</v>
      </c>
    </row>
    <row r="1039" spans="1:13" x14ac:dyDescent="0.2">
      <c r="A1039" t="s">
        <v>1310</v>
      </c>
      <c r="B1039" t="s">
        <v>567</v>
      </c>
      <c r="C1039" s="1">
        <v>45979</v>
      </c>
      <c r="D1039" t="s">
        <v>250</v>
      </c>
      <c r="E1039" t="s">
        <v>14</v>
      </c>
      <c r="F1039" t="s">
        <v>27</v>
      </c>
      <c r="G1039" t="s">
        <v>16</v>
      </c>
      <c r="H1039">
        <v>3</v>
      </c>
      <c r="I1039">
        <v>56.15</v>
      </c>
      <c r="J1039" t="s">
        <v>17</v>
      </c>
      <c r="K1039" t="s">
        <v>18</v>
      </c>
      <c r="L1039">
        <f>WEEKDAY(Table1[[#This Row],[Transaction_Date]],2)</f>
        <v>2</v>
      </c>
      <c r="M1039">
        <f>IF(Table1[[#This Row],[Sale_Type]]="Buffet",1,0)</f>
        <v>0</v>
      </c>
    </row>
    <row r="1040" spans="1:13" x14ac:dyDescent="0.2">
      <c r="A1040" t="s">
        <v>1311</v>
      </c>
      <c r="B1040" t="s">
        <v>47</v>
      </c>
      <c r="C1040" s="1">
        <v>45979</v>
      </c>
      <c r="D1040" t="s">
        <v>250</v>
      </c>
      <c r="E1040" t="s">
        <v>14</v>
      </c>
      <c r="F1040" t="s">
        <v>27</v>
      </c>
      <c r="G1040" t="s">
        <v>16</v>
      </c>
      <c r="H1040">
        <v>2</v>
      </c>
      <c r="I1040">
        <v>57.27</v>
      </c>
      <c r="J1040" t="s">
        <v>17</v>
      </c>
      <c r="K1040" t="s">
        <v>18</v>
      </c>
      <c r="L1040">
        <f>WEEKDAY(Table1[[#This Row],[Transaction_Date]],2)</f>
        <v>2</v>
      </c>
      <c r="M1040">
        <f>IF(Table1[[#This Row],[Sale_Type]]="Buffet",1,0)</f>
        <v>0</v>
      </c>
    </row>
    <row r="1041" spans="1:13" x14ac:dyDescent="0.2">
      <c r="A1041" t="s">
        <v>1312</v>
      </c>
      <c r="B1041" t="s">
        <v>106</v>
      </c>
      <c r="C1041" s="1">
        <v>45979</v>
      </c>
      <c r="D1041" t="s">
        <v>250</v>
      </c>
      <c r="E1041" t="s">
        <v>14</v>
      </c>
      <c r="F1041" t="s">
        <v>27</v>
      </c>
      <c r="G1041" t="s">
        <v>16</v>
      </c>
      <c r="H1041">
        <v>2</v>
      </c>
      <c r="I1041">
        <v>71.75</v>
      </c>
      <c r="J1041" t="s">
        <v>17</v>
      </c>
      <c r="K1041" t="s">
        <v>18</v>
      </c>
      <c r="L1041">
        <f>WEEKDAY(Table1[[#This Row],[Transaction_Date]],2)</f>
        <v>2</v>
      </c>
      <c r="M1041">
        <f>IF(Table1[[#This Row],[Sale_Type]]="Buffet",1,0)</f>
        <v>0</v>
      </c>
    </row>
    <row r="1042" spans="1:13" x14ac:dyDescent="0.2">
      <c r="A1042" t="s">
        <v>1313</v>
      </c>
      <c r="B1042" t="s">
        <v>518</v>
      </c>
      <c r="C1042" s="1">
        <v>45979</v>
      </c>
      <c r="D1042" t="s">
        <v>250</v>
      </c>
      <c r="E1042" t="s">
        <v>14</v>
      </c>
      <c r="F1042" t="s">
        <v>27</v>
      </c>
      <c r="G1042" t="s">
        <v>16</v>
      </c>
      <c r="H1042">
        <v>3</v>
      </c>
      <c r="I1042">
        <v>133.82</v>
      </c>
      <c r="J1042" t="s">
        <v>28</v>
      </c>
      <c r="K1042" t="s">
        <v>18</v>
      </c>
      <c r="L1042">
        <f>WEEKDAY(Table1[[#This Row],[Transaction_Date]],2)</f>
        <v>2</v>
      </c>
      <c r="M1042">
        <f>IF(Table1[[#This Row],[Sale_Type]]="Buffet",1,0)</f>
        <v>0</v>
      </c>
    </row>
    <row r="1043" spans="1:13" x14ac:dyDescent="0.2">
      <c r="A1043" t="s">
        <v>1314</v>
      </c>
      <c r="B1043" t="s">
        <v>72</v>
      </c>
      <c r="C1043" s="1">
        <v>45979</v>
      </c>
      <c r="D1043" t="s">
        <v>250</v>
      </c>
      <c r="E1043" t="s">
        <v>14</v>
      </c>
      <c r="F1043" t="s">
        <v>31</v>
      </c>
      <c r="G1043" t="s">
        <v>16</v>
      </c>
      <c r="H1043">
        <v>2</v>
      </c>
      <c r="I1043">
        <v>86.04</v>
      </c>
      <c r="J1043" t="s">
        <v>34</v>
      </c>
      <c r="K1043" t="s">
        <v>18</v>
      </c>
      <c r="L1043">
        <f>WEEKDAY(Table1[[#This Row],[Transaction_Date]],2)</f>
        <v>2</v>
      </c>
      <c r="M1043">
        <f>IF(Table1[[#This Row],[Sale_Type]]="Buffet",1,0)</f>
        <v>0</v>
      </c>
    </row>
    <row r="1044" spans="1:13" x14ac:dyDescent="0.2">
      <c r="A1044" t="s">
        <v>1315</v>
      </c>
      <c r="B1044" t="s">
        <v>937</v>
      </c>
      <c r="C1044" s="1">
        <v>45979</v>
      </c>
      <c r="D1044" t="s">
        <v>250</v>
      </c>
      <c r="E1044" t="s">
        <v>14</v>
      </c>
      <c r="F1044" t="s">
        <v>31</v>
      </c>
      <c r="G1044" t="s">
        <v>16</v>
      </c>
      <c r="H1044">
        <v>3</v>
      </c>
      <c r="I1044">
        <v>57.6</v>
      </c>
      <c r="J1044" t="s">
        <v>17</v>
      </c>
      <c r="K1044" t="s">
        <v>18</v>
      </c>
      <c r="L1044">
        <f>WEEKDAY(Table1[[#This Row],[Transaction_Date]],2)</f>
        <v>2</v>
      </c>
      <c r="M1044">
        <f>IF(Table1[[#This Row],[Sale_Type]]="Buffet",1,0)</f>
        <v>0</v>
      </c>
    </row>
    <row r="1045" spans="1:13" x14ac:dyDescent="0.2">
      <c r="A1045" t="s">
        <v>1316</v>
      </c>
      <c r="B1045" t="s">
        <v>518</v>
      </c>
      <c r="C1045" s="1">
        <v>45979</v>
      </c>
      <c r="D1045" t="s">
        <v>250</v>
      </c>
      <c r="E1045" t="s">
        <v>14</v>
      </c>
      <c r="F1045" t="s">
        <v>31</v>
      </c>
      <c r="G1045" t="s">
        <v>16</v>
      </c>
      <c r="H1045">
        <v>2</v>
      </c>
      <c r="I1045">
        <v>79.19</v>
      </c>
      <c r="J1045" t="s">
        <v>34</v>
      </c>
      <c r="K1045" t="s">
        <v>18</v>
      </c>
      <c r="L1045">
        <f>WEEKDAY(Table1[[#This Row],[Transaction_Date]],2)</f>
        <v>2</v>
      </c>
      <c r="M1045">
        <f>IF(Table1[[#This Row],[Sale_Type]]="Buffet",1,0)</f>
        <v>0</v>
      </c>
    </row>
    <row r="1046" spans="1:13" x14ac:dyDescent="0.2">
      <c r="A1046" t="s">
        <v>1317</v>
      </c>
      <c r="B1046" t="s">
        <v>122</v>
      </c>
      <c r="C1046" s="1">
        <v>45979</v>
      </c>
      <c r="D1046" t="s">
        <v>250</v>
      </c>
      <c r="E1046" t="s">
        <v>14</v>
      </c>
      <c r="F1046" t="s">
        <v>40</v>
      </c>
      <c r="G1046" t="s">
        <v>16</v>
      </c>
      <c r="H1046">
        <v>2</v>
      </c>
      <c r="I1046">
        <v>74.12</v>
      </c>
      <c r="J1046" t="s">
        <v>17</v>
      </c>
      <c r="K1046" t="s">
        <v>18</v>
      </c>
      <c r="L1046">
        <f>WEEKDAY(Table1[[#This Row],[Transaction_Date]],2)</f>
        <v>2</v>
      </c>
      <c r="M1046">
        <f>IF(Table1[[#This Row],[Sale_Type]]="Buffet",1,0)</f>
        <v>0</v>
      </c>
    </row>
    <row r="1047" spans="1:13" x14ac:dyDescent="0.2">
      <c r="A1047" t="s">
        <v>1318</v>
      </c>
      <c r="B1047" t="s">
        <v>567</v>
      </c>
      <c r="C1047" s="1">
        <v>45979</v>
      </c>
      <c r="D1047" t="s">
        <v>250</v>
      </c>
      <c r="E1047" t="s">
        <v>14</v>
      </c>
      <c r="F1047" t="s">
        <v>40</v>
      </c>
      <c r="G1047" t="s">
        <v>16</v>
      </c>
      <c r="H1047">
        <v>4</v>
      </c>
      <c r="I1047">
        <v>200.31</v>
      </c>
      <c r="J1047" t="s">
        <v>34</v>
      </c>
      <c r="K1047" t="s">
        <v>18</v>
      </c>
      <c r="L1047">
        <f>WEEKDAY(Table1[[#This Row],[Transaction_Date]],2)</f>
        <v>2</v>
      </c>
      <c r="M1047">
        <f>IF(Table1[[#This Row],[Sale_Type]]="Buffet",1,0)</f>
        <v>0</v>
      </c>
    </row>
    <row r="1048" spans="1:13" x14ac:dyDescent="0.2">
      <c r="A1048" t="s">
        <v>1319</v>
      </c>
      <c r="B1048" t="s">
        <v>260</v>
      </c>
      <c r="C1048" s="1">
        <v>45979</v>
      </c>
      <c r="D1048" t="s">
        <v>250</v>
      </c>
      <c r="E1048" t="s">
        <v>43</v>
      </c>
      <c r="F1048" t="s">
        <v>44</v>
      </c>
      <c r="G1048" t="s">
        <v>16</v>
      </c>
      <c r="H1048">
        <v>1</v>
      </c>
      <c r="I1048">
        <v>10.53</v>
      </c>
      <c r="J1048" t="s">
        <v>28</v>
      </c>
      <c r="K1048" t="s">
        <v>18</v>
      </c>
      <c r="L1048">
        <f>WEEKDAY(Table1[[#This Row],[Transaction_Date]],2)</f>
        <v>2</v>
      </c>
      <c r="M1048">
        <f>IF(Table1[[#This Row],[Sale_Type]]="Buffet",1,0)</f>
        <v>0</v>
      </c>
    </row>
    <row r="1049" spans="1:13" x14ac:dyDescent="0.2">
      <c r="A1049" t="s">
        <v>1320</v>
      </c>
      <c r="B1049" t="s">
        <v>176</v>
      </c>
      <c r="C1049" s="1">
        <v>45979</v>
      </c>
      <c r="D1049" t="s">
        <v>250</v>
      </c>
      <c r="E1049" t="s">
        <v>43</v>
      </c>
      <c r="F1049" t="s">
        <v>50</v>
      </c>
      <c r="G1049" t="s">
        <v>16</v>
      </c>
      <c r="H1049">
        <v>2</v>
      </c>
      <c r="I1049">
        <v>26.2</v>
      </c>
      <c r="J1049" t="s">
        <v>28</v>
      </c>
      <c r="K1049" t="s">
        <v>18</v>
      </c>
      <c r="L1049">
        <f>WEEKDAY(Table1[[#This Row],[Transaction_Date]],2)</f>
        <v>2</v>
      </c>
      <c r="M1049">
        <f>IF(Table1[[#This Row],[Sale_Type]]="Buffet",1,0)</f>
        <v>0</v>
      </c>
    </row>
    <row r="1050" spans="1:13" x14ac:dyDescent="0.2">
      <c r="A1050" t="s">
        <v>1321</v>
      </c>
      <c r="B1050" t="s">
        <v>300</v>
      </c>
      <c r="C1050" s="1">
        <v>45979</v>
      </c>
      <c r="D1050" t="s">
        <v>250</v>
      </c>
      <c r="E1050" t="s">
        <v>43</v>
      </c>
      <c r="F1050" t="s">
        <v>53</v>
      </c>
      <c r="G1050" t="s">
        <v>16</v>
      </c>
      <c r="H1050">
        <v>4</v>
      </c>
      <c r="I1050">
        <v>68.94</v>
      </c>
      <c r="J1050" t="s">
        <v>17</v>
      </c>
      <c r="K1050" t="s">
        <v>18</v>
      </c>
      <c r="L1050">
        <f>WEEKDAY(Table1[[#This Row],[Transaction_Date]],2)</f>
        <v>2</v>
      </c>
      <c r="M1050">
        <f>IF(Table1[[#This Row],[Sale_Type]]="Buffet",1,0)</f>
        <v>0</v>
      </c>
    </row>
    <row r="1051" spans="1:13" x14ac:dyDescent="0.2">
      <c r="A1051" t="s">
        <v>1322</v>
      </c>
      <c r="B1051" t="s">
        <v>864</v>
      </c>
      <c r="C1051" s="1">
        <v>45979</v>
      </c>
      <c r="D1051" t="s">
        <v>250</v>
      </c>
      <c r="E1051" t="s">
        <v>43</v>
      </c>
      <c r="F1051" t="s">
        <v>57</v>
      </c>
      <c r="G1051" t="s">
        <v>16</v>
      </c>
      <c r="H1051">
        <v>6</v>
      </c>
      <c r="I1051">
        <v>128.63999999999999</v>
      </c>
      <c r="J1051" t="s">
        <v>17</v>
      </c>
      <c r="K1051" t="s">
        <v>21</v>
      </c>
      <c r="L1051">
        <f>WEEKDAY(Table1[[#This Row],[Transaction_Date]],2)</f>
        <v>2</v>
      </c>
      <c r="M1051">
        <f>IF(Table1[[#This Row],[Sale_Type]]="Buffet",1,0)</f>
        <v>0</v>
      </c>
    </row>
    <row r="1052" spans="1:13" x14ac:dyDescent="0.2">
      <c r="A1052" t="s">
        <v>1323</v>
      </c>
      <c r="B1052" t="s">
        <v>433</v>
      </c>
      <c r="C1052" s="1">
        <v>45980</v>
      </c>
      <c r="D1052" t="s">
        <v>13</v>
      </c>
      <c r="E1052" t="s">
        <v>14</v>
      </c>
      <c r="F1052" t="s">
        <v>24</v>
      </c>
      <c r="G1052" t="s">
        <v>16</v>
      </c>
      <c r="H1052">
        <v>3</v>
      </c>
      <c r="I1052">
        <v>125.03</v>
      </c>
      <c r="J1052" t="s">
        <v>34</v>
      </c>
      <c r="K1052" t="s">
        <v>18</v>
      </c>
      <c r="L1052">
        <f>WEEKDAY(Table1[[#This Row],[Transaction_Date]],2)</f>
        <v>3</v>
      </c>
      <c r="M1052">
        <f>IF(Table1[[#This Row],[Sale_Type]]="Buffet",1,0)</f>
        <v>0</v>
      </c>
    </row>
    <row r="1053" spans="1:13" x14ac:dyDescent="0.2">
      <c r="A1053" t="s">
        <v>1324</v>
      </c>
      <c r="B1053" t="s">
        <v>1079</v>
      </c>
      <c r="C1053" s="1">
        <v>45980</v>
      </c>
      <c r="D1053" t="s">
        <v>13</v>
      </c>
      <c r="E1053" t="s">
        <v>14</v>
      </c>
      <c r="F1053" t="s">
        <v>24</v>
      </c>
      <c r="G1053" t="s">
        <v>16</v>
      </c>
      <c r="H1053">
        <v>2</v>
      </c>
      <c r="I1053">
        <v>70.03</v>
      </c>
      <c r="J1053" t="s">
        <v>17</v>
      </c>
      <c r="K1053" t="s">
        <v>21</v>
      </c>
      <c r="L1053">
        <f>WEEKDAY(Table1[[#This Row],[Transaction_Date]],2)</f>
        <v>3</v>
      </c>
      <c r="M1053">
        <f>IF(Table1[[#This Row],[Sale_Type]]="Buffet",1,0)</f>
        <v>0</v>
      </c>
    </row>
    <row r="1054" spans="1:13" x14ac:dyDescent="0.2">
      <c r="A1054" t="s">
        <v>1325</v>
      </c>
      <c r="B1054" t="s">
        <v>61</v>
      </c>
      <c r="C1054" s="1">
        <v>45980</v>
      </c>
      <c r="D1054" t="s">
        <v>13</v>
      </c>
      <c r="E1054" t="s">
        <v>14</v>
      </c>
      <c r="F1054" t="s">
        <v>24</v>
      </c>
      <c r="G1054" t="s">
        <v>16</v>
      </c>
      <c r="H1054">
        <v>3</v>
      </c>
      <c r="I1054">
        <v>139.47999999999999</v>
      </c>
      <c r="J1054" t="s">
        <v>17</v>
      </c>
      <c r="K1054" t="s">
        <v>18</v>
      </c>
      <c r="L1054">
        <f>WEEKDAY(Table1[[#This Row],[Transaction_Date]],2)</f>
        <v>3</v>
      </c>
      <c r="M1054">
        <f>IF(Table1[[#This Row],[Sale_Type]]="Buffet",1,0)</f>
        <v>0</v>
      </c>
    </row>
    <row r="1055" spans="1:13" x14ac:dyDescent="0.2">
      <c r="A1055" t="s">
        <v>1326</v>
      </c>
      <c r="B1055" t="s">
        <v>222</v>
      </c>
      <c r="C1055" s="1">
        <v>45980</v>
      </c>
      <c r="D1055" t="s">
        <v>13</v>
      </c>
      <c r="E1055" t="s">
        <v>14</v>
      </c>
      <c r="F1055" t="s">
        <v>27</v>
      </c>
      <c r="G1055" t="s">
        <v>16</v>
      </c>
      <c r="H1055">
        <v>1</v>
      </c>
      <c r="I1055">
        <v>24.92</v>
      </c>
      <c r="J1055" t="s">
        <v>34</v>
      </c>
      <c r="K1055" t="s">
        <v>21</v>
      </c>
      <c r="L1055">
        <f>WEEKDAY(Table1[[#This Row],[Transaction_Date]],2)</f>
        <v>3</v>
      </c>
      <c r="M1055">
        <f>IF(Table1[[#This Row],[Sale_Type]]="Buffet",1,0)</f>
        <v>0</v>
      </c>
    </row>
    <row r="1056" spans="1:13" x14ac:dyDescent="0.2">
      <c r="A1056" t="s">
        <v>1327</v>
      </c>
      <c r="B1056" t="s">
        <v>300</v>
      </c>
      <c r="C1056" s="1">
        <v>45980</v>
      </c>
      <c r="D1056" t="s">
        <v>13</v>
      </c>
      <c r="E1056" t="s">
        <v>14</v>
      </c>
      <c r="F1056" t="s">
        <v>27</v>
      </c>
      <c r="G1056" t="s">
        <v>16</v>
      </c>
      <c r="H1056">
        <v>1</v>
      </c>
      <c r="I1056">
        <v>16.579999999999998</v>
      </c>
      <c r="J1056" t="s">
        <v>34</v>
      </c>
      <c r="K1056" t="s">
        <v>18</v>
      </c>
      <c r="L1056">
        <f>WEEKDAY(Table1[[#This Row],[Transaction_Date]],2)</f>
        <v>3</v>
      </c>
      <c r="M1056">
        <f>IF(Table1[[#This Row],[Sale_Type]]="Buffet",1,0)</f>
        <v>0</v>
      </c>
    </row>
    <row r="1057" spans="1:13" x14ac:dyDescent="0.2">
      <c r="A1057" t="s">
        <v>1328</v>
      </c>
      <c r="B1057" t="s">
        <v>346</v>
      </c>
      <c r="C1057" s="1">
        <v>45980</v>
      </c>
      <c r="D1057" t="s">
        <v>13</v>
      </c>
      <c r="E1057" t="s">
        <v>14</v>
      </c>
      <c r="F1057" t="s">
        <v>27</v>
      </c>
      <c r="G1057" t="s">
        <v>16</v>
      </c>
      <c r="H1057">
        <v>3</v>
      </c>
      <c r="I1057">
        <v>66.7</v>
      </c>
      <c r="J1057" t="s">
        <v>17</v>
      </c>
      <c r="K1057" t="s">
        <v>18</v>
      </c>
      <c r="L1057">
        <f>WEEKDAY(Table1[[#This Row],[Transaction_Date]],2)</f>
        <v>3</v>
      </c>
      <c r="M1057">
        <f>IF(Table1[[#This Row],[Sale_Type]]="Buffet",1,0)</f>
        <v>0</v>
      </c>
    </row>
    <row r="1058" spans="1:13" x14ac:dyDescent="0.2">
      <c r="A1058" t="s">
        <v>1329</v>
      </c>
      <c r="B1058" t="s">
        <v>733</v>
      </c>
      <c r="C1058" s="1">
        <v>45980</v>
      </c>
      <c r="D1058" t="s">
        <v>13</v>
      </c>
      <c r="E1058" t="s">
        <v>14</v>
      </c>
      <c r="F1058" t="s">
        <v>27</v>
      </c>
      <c r="G1058" t="s">
        <v>16</v>
      </c>
      <c r="H1058">
        <v>5</v>
      </c>
      <c r="I1058">
        <v>127.9</v>
      </c>
      <c r="J1058" t="s">
        <v>17</v>
      </c>
      <c r="K1058" t="s">
        <v>18</v>
      </c>
      <c r="L1058">
        <f>WEEKDAY(Table1[[#This Row],[Transaction_Date]],2)</f>
        <v>3</v>
      </c>
      <c r="M1058">
        <f>IF(Table1[[#This Row],[Sale_Type]]="Buffet",1,0)</f>
        <v>0</v>
      </c>
    </row>
    <row r="1059" spans="1:13" x14ac:dyDescent="0.2">
      <c r="A1059" t="s">
        <v>1330</v>
      </c>
      <c r="B1059" t="s">
        <v>433</v>
      </c>
      <c r="C1059" s="1">
        <v>45980</v>
      </c>
      <c r="D1059" t="s">
        <v>13</v>
      </c>
      <c r="E1059" t="s">
        <v>14</v>
      </c>
      <c r="F1059" t="s">
        <v>31</v>
      </c>
      <c r="G1059" t="s">
        <v>16</v>
      </c>
      <c r="H1059">
        <v>3</v>
      </c>
      <c r="I1059">
        <v>76.19</v>
      </c>
      <c r="J1059" t="s">
        <v>28</v>
      </c>
      <c r="K1059" t="s">
        <v>18</v>
      </c>
      <c r="L1059">
        <f>WEEKDAY(Table1[[#This Row],[Transaction_Date]],2)</f>
        <v>3</v>
      </c>
      <c r="M1059">
        <f>IF(Table1[[#This Row],[Sale_Type]]="Buffet",1,0)</f>
        <v>0</v>
      </c>
    </row>
    <row r="1060" spans="1:13" x14ac:dyDescent="0.2">
      <c r="A1060" t="s">
        <v>1331</v>
      </c>
      <c r="B1060" t="s">
        <v>624</v>
      </c>
      <c r="C1060" s="1">
        <v>45980</v>
      </c>
      <c r="D1060" t="s">
        <v>13</v>
      </c>
      <c r="E1060" t="s">
        <v>14</v>
      </c>
      <c r="F1060" t="s">
        <v>31</v>
      </c>
      <c r="G1060" t="s">
        <v>16</v>
      </c>
      <c r="H1060">
        <v>4</v>
      </c>
      <c r="I1060">
        <v>130.38999999999999</v>
      </c>
      <c r="J1060" t="s">
        <v>34</v>
      </c>
      <c r="K1060" t="s">
        <v>18</v>
      </c>
      <c r="L1060">
        <f>WEEKDAY(Table1[[#This Row],[Transaction_Date]],2)</f>
        <v>3</v>
      </c>
      <c r="M1060">
        <f>IF(Table1[[#This Row],[Sale_Type]]="Buffet",1,0)</f>
        <v>0</v>
      </c>
    </row>
    <row r="1061" spans="1:13" x14ac:dyDescent="0.2">
      <c r="A1061" t="s">
        <v>1332</v>
      </c>
      <c r="B1061" t="s">
        <v>789</v>
      </c>
      <c r="C1061" s="1">
        <v>45980</v>
      </c>
      <c r="D1061" t="s">
        <v>13</v>
      </c>
      <c r="E1061" t="s">
        <v>14</v>
      </c>
      <c r="F1061" t="s">
        <v>40</v>
      </c>
      <c r="G1061" t="s">
        <v>16</v>
      </c>
      <c r="H1061">
        <v>5</v>
      </c>
      <c r="I1061">
        <v>108.41</v>
      </c>
      <c r="J1061" t="s">
        <v>17</v>
      </c>
      <c r="K1061" t="s">
        <v>21</v>
      </c>
      <c r="L1061">
        <f>WEEKDAY(Table1[[#This Row],[Transaction_Date]],2)</f>
        <v>3</v>
      </c>
      <c r="M1061">
        <f>IF(Table1[[#This Row],[Sale_Type]]="Buffet",1,0)</f>
        <v>0</v>
      </c>
    </row>
    <row r="1062" spans="1:13" x14ac:dyDescent="0.2">
      <c r="A1062" t="s">
        <v>1333</v>
      </c>
      <c r="B1062" t="s">
        <v>952</v>
      </c>
      <c r="C1062" s="1">
        <v>45980</v>
      </c>
      <c r="D1062" t="s">
        <v>13</v>
      </c>
      <c r="E1062" t="s">
        <v>43</v>
      </c>
      <c r="F1062" t="s">
        <v>44</v>
      </c>
      <c r="G1062" t="s">
        <v>45</v>
      </c>
      <c r="H1062">
        <v>4</v>
      </c>
      <c r="I1062">
        <v>89</v>
      </c>
      <c r="J1062" t="s">
        <v>17</v>
      </c>
      <c r="K1062" t="s">
        <v>18</v>
      </c>
      <c r="L1062">
        <f>WEEKDAY(Table1[[#This Row],[Transaction_Date]],2)</f>
        <v>3</v>
      </c>
      <c r="M1062">
        <f>IF(Table1[[#This Row],[Sale_Type]]="Buffet",1,0)</f>
        <v>1</v>
      </c>
    </row>
    <row r="1063" spans="1:13" x14ac:dyDescent="0.2">
      <c r="A1063" t="s">
        <v>1334</v>
      </c>
      <c r="B1063" t="s">
        <v>866</v>
      </c>
      <c r="C1063" s="1">
        <v>45980</v>
      </c>
      <c r="D1063" t="s">
        <v>13</v>
      </c>
      <c r="E1063" t="s">
        <v>43</v>
      </c>
      <c r="F1063" t="s">
        <v>44</v>
      </c>
      <c r="G1063" t="s">
        <v>45</v>
      </c>
      <c r="H1063">
        <v>3</v>
      </c>
      <c r="I1063">
        <v>60</v>
      </c>
      <c r="J1063" t="s">
        <v>28</v>
      </c>
      <c r="K1063" t="s">
        <v>18</v>
      </c>
      <c r="L1063">
        <f>WEEKDAY(Table1[[#This Row],[Transaction_Date]],2)</f>
        <v>3</v>
      </c>
      <c r="M1063">
        <f>IF(Table1[[#This Row],[Sale_Type]]="Buffet",1,0)</f>
        <v>1</v>
      </c>
    </row>
    <row r="1064" spans="1:13" x14ac:dyDescent="0.2">
      <c r="A1064" t="s">
        <v>1335</v>
      </c>
      <c r="B1064" t="s">
        <v>822</v>
      </c>
      <c r="C1064" s="1">
        <v>45980</v>
      </c>
      <c r="D1064" t="s">
        <v>13</v>
      </c>
      <c r="E1064" t="s">
        <v>43</v>
      </c>
      <c r="F1064" t="s">
        <v>44</v>
      </c>
      <c r="G1064" t="s">
        <v>45</v>
      </c>
      <c r="H1064">
        <v>5</v>
      </c>
      <c r="I1064">
        <v>113.5</v>
      </c>
      <c r="J1064" t="s">
        <v>34</v>
      </c>
      <c r="K1064" t="s">
        <v>18</v>
      </c>
      <c r="L1064">
        <f>WEEKDAY(Table1[[#This Row],[Transaction_Date]],2)</f>
        <v>3</v>
      </c>
      <c r="M1064">
        <f>IF(Table1[[#This Row],[Sale_Type]]="Buffet",1,0)</f>
        <v>1</v>
      </c>
    </row>
    <row r="1065" spans="1:13" x14ac:dyDescent="0.2">
      <c r="A1065" t="s">
        <v>1336</v>
      </c>
      <c r="B1065" t="s">
        <v>70</v>
      </c>
      <c r="C1065" s="1">
        <v>45980</v>
      </c>
      <c r="D1065" t="s">
        <v>13</v>
      </c>
      <c r="E1065" t="s">
        <v>43</v>
      </c>
      <c r="F1065" t="s">
        <v>44</v>
      </c>
      <c r="G1065" t="s">
        <v>45</v>
      </c>
      <c r="H1065">
        <v>4</v>
      </c>
      <c r="I1065">
        <v>84.5</v>
      </c>
      <c r="J1065" t="s">
        <v>34</v>
      </c>
      <c r="K1065" t="s">
        <v>18</v>
      </c>
      <c r="L1065">
        <f>WEEKDAY(Table1[[#This Row],[Transaction_Date]],2)</f>
        <v>3</v>
      </c>
      <c r="M1065">
        <f>IF(Table1[[#This Row],[Sale_Type]]="Buffet",1,0)</f>
        <v>1</v>
      </c>
    </row>
    <row r="1066" spans="1:13" x14ac:dyDescent="0.2">
      <c r="A1066" t="s">
        <v>1337</v>
      </c>
      <c r="B1066" t="s">
        <v>630</v>
      </c>
      <c r="C1066" s="1">
        <v>45980</v>
      </c>
      <c r="D1066" t="s">
        <v>13</v>
      </c>
      <c r="E1066" t="s">
        <v>43</v>
      </c>
      <c r="F1066" t="s">
        <v>44</v>
      </c>
      <c r="G1066" t="s">
        <v>16</v>
      </c>
      <c r="H1066">
        <v>2</v>
      </c>
      <c r="I1066">
        <v>24.21</v>
      </c>
      <c r="J1066" t="s">
        <v>17</v>
      </c>
      <c r="K1066" t="s">
        <v>21</v>
      </c>
      <c r="L1066">
        <f>WEEKDAY(Table1[[#This Row],[Transaction_Date]],2)</f>
        <v>3</v>
      </c>
      <c r="M1066">
        <f>IF(Table1[[#This Row],[Sale_Type]]="Buffet",1,0)</f>
        <v>0</v>
      </c>
    </row>
    <row r="1067" spans="1:13" x14ac:dyDescent="0.2">
      <c r="A1067" t="s">
        <v>1338</v>
      </c>
      <c r="B1067" t="s">
        <v>81</v>
      </c>
      <c r="C1067" s="1">
        <v>45980</v>
      </c>
      <c r="D1067" t="s">
        <v>13</v>
      </c>
      <c r="E1067" t="s">
        <v>43</v>
      </c>
      <c r="F1067" t="s">
        <v>50</v>
      </c>
      <c r="G1067" t="s">
        <v>16</v>
      </c>
      <c r="H1067">
        <v>3</v>
      </c>
      <c r="I1067">
        <v>104.5</v>
      </c>
      <c r="J1067" t="s">
        <v>17</v>
      </c>
      <c r="K1067" t="s">
        <v>18</v>
      </c>
      <c r="L1067">
        <f>WEEKDAY(Table1[[#This Row],[Transaction_Date]],2)</f>
        <v>3</v>
      </c>
      <c r="M1067">
        <f>IF(Table1[[#This Row],[Sale_Type]]="Buffet",1,0)</f>
        <v>0</v>
      </c>
    </row>
    <row r="1068" spans="1:13" x14ac:dyDescent="0.2">
      <c r="A1068" t="s">
        <v>1339</v>
      </c>
      <c r="B1068" t="s">
        <v>329</v>
      </c>
      <c r="C1068" s="1">
        <v>45980</v>
      </c>
      <c r="D1068" t="s">
        <v>13</v>
      </c>
      <c r="E1068" t="s">
        <v>43</v>
      </c>
      <c r="F1068" t="s">
        <v>50</v>
      </c>
      <c r="G1068" t="s">
        <v>45</v>
      </c>
      <c r="H1068">
        <v>4</v>
      </c>
      <c r="I1068">
        <v>93.5</v>
      </c>
      <c r="J1068" t="s">
        <v>34</v>
      </c>
      <c r="K1068" t="s">
        <v>18</v>
      </c>
      <c r="L1068">
        <f>WEEKDAY(Table1[[#This Row],[Transaction_Date]],2)</f>
        <v>3</v>
      </c>
      <c r="M1068">
        <f>IF(Table1[[#This Row],[Sale_Type]]="Buffet",1,0)</f>
        <v>1</v>
      </c>
    </row>
    <row r="1069" spans="1:13" x14ac:dyDescent="0.2">
      <c r="A1069" t="s">
        <v>1340</v>
      </c>
      <c r="B1069" t="s">
        <v>126</v>
      </c>
      <c r="C1069" s="1">
        <v>45980</v>
      </c>
      <c r="D1069" t="s">
        <v>13</v>
      </c>
      <c r="E1069" t="s">
        <v>43</v>
      </c>
      <c r="F1069" t="s">
        <v>53</v>
      </c>
      <c r="G1069" t="s">
        <v>16</v>
      </c>
      <c r="H1069">
        <v>7</v>
      </c>
      <c r="I1069">
        <v>116.4</v>
      </c>
      <c r="J1069" t="s">
        <v>17</v>
      </c>
      <c r="K1069" t="s">
        <v>18</v>
      </c>
      <c r="L1069">
        <f>WEEKDAY(Table1[[#This Row],[Transaction_Date]],2)</f>
        <v>3</v>
      </c>
      <c r="M1069">
        <f>IF(Table1[[#This Row],[Sale_Type]]="Buffet",1,0)</f>
        <v>0</v>
      </c>
    </row>
    <row r="1070" spans="1:13" x14ac:dyDescent="0.2">
      <c r="A1070" t="s">
        <v>1341</v>
      </c>
      <c r="B1070" t="s">
        <v>445</v>
      </c>
      <c r="C1070" s="1">
        <v>45980</v>
      </c>
      <c r="D1070" t="s">
        <v>13</v>
      </c>
      <c r="E1070" t="s">
        <v>43</v>
      </c>
      <c r="F1070" t="s">
        <v>53</v>
      </c>
      <c r="G1070" t="s">
        <v>16</v>
      </c>
      <c r="H1070">
        <v>4</v>
      </c>
      <c r="I1070">
        <v>80.47</v>
      </c>
      <c r="J1070" t="s">
        <v>17</v>
      </c>
      <c r="K1070" t="s">
        <v>21</v>
      </c>
      <c r="L1070">
        <f>WEEKDAY(Table1[[#This Row],[Transaction_Date]],2)</f>
        <v>3</v>
      </c>
      <c r="M1070">
        <f>IF(Table1[[#This Row],[Sale_Type]]="Buffet",1,0)</f>
        <v>0</v>
      </c>
    </row>
    <row r="1071" spans="1:13" x14ac:dyDescent="0.2">
      <c r="A1071" t="s">
        <v>1342</v>
      </c>
      <c r="B1071" t="s">
        <v>124</v>
      </c>
      <c r="C1071" s="1">
        <v>45980</v>
      </c>
      <c r="D1071" t="s">
        <v>13</v>
      </c>
      <c r="E1071" t="s">
        <v>43</v>
      </c>
      <c r="F1071" t="s">
        <v>57</v>
      </c>
      <c r="G1071" t="s">
        <v>45</v>
      </c>
      <c r="H1071">
        <v>1</v>
      </c>
      <c r="I1071">
        <v>24.5</v>
      </c>
      <c r="J1071" t="s">
        <v>17</v>
      </c>
      <c r="K1071" t="s">
        <v>18</v>
      </c>
      <c r="L1071">
        <f>WEEKDAY(Table1[[#This Row],[Transaction_Date]],2)</f>
        <v>3</v>
      </c>
      <c r="M1071">
        <f>IF(Table1[[#This Row],[Sale_Type]]="Buffet",1,0)</f>
        <v>1</v>
      </c>
    </row>
    <row r="1072" spans="1:13" x14ac:dyDescent="0.2">
      <c r="A1072" t="s">
        <v>1343</v>
      </c>
      <c r="B1072" t="s">
        <v>866</v>
      </c>
      <c r="C1072" s="1">
        <v>45980</v>
      </c>
      <c r="D1072" t="s">
        <v>13</v>
      </c>
      <c r="E1072" t="s">
        <v>43</v>
      </c>
      <c r="F1072" t="s">
        <v>57</v>
      </c>
      <c r="G1072" t="s">
        <v>45</v>
      </c>
      <c r="H1072">
        <v>3</v>
      </c>
      <c r="I1072">
        <v>69</v>
      </c>
      <c r="J1072" t="s">
        <v>17</v>
      </c>
      <c r="K1072" t="s">
        <v>18</v>
      </c>
      <c r="L1072">
        <f>WEEKDAY(Table1[[#This Row],[Transaction_Date]],2)</f>
        <v>3</v>
      </c>
      <c r="M1072">
        <f>IF(Table1[[#This Row],[Sale_Type]]="Buffet",1,0)</f>
        <v>1</v>
      </c>
    </row>
    <row r="1073" spans="1:13" x14ac:dyDescent="0.2">
      <c r="A1073" t="s">
        <v>1344</v>
      </c>
      <c r="B1073" t="s">
        <v>332</v>
      </c>
      <c r="C1073" s="1">
        <v>45980</v>
      </c>
      <c r="D1073" t="s">
        <v>13</v>
      </c>
      <c r="E1073" t="s">
        <v>43</v>
      </c>
      <c r="F1073" t="s">
        <v>57</v>
      </c>
      <c r="G1073" t="s">
        <v>45</v>
      </c>
      <c r="H1073">
        <v>5</v>
      </c>
      <c r="I1073">
        <v>100</v>
      </c>
      <c r="J1073" t="s">
        <v>34</v>
      </c>
      <c r="K1073" t="s">
        <v>18</v>
      </c>
      <c r="L1073">
        <f>WEEKDAY(Table1[[#This Row],[Transaction_Date]],2)</f>
        <v>3</v>
      </c>
      <c r="M1073">
        <f>IF(Table1[[#This Row],[Sale_Type]]="Buffet",1,0)</f>
        <v>1</v>
      </c>
    </row>
    <row r="1074" spans="1:13" x14ac:dyDescent="0.2">
      <c r="A1074" t="s">
        <v>1345</v>
      </c>
      <c r="B1074" t="s">
        <v>597</v>
      </c>
      <c r="C1074" s="1">
        <v>45981</v>
      </c>
      <c r="D1074" t="s">
        <v>62</v>
      </c>
      <c r="E1074" t="s">
        <v>14</v>
      </c>
      <c r="F1074" t="s">
        <v>15</v>
      </c>
      <c r="G1074" t="s">
        <v>16</v>
      </c>
      <c r="H1074">
        <v>4</v>
      </c>
      <c r="I1074">
        <v>122.51</v>
      </c>
      <c r="J1074" t="s">
        <v>34</v>
      </c>
      <c r="K1074" t="s">
        <v>18</v>
      </c>
      <c r="L1074">
        <f>WEEKDAY(Table1[[#This Row],[Transaction_Date]],2)</f>
        <v>4</v>
      </c>
      <c r="M1074">
        <f>IF(Table1[[#This Row],[Sale_Type]]="Buffet",1,0)</f>
        <v>0</v>
      </c>
    </row>
    <row r="1075" spans="1:13" x14ac:dyDescent="0.2">
      <c r="A1075" t="s">
        <v>1346</v>
      </c>
      <c r="B1075" t="s">
        <v>584</v>
      </c>
      <c r="C1075" s="1">
        <v>45981</v>
      </c>
      <c r="D1075" t="s">
        <v>62</v>
      </c>
      <c r="E1075" t="s">
        <v>14</v>
      </c>
      <c r="F1075" t="s">
        <v>24</v>
      </c>
      <c r="G1075" t="s">
        <v>16</v>
      </c>
      <c r="H1075">
        <v>1</v>
      </c>
      <c r="I1075">
        <v>44.59</v>
      </c>
      <c r="J1075" t="s">
        <v>28</v>
      </c>
      <c r="K1075" t="s">
        <v>18</v>
      </c>
      <c r="L1075">
        <f>WEEKDAY(Table1[[#This Row],[Transaction_Date]],2)</f>
        <v>4</v>
      </c>
      <c r="M1075">
        <f>IF(Table1[[#This Row],[Sale_Type]]="Buffet",1,0)</f>
        <v>0</v>
      </c>
    </row>
    <row r="1076" spans="1:13" x14ac:dyDescent="0.2">
      <c r="A1076" t="s">
        <v>1347</v>
      </c>
      <c r="B1076" t="s">
        <v>215</v>
      </c>
      <c r="C1076" s="1">
        <v>45981</v>
      </c>
      <c r="D1076" t="s">
        <v>62</v>
      </c>
      <c r="E1076" t="s">
        <v>14</v>
      </c>
      <c r="F1076" t="s">
        <v>24</v>
      </c>
      <c r="G1076" t="s">
        <v>16</v>
      </c>
      <c r="H1076">
        <v>2</v>
      </c>
      <c r="I1076">
        <v>69.33</v>
      </c>
      <c r="J1076" t="s">
        <v>34</v>
      </c>
      <c r="K1076" t="s">
        <v>18</v>
      </c>
      <c r="L1076">
        <f>WEEKDAY(Table1[[#This Row],[Transaction_Date]],2)</f>
        <v>4</v>
      </c>
      <c r="M1076">
        <f>IF(Table1[[#This Row],[Sale_Type]]="Buffet",1,0)</f>
        <v>0</v>
      </c>
    </row>
    <row r="1077" spans="1:13" x14ac:dyDescent="0.2">
      <c r="A1077" t="s">
        <v>1348</v>
      </c>
      <c r="B1077" t="s">
        <v>226</v>
      </c>
      <c r="C1077" s="1">
        <v>45981</v>
      </c>
      <c r="D1077" t="s">
        <v>62</v>
      </c>
      <c r="E1077" t="s">
        <v>14</v>
      </c>
      <c r="F1077" t="s">
        <v>24</v>
      </c>
      <c r="G1077" t="s">
        <v>16</v>
      </c>
      <c r="H1077">
        <v>4</v>
      </c>
      <c r="I1077">
        <v>170.45</v>
      </c>
      <c r="J1077" t="s">
        <v>34</v>
      </c>
      <c r="K1077" t="s">
        <v>21</v>
      </c>
      <c r="L1077">
        <f>WEEKDAY(Table1[[#This Row],[Transaction_Date]],2)</f>
        <v>4</v>
      </c>
      <c r="M1077">
        <f>IF(Table1[[#This Row],[Sale_Type]]="Buffet",1,0)</f>
        <v>0</v>
      </c>
    </row>
    <row r="1078" spans="1:13" x14ac:dyDescent="0.2">
      <c r="A1078" t="s">
        <v>1349</v>
      </c>
      <c r="B1078" t="s">
        <v>211</v>
      </c>
      <c r="C1078" s="1">
        <v>45981</v>
      </c>
      <c r="D1078" t="s">
        <v>62</v>
      </c>
      <c r="E1078" t="s">
        <v>14</v>
      </c>
      <c r="F1078" t="s">
        <v>24</v>
      </c>
      <c r="G1078" t="s">
        <v>16</v>
      </c>
      <c r="H1078">
        <v>4</v>
      </c>
      <c r="I1078">
        <v>129.13</v>
      </c>
      <c r="J1078" t="s">
        <v>17</v>
      </c>
      <c r="K1078" t="s">
        <v>18</v>
      </c>
      <c r="L1078">
        <f>WEEKDAY(Table1[[#This Row],[Transaction_Date]],2)</f>
        <v>4</v>
      </c>
      <c r="M1078">
        <f>IF(Table1[[#This Row],[Sale_Type]]="Buffet",1,0)</f>
        <v>0</v>
      </c>
    </row>
    <row r="1079" spans="1:13" x14ac:dyDescent="0.2">
      <c r="A1079" t="s">
        <v>1350</v>
      </c>
      <c r="B1079" t="s">
        <v>624</v>
      </c>
      <c r="C1079" s="1">
        <v>45981</v>
      </c>
      <c r="D1079" t="s">
        <v>62</v>
      </c>
      <c r="E1079" t="s">
        <v>14</v>
      </c>
      <c r="F1079" t="s">
        <v>27</v>
      </c>
      <c r="G1079" t="s">
        <v>16</v>
      </c>
      <c r="H1079">
        <v>2</v>
      </c>
      <c r="I1079">
        <v>62.03</v>
      </c>
      <c r="J1079" t="s">
        <v>17</v>
      </c>
      <c r="K1079" t="s">
        <v>18</v>
      </c>
      <c r="L1079">
        <f>WEEKDAY(Table1[[#This Row],[Transaction_Date]],2)</f>
        <v>4</v>
      </c>
      <c r="M1079">
        <f>IF(Table1[[#This Row],[Sale_Type]]="Buffet",1,0)</f>
        <v>0</v>
      </c>
    </row>
    <row r="1080" spans="1:13" x14ac:dyDescent="0.2">
      <c r="A1080" t="s">
        <v>1351</v>
      </c>
      <c r="B1080" t="s">
        <v>445</v>
      </c>
      <c r="C1080" s="1">
        <v>45981</v>
      </c>
      <c r="D1080" t="s">
        <v>62</v>
      </c>
      <c r="E1080" t="s">
        <v>14</v>
      </c>
      <c r="F1080" t="s">
        <v>27</v>
      </c>
      <c r="G1080" t="s">
        <v>16</v>
      </c>
      <c r="H1080">
        <v>2</v>
      </c>
      <c r="I1080">
        <v>55.44</v>
      </c>
      <c r="J1080" t="s">
        <v>34</v>
      </c>
      <c r="K1080" t="s">
        <v>18</v>
      </c>
      <c r="L1080">
        <f>WEEKDAY(Table1[[#This Row],[Transaction_Date]],2)</f>
        <v>4</v>
      </c>
      <c r="M1080">
        <f>IF(Table1[[#This Row],[Sale_Type]]="Buffet",1,0)</f>
        <v>0</v>
      </c>
    </row>
    <row r="1081" spans="1:13" x14ac:dyDescent="0.2">
      <c r="A1081" t="s">
        <v>1352</v>
      </c>
      <c r="B1081" t="s">
        <v>49</v>
      </c>
      <c r="C1081" s="1">
        <v>45981</v>
      </c>
      <c r="D1081" t="s">
        <v>62</v>
      </c>
      <c r="E1081" t="s">
        <v>43</v>
      </c>
      <c r="F1081" t="s">
        <v>44</v>
      </c>
      <c r="G1081" t="s">
        <v>45</v>
      </c>
      <c r="H1081">
        <v>2</v>
      </c>
      <c r="I1081">
        <v>44.5</v>
      </c>
      <c r="J1081" t="s">
        <v>17</v>
      </c>
      <c r="K1081" t="s">
        <v>18</v>
      </c>
      <c r="L1081">
        <f>WEEKDAY(Table1[[#This Row],[Transaction_Date]],2)</f>
        <v>4</v>
      </c>
      <c r="M1081">
        <f>IF(Table1[[#This Row],[Sale_Type]]="Buffet",1,0)</f>
        <v>1</v>
      </c>
    </row>
    <row r="1082" spans="1:13" x14ac:dyDescent="0.2">
      <c r="A1082" t="s">
        <v>1353</v>
      </c>
      <c r="B1082" t="s">
        <v>228</v>
      </c>
      <c r="C1082" s="1">
        <v>45981</v>
      </c>
      <c r="D1082" t="s">
        <v>62</v>
      </c>
      <c r="E1082" t="s">
        <v>43</v>
      </c>
      <c r="F1082" t="s">
        <v>44</v>
      </c>
      <c r="G1082" t="s">
        <v>45</v>
      </c>
      <c r="H1082">
        <v>4</v>
      </c>
      <c r="I1082">
        <v>80</v>
      </c>
      <c r="J1082" t="s">
        <v>28</v>
      </c>
      <c r="K1082" t="s">
        <v>21</v>
      </c>
      <c r="L1082">
        <f>WEEKDAY(Table1[[#This Row],[Transaction_Date]],2)</f>
        <v>4</v>
      </c>
      <c r="M1082">
        <f>IF(Table1[[#This Row],[Sale_Type]]="Buffet",1,0)</f>
        <v>1</v>
      </c>
    </row>
    <row r="1083" spans="1:13" x14ac:dyDescent="0.2">
      <c r="A1083" t="s">
        <v>1354</v>
      </c>
      <c r="B1083" t="s">
        <v>678</v>
      </c>
      <c r="C1083" s="1">
        <v>45981</v>
      </c>
      <c r="D1083" t="s">
        <v>62</v>
      </c>
      <c r="E1083" t="s">
        <v>43</v>
      </c>
      <c r="F1083" t="s">
        <v>44</v>
      </c>
      <c r="G1083" t="s">
        <v>45</v>
      </c>
      <c r="H1083">
        <v>3</v>
      </c>
      <c r="I1083">
        <v>60</v>
      </c>
      <c r="J1083" t="s">
        <v>17</v>
      </c>
      <c r="K1083" t="s">
        <v>21</v>
      </c>
      <c r="L1083">
        <f>WEEKDAY(Table1[[#This Row],[Transaction_Date]],2)</f>
        <v>4</v>
      </c>
      <c r="M1083">
        <f>IF(Table1[[#This Row],[Sale_Type]]="Buffet",1,0)</f>
        <v>1</v>
      </c>
    </row>
    <row r="1084" spans="1:13" x14ac:dyDescent="0.2">
      <c r="A1084" t="s">
        <v>1355</v>
      </c>
      <c r="B1084" t="s">
        <v>74</v>
      </c>
      <c r="C1084" s="1">
        <v>45981</v>
      </c>
      <c r="D1084" t="s">
        <v>62</v>
      </c>
      <c r="E1084" t="s">
        <v>43</v>
      </c>
      <c r="F1084" t="s">
        <v>44</v>
      </c>
      <c r="G1084" t="s">
        <v>45</v>
      </c>
      <c r="H1084">
        <v>4</v>
      </c>
      <c r="I1084">
        <v>84.5</v>
      </c>
      <c r="J1084" t="s">
        <v>34</v>
      </c>
      <c r="K1084" t="s">
        <v>18</v>
      </c>
      <c r="L1084">
        <f>WEEKDAY(Table1[[#This Row],[Transaction_Date]],2)</f>
        <v>4</v>
      </c>
      <c r="M1084">
        <f>IF(Table1[[#This Row],[Sale_Type]]="Buffet",1,0)</f>
        <v>1</v>
      </c>
    </row>
    <row r="1085" spans="1:13" x14ac:dyDescent="0.2">
      <c r="A1085" t="s">
        <v>1356</v>
      </c>
      <c r="B1085" t="s">
        <v>532</v>
      </c>
      <c r="C1085" s="1">
        <v>45981</v>
      </c>
      <c r="D1085" t="s">
        <v>62</v>
      </c>
      <c r="E1085" t="s">
        <v>43</v>
      </c>
      <c r="F1085" t="s">
        <v>50</v>
      </c>
      <c r="G1085" t="s">
        <v>16</v>
      </c>
      <c r="H1085">
        <v>3</v>
      </c>
      <c r="I1085">
        <v>36.340000000000003</v>
      </c>
      <c r="J1085" t="s">
        <v>34</v>
      </c>
      <c r="K1085" t="s">
        <v>18</v>
      </c>
      <c r="L1085">
        <f>WEEKDAY(Table1[[#This Row],[Transaction_Date]],2)</f>
        <v>4</v>
      </c>
      <c r="M1085">
        <f>IF(Table1[[#This Row],[Sale_Type]]="Buffet",1,0)</f>
        <v>0</v>
      </c>
    </row>
    <row r="1086" spans="1:13" x14ac:dyDescent="0.2">
      <c r="A1086" t="s">
        <v>1357</v>
      </c>
      <c r="B1086" t="s">
        <v>522</v>
      </c>
      <c r="C1086" s="1">
        <v>45981</v>
      </c>
      <c r="D1086" t="s">
        <v>62</v>
      </c>
      <c r="E1086" t="s">
        <v>43</v>
      </c>
      <c r="F1086" t="s">
        <v>50</v>
      </c>
      <c r="G1086" t="s">
        <v>45</v>
      </c>
      <c r="H1086">
        <v>4</v>
      </c>
      <c r="I1086">
        <v>80</v>
      </c>
      <c r="J1086" t="s">
        <v>17</v>
      </c>
      <c r="K1086" t="s">
        <v>18</v>
      </c>
      <c r="L1086">
        <f>WEEKDAY(Table1[[#This Row],[Transaction_Date]],2)</f>
        <v>4</v>
      </c>
      <c r="M1086">
        <f>IF(Table1[[#This Row],[Sale_Type]]="Buffet",1,0)</f>
        <v>1</v>
      </c>
    </row>
    <row r="1087" spans="1:13" x14ac:dyDescent="0.2">
      <c r="A1087" t="s">
        <v>1358</v>
      </c>
      <c r="B1087" t="s">
        <v>293</v>
      </c>
      <c r="C1087" s="1">
        <v>45981</v>
      </c>
      <c r="D1087" t="s">
        <v>62</v>
      </c>
      <c r="E1087" t="s">
        <v>43</v>
      </c>
      <c r="F1087" t="s">
        <v>53</v>
      </c>
      <c r="G1087" t="s">
        <v>16</v>
      </c>
      <c r="H1087">
        <v>4</v>
      </c>
      <c r="I1087">
        <v>48.16</v>
      </c>
      <c r="J1087" t="s">
        <v>17</v>
      </c>
      <c r="K1087" t="s">
        <v>18</v>
      </c>
      <c r="L1087">
        <f>WEEKDAY(Table1[[#This Row],[Transaction_Date]],2)</f>
        <v>4</v>
      </c>
      <c r="M1087">
        <f>IF(Table1[[#This Row],[Sale_Type]]="Buffet",1,0)</f>
        <v>0</v>
      </c>
    </row>
    <row r="1088" spans="1:13" x14ac:dyDescent="0.2">
      <c r="A1088" t="s">
        <v>1359</v>
      </c>
      <c r="B1088" t="s">
        <v>52</v>
      </c>
      <c r="C1088" s="1">
        <v>45981</v>
      </c>
      <c r="D1088" t="s">
        <v>62</v>
      </c>
      <c r="E1088" t="s">
        <v>43</v>
      </c>
      <c r="F1088" t="s">
        <v>53</v>
      </c>
      <c r="G1088" t="s">
        <v>45</v>
      </c>
      <c r="H1088">
        <v>6</v>
      </c>
      <c r="I1088">
        <v>129</v>
      </c>
      <c r="J1088" t="s">
        <v>28</v>
      </c>
      <c r="K1088" t="s">
        <v>18</v>
      </c>
      <c r="L1088">
        <f>WEEKDAY(Table1[[#This Row],[Transaction_Date]],2)</f>
        <v>4</v>
      </c>
      <c r="M1088">
        <f>IF(Table1[[#This Row],[Sale_Type]]="Buffet",1,0)</f>
        <v>1</v>
      </c>
    </row>
    <row r="1089" spans="1:13" x14ac:dyDescent="0.2">
      <c r="A1089" t="s">
        <v>1360</v>
      </c>
      <c r="B1089" t="s">
        <v>755</v>
      </c>
      <c r="C1089" s="1">
        <v>45981</v>
      </c>
      <c r="D1089" t="s">
        <v>62</v>
      </c>
      <c r="E1089" t="s">
        <v>43</v>
      </c>
      <c r="F1089" t="s">
        <v>53</v>
      </c>
      <c r="G1089" t="s">
        <v>45</v>
      </c>
      <c r="H1089">
        <v>4</v>
      </c>
      <c r="I1089">
        <v>80</v>
      </c>
      <c r="J1089" t="s">
        <v>34</v>
      </c>
      <c r="K1089" t="s">
        <v>18</v>
      </c>
      <c r="L1089">
        <f>WEEKDAY(Table1[[#This Row],[Transaction_Date]],2)</f>
        <v>4</v>
      </c>
      <c r="M1089">
        <f>IF(Table1[[#This Row],[Sale_Type]]="Buffet",1,0)</f>
        <v>1</v>
      </c>
    </row>
    <row r="1090" spans="1:13" x14ac:dyDescent="0.2">
      <c r="A1090" t="s">
        <v>1361</v>
      </c>
      <c r="B1090" t="s">
        <v>858</v>
      </c>
      <c r="C1090" s="1">
        <v>45981</v>
      </c>
      <c r="D1090" t="s">
        <v>62</v>
      </c>
      <c r="E1090" t="s">
        <v>43</v>
      </c>
      <c r="F1090" t="s">
        <v>53</v>
      </c>
      <c r="G1090" t="s">
        <v>45</v>
      </c>
      <c r="H1090">
        <v>2</v>
      </c>
      <c r="I1090">
        <v>49</v>
      </c>
      <c r="J1090" t="s">
        <v>17</v>
      </c>
      <c r="K1090" t="s">
        <v>18</v>
      </c>
      <c r="L1090">
        <f>WEEKDAY(Table1[[#This Row],[Transaction_Date]],2)</f>
        <v>4</v>
      </c>
      <c r="M1090">
        <f>IF(Table1[[#This Row],[Sale_Type]]="Buffet",1,0)</f>
        <v>1</v>
      </c>
    </row>
    <row r="1091" spans="1:13" x14ac:dyDescent="0.2">
      <c r="A1091" t="s">
        <v>1362</v>
      </c>
      <c r="B1091" t="s">
        <v>100</v>
      </c>
      <c r="C1091" s="1">
        <v>45981</v>
      </c>
      <c r="D1091" t="s">
        <v>62</v>
      </c>
      <c r="E1091" t="s">
        <v>43</v>
      </c>
      <c r="F1091" t="s">
        <v>57</v>
      </c>
      <c r="G1091" t="s">
        <v>16</v>
      </c>
      <c r="H1091">
        <v>2</v>
      </c>
      <c r="I1091">
        <v>29.97</v>
      </c>
      <c r="J1091" t="s">
        <v>17</v>
      </c>
      <c r="K1091" t="s">
        <v>21</v>
      </c>
      <c r="L1091">
        <f>WEEKDAY(Table1[[#This Row],[Transaction_Date]],2)</f>
        <v>4</v>
      </c>
      <c r="M1091">
        <f>IF(Table1[[#This Row],[Sale_Type]]="Buffet",1,0)</f>
        <v>0</v>
      </c>
    </row>
    <row r="1092" spans="1:13" x14ac:dyDescent="0.2">
      <c r="A1092" t="s">
        <v>1363</v>
      </c>
      <c r="B1092" t="s">
        <v>270</v>
      </c>
      <c r="C1092" s="1">
        <v>45982</v>
      </c>
      <c r="D1092" t="s">
        <v>96</v>
      </c>
      <c r="E1092" t="s">
        <v>14</v>
      </c>
      <c r="F1092" t="s">
        <v>15</v>
      </c>
      <c r="G1092" t="s">
        <v>16</v>
      </c>
      <c r="H1092">
        <v>5</v>
      </c>
      <c r="I1092">
        <v>97.71</v>
      </c>
      <c r="J1092" t="s">
        <v>17</v>
      </c>
      <c r="K1092" t="s">
        <v>21</v>
      </c>
      <c r="L1092">
        <f>WEEKDAY(Table1[[#This Row],[Transaction_Date]],2)</f>
        <v>5</v>
      </c>
      <c r="M1092">
        <f>IF(Table1[[#This Row],[Sale_Type]]="Buffet",1,0)</f>
        <v>0</v>
      </c>
    </row>
    <row r="1093" spans="1:13" x14ac:dyDescent="0.2">
      <c r="A1093" t="s">
        <v>1364</v>
      </c>
      <c r="B1093" t="s">
        <v>390</v>
      </c>
      <c r="C1093" s="1">
        <v>45982</v>
      </c>
      <c r="D1093" t="s">
        <v>96</v>
      </c>
      <c r="E1093" t="s">
        <v>14</v>
      </c>
      <c r="F1093" t="s">
        <v>24</v>
      </c>
      <c r="G1093" t="s">
        <v>16</v>
      </c>
      <c r="H1093">
        <v>2</v>
      </c>
      <c r="I1093">
        <v>43.66</v>
      </c>
      <c r="J1093" t="s">
        <v>34</v>
      </c>
      <c r="K1093" t="s">
        <v>18</v>
      </c>
      <c r="L1093">
        <f>WEEKDAY(Table1[[#This Row],[Transaction_Date]],2)</f>
        <v>5</v>
      </c>
      <c r="M1093">
        <f>IF(Table1[[#This Row],[Sale_Type]]="Buffet",1,0)</f>
        <v>0</v>
      </c>
    </row>
    <row r="1094" spans="1:13" x14ac:dyDescent="0.2">
      <c r="A1094" t="s">
        <v>1365</v>
      </c>
      <c r="B1094" t="s">
        <v>699</v>
      </c>
      <c r="C1094" s="1">
        <v>45982</v>
      </c>
      <c r="D1094" t="s">
        <v>96</v>
      </c>
      <c r="E1094" t="s">
        <v>14</v>
      </c>
      <c r="F1094" t="s">
        <v>27</v>
      </c>
      <c r="G1094" t="s">
        <v>16</v>
      </c>
      <c r="H1094">
        <v>2</v>
      </c>
      <c r="I1094">
        <v>45.24</v>
      </c>
      <c r="J1094" t="s">
        <v>17</v>
      </c>
      <c r="K1094" t="s">
        <v>21</v>
      </c>
      <c r="L1094">
        <f>WEEKDAY(Table1[[#This Row],[Transaction_Date]],2)</f>
        <v>5</v>
      </c>
      <c r="M1094">
        <f>IF(Table1[[#This Row],[Sale_Type]]="Buffet",1,0)</f>
        <v>0</v>
      </c>
    </row>
    <row r="1095" spans="1:13" x14ac:dyDescent="0.2">
      <c r="A1095" t="s">
        <v>1366</v>
      </c>
      <c r="B1095" t="s">
        <v>140</v>
      </c>
      <c r="C1095" s="1">
        <v>45982</v>
      </c>
      <c r="D1095" t="s">
        <v>96</v>
      </c>
      <c r="E1095" t="s">
        <v>14</v>
      </c>
      <c r="F1095" t="s">
        <v>27</v>
      </c>
      <c r="G1095" t="s">
        <v>16</v>
      </c>
      <c r="H1095">
        <v>1</v>
      </c>
      <c r="I1095">
        <v>23.89</v>
      </c>
      <c r="J1095" t="s">
        <v>34</v>
      </c>
      <c r="K1095" t="s">
        <v>18</v>
      </c>
      <c r="L1095">
        <f>WEEKDAY(Table1[[#This Row],[Transaction_Date]],2)</f>
        <v>5</v>
      </c>
      <c r="M1095">
        <f>IF(Table1[[#This Row],[Sale_Type]]="Buffet",1,0)</f>
        <v>0</v>
      </c>
    </row>
    <row r="1096" spans="1:13" x14ac:dyDescent="0.2">
      <c r="A1096" t="s">
        <v>1367</v>
      </c>
      <c r="B1096" t="s">
        <v>402</v>
      </c>
      <c r="C1096" s="1">
        <v>45982</v>
      </c>
      <c r="D1096" t="s">
        <v>96</v>
      </c>
      <c r="E1096" t="s">
        <v>14</v>
      </c>
      <c r="F1096" t="s">
        <v>31</v>
      </c>
      <c r="G1096" t="s">
        <v>16</v>
      </c>
      <c r="H1096">
        <v>3</v>
      </c>
      <c r="I1096">
        <v>89.79</v>
      </c>
      <c r="J1096" t="s">
        <v>28</v>
      </c>
      <c r="K1096" t="s">
        <v>18</v>
      </c>
      <c r="L1096">
        <f>WEEKDAY(Table1[[#This Row],[Transaction_Date]],2)</f>
        <v>5</v>
      </c>
      <c r="M1096">
        <f>IF(Table1[[#This Row],[Sale_Type]]="Buffet",1,0)</f>
        <v>0</v>
      </c>
    </row>
    <row r="1097" spans="1:13" x14ac:dyDescent="0.2">
      <c r="A1097" t="s">
        <v>1368</v>
      </c>
      <c r="B1097" t="s">
        <v>222</v>
      </c>
      <c r="C1097" s="1">
        <v>45982</v>
      </c>
      <c r="D1097" t="s">
        <v>96</v>
      </c>
      <c r="E1097" t="s">
        <v>14</v>
      </c>
      <c r="F1097" t="s">
        <v>31</v>
      </c>
      <c r="G1097" t="s">
        <v>16</v>
      </c>
      <c r="H1097">
        <v>2</v>
      </c>
      <c r="I1097">
        <v>54.4</v>
      </c>
      <c r="J1097" t="s">
        <v>34</v>
      </c>
      <c r="K1097" t="s">
        <v>18</v>
      </c>
      <c r="L1097">
        <f>WEEKDAY(Table1[[#This Row],[Transaction_Date]],2)</f>
        <v>5</v>
      </c>
      <c r="M1097">
        <f>IF(Table1[[#This Row],[Sale_Type]]="Buffet",1,0)</f>
        <v>0</v>
      </c>
    </row>
    <row r="1098" spans="1:13" x14ac:dyDescent="0.2">
      <c r="A1098" t="s">
        <v>1369</v>
      </c>
      <c r="B1098" t="s">
        <v>480</v>
      </c>
      <c r="C1098" s="1">
        <v>45982</v>
      </c>
      <c r="D1098" t="s">
        <v>96</v>
      </c>
      <c r="E1098" t="s">
        <v>43</v>
      </c>
      <c r="F1098" t="s">
        <v>44</v>
      </c>
      <c r="G1098" t="s">
        <v>45</v>
      </c>
      <c r="H1098">
        <v>4</v>
      </c>
      <c r="I1098">
        <v>84.5</v>
      </c>
      <c r="J1098" t="s">
        <v>17</v>
      </c>
      <c r="K1098" t="s">
        <v>18</v>
      </c>
      <c r="L1098">
        <f>WEEKDAY(Table1[[#This Row],[Transaction_Date]],2)</f>
        <v>5</v>
      </c>
      <c r="M1098">
        <f>IF(Table1[[#This Row],[Sale_Type]]="Buffet",1,0)</f>
        <v>1</v>
      </c>
    </row>
    <row r="1099" spans="1:13" x14ac:dyDescent="0.2">
      <c r="A1099" t="s">
        <v>1370</v>
      </c>
      <c r="B1099" t="s">
        <v>12</v>
      </c>
      <c r="C1099" s="1">
        <v>45982</v>
      </c>
      <c r="D1099" t="s">
        <v>96</v>
      </c>
      <c r="E1099" t="s">
        <v>43</v>
      </c>
      <c r="F1099" t="s">
        <v>50</v>
      </c>
      <c r="G1099" t="s">
        <v>45</v>
      </c>
      <c r="H1099">
        <v>4</v>
      </c>
      <c r="I1099">
        <v>89</v>
      </c>
      <c r="J1099" t="s">
        <v>17</v>
      </c>
      <c r="K1099" t="s">
        <v>18</v>
      </c>
      <c r="L1099">
        <f>WEEKDAY(Table1[[#This Row],[Transaction_Date]],2)</f>
        <v>5</v>
      </c>
      <c r="M1099">
        <f>IF(Table1[[#This Row],[Sale_Type]]="Buffet",1,0)</f>
        <v>1</v>
      </c>
    </row>
    <row r="1100" spans="1:13" x14ac:dyDescent="0.2">
      <c r="A1100" t="s">
        <v>1371</v>
      </c>
      <c r="B1100" t="s">
        <v>334</v>
      </c>
      <c r="C1100" s="1">
        <v>45982</v>
      </c>
      <c r="D1100" t="s">
        <v>96</v>
      </c>
      <c r="E1100" t="s">
        <v>43</v>
      </c>
      <c r="F1100" t="s">
        <v>50</v>
      </c>
      <c r="G1100" t="s">
        <v>45</v>
      </c>
      <c r="H1100">
        <v>3</v>
      </c>
      <c r="I1100">
        <v>69</v>
      </c>
      <c r="J1100" t="s">
        <v>17</v>
      </c>
      <c r="K1100" t="s">
        <v>18</v>
      </c>
      <c r="L1100">
        <f>WEEKDAY(Table1[[#This Row],[Transaction_Date]],2)</f>
        <v>5</v>
      </c>
      <c r="M1100">
        <f>IF(Table1[[#This Row],[Sale_Type]]="Buffet",1,0)</f>
        <v>1</v>
      </c>
    </row>
    <row r="1101" spans="1:13" x14ac:dyDescent="0.2">
      <c r="A1101" t="s">
        <v>1372</v>
      </c>
      <c r="B1101" t="s">
        <v>438</v>
      </c>
      <c r="C1101" s="1">
        <v>45982</v>
      </c>
      <c r="D1101" t="s">
        <v>96</v>
      </c>
      <c r="E1101" t="s">
        <v>43</v>
      </c>
      <c r="F1101" t="s">
        <v>50</v>
      </c>
      <c r="G1101" t="s">
        <v>45</v>
      </c>
      <c r="H1101">
        <v>1</v>
      </c>
      <c r="I1101">
        <v>20</v>
      </c>
      <c r="J1101" t="s">
        <v>17</v>
      </c>
      <c r="K1101" t="s">
        <v>18</v>
      </c>
      <c r="L1101">
        <f>WEEKDAY(Table1[[#This Row],[Transaction_Date]],2)</f>
        <v>5</v>
      </c>
      <c r="M1101">
        <f>IF(Table1[[#This Row],[Sale_Type]]="Buffet",1,0)</f>
        <v>1</v>
      </c>
    </row>
    <row r="1102" spans="1:13" x14ac:dyDescent="0.2">
      <c r="A1102" t="s">
        <v>1373</v>
      </c>
      <c r="B1102" t="s">
        <v>858</v>
      </c>
      <c r="C1102" s="1">
        <v>45982</v>
      </c>
      <c r="D1102" t="s">
        <v>96</v>
      </c>
      <c r="E1102" t="s">
        <v>43</v>
      </c>
      <c r="F1102" t="s">
        <v>53</v>
      </c>
      <c r="G1102" t="s">
        <v>45</v>
      </c>
      <c r="H1102">
        <v>4</v>
      </c>
      <c r="I1102">
        <v>89</v>
      </c>
      <c r="J1102" t="s">
        <v>34</v>
      </c>
      <c r="K1102" t="s">
        <v>18</v>
      </c>
      <c r="L1102">
        <f>WEEKDAY(Table1[[#This Row],[Transaction_Date]],2)</f>
        <v>5</v>
      </c>
      <c r="M1102">
        <f>IF(Table1[[#This Row],[Sale_Type]]="Buffet",1,0)</f>
        <v>1</v>
      </c>
    </row>
    <row r="1103" spans="1:13" x14ac:dyDescent="0.2">
      <c r="A1103" t="s">
        <v>1374</v>
      </c>
      <c r="B1103" t="s">
        <v>684</v>
      </c>
      <c r="C1103" s="1">
        <v>45982</v>
      </c>
      <c r="D1103" t="s">
        <v>96</v>
      </c>
      <c r="E1103" t="s">
        <v>43</v>
      </c>
      <c r="F1103" t="s">
        <v>53</v>
      </c>
      <c r="G1103" t="s">
        <v>45</v>
      </c>
      <c r="H1103">
        <v>6</v>
      </c>
      <c r="I1103">
        <v>129</v>
      </c>
      <c r="J1103" t="s">
        <v>17</v>
      </c>
      <c r="K1103" t="s">
        <v>21</v>
      </c>
      <c r="L1103">
        <f>WEEKDAY(Table1[[#This Row],[Transaction_Date]],2)</f>
        <v>5</v>
      </c>
      <c r="M1103">
        <f>IF(Table1[[#This Row],[Sale_Type]]="Buffet",1,0)</f>
        <v>1</v>
      </c>
    </row>
    <row r="1104" spans="1:13" x14ac:dyDescent="0.2">
      <c r="A1104" t="s">
        <v>1375</v>
      </c>
      <c r="B1104" t="s">
        <v>264</v>
      </c>
      <c r="C1104" s="1">
        <v>45982</v>
      </c>
      <c r="D1104" t="s">
        <v>96</v>
      </c>
      <c r="E1104" t="s">
        <v>43</v>
      </c>
      <c r="F1104" t="s">
        <v>53</v>
      </c>
      <c r="G1104" t="s">
        <v>45</v>
      </c>
      <c r="H1104">
        <v>3</v>
      </c>
      <c r="I1104">
        <v>69</v>
      </c>
      <c r="J1104" t="s">
        <v>34</v>
      </c>
      <c r="K1104" t="s">
        <v>18</v>
      </c>
      <c r="L1104">
        <f>WEEKDAY(Table1[[#This Row],[Transaction_Date]],2)</f>
        <v>5</v>
      </c>
      <c r="M1104">
        <f>IF(Table1[[#This Row],[Sale_Type]]="Buffet",1,0)</f>
        <v>1</v>
      </c>
    </row>
    <row r="1105" spans="1:13" x14ac:dyDescent="0.2">
      <c r="A1105" t="s">
        <v>1376</v>
      </c>
      <c r="B1105" t="s">
        <v>725</v>
      </c>
      <c r="C1105" s="1">
        <v>45982</v>
      </c>
      <c r="D1105" t="s">
        <v>96</v>
      </c>
      <c r="E1105" t="s">
        <v>43</v>
      </c>
      <c r="F1105" t="s">
        <v>57</v>
      </c>
      <c r="G1105" t="s">
        <v>45</v>
      </c>
      <c r="H1105">
        <v>2</v>
      </c>
      <c r="I1105">
        <v>40</v>
      </c>
      <c r="J1105" t="s">
        <v>17</v>
      </c>
      <c r="K1105" t="s">
        <v>18</v>
      </c>
      <c r="L1105">
        <f>WEEKDAY(Table1[[#This Row],[Transaction_Date]],2)</f>
        <v>5</v>
      </c>
      <c r="M1105">
        <f>IF(Table1[[#This Row],[Sale_Type]]="Buffet",1,0)</f>
        <v>1</v>
      </c>
    </row>
    <row r="1106" spans="1:13" x14ac:dyDescent="0.2">
      <c r="A1106" t="s">
        <v>1377</v>
      </c>
      <c r="B1106" t="s">
        <v>591</v>
      </c>
      <c r="C1106" s="1">
        <v>45982</v>
      </c>
      <c r="D1106" t="s">
        <v>96</v>
      </c>
      <c r="E1106" t="s">
        <v>43</v>
      </c>
      <c r="F1106" t="s">
        <v>57</v>
      </c>
      <c r="G1106" t="s">
        <v>16</v>
      </c>
      <c r="H1106">
        <v>2</v>
      </c>
      <c r="I1106">
        <v>32.72</v>
      </c>
      <c r="J1106" t="s">
        <v>28</v>
      </c>
      <c r="K1106" t="s">
        <v>21</v>
      </c>
      <c r="L1106">
        <f>WEEKDAY(Table1[[#This Row],[Transaction_Date]],2)</f>
        <v>5</v>
      </c>
      <c r="M1106">
        <f>IF(Table1[[#This Row],[Sale_Type]]="Buffet",1,0)</f>
        <v>0</v>
      </c>
    </row>
    <row r="1107" spans="1:13" x14ac:dyDescent="0.2">
      <c r="A1107" t="s">
        <v>1378</v>
      </c>
      <c r="B1107" t="s">
        <v>758</v>
      </c>
      <c r="C1107" s="1">
        <v>45982</v>
      </c>
      <c r="D1107" t="s">
        <v>96</v>
      </c>
      <c r="E1107" t="s">
        <v>43</v>
      </c>
      <c r="F1107" t="s">
        <v>57</v>
      </c>
      <c r="G1107" t="s">
        <v>16</v>
      </c>
      <c r="H1107">
        <v>2</v>
      </c>
      <c r="I1107">
        <v>36.36</v>
      </c>
      <c r="J1107" t="s">
        <v>17</v>
      </c>
      <c r="K1107" t="s">
        <v>18</v>
      </c>
      <c r="L1107">
        <f>WEEKDAY(Table1[[#This Row],[Transaction_Date]],2)</f>
        <v>5</v>
      </c>
      <c r="M1107">
        <f>IF(Table1[[#This Row],[Sale_Type]]="Buffet",1,0)</f>
        <v>0</v>
      </c>
    </row>
    <row r="1108" spans="1:13" x14ac:dyDescent="0.2">
      <c r="A1108" t="s">
        <v>1379</v>
      </c>
      <c r="B1108" t="s">
        <v>226</v>
      </c>
      <c r="C1108" s="1">
        <v>45983</v>
      </c>
      <c r="D1108" t="s">
        <v>127</v>
      </c>
      <c r="E1108" t="s">
        <v>14</v>
      </c>
      <c r="F1108" t="s">
        <v>15</v>
      </c>
      <c r="G1108" t="s">
        <v>16</v>
      </c>
      <c r="H1108">
        <v>6</v>
      </c>
      <c r="I1108">
        <v>173.81</v>
      </c>
      <c r="J1108" t="s">
        <v>17</v>
      </c>
      <c r="K1108" t="s">
        <v>21</v>
      </c>
      <c r="L1108">
        <f>WEEKDAY(Table1[[#This Row],[Transaction_Date]],2)</f>
        <v>6</v>
      </c>
      <c r="M1108">
        <f>IF(Table1[[#This Row],[Sale_Type]]="Buffet",1,0)</f>
        <v>0</v>
      </c>
    </row>
    <row r="1109" spans="1:13" x14ac:dyDescent="0.2">
      <c r="A1109" t="s">
        <v>1380</v>
      </c>
      <c r="B1109" t="s">
        <v>122</v>
      </c>
      <c r="C1109" s="1">
        <v>45983</v>
      </c>
      <c r="D1109" t="s">
        <v>127</v>
      </c>
      <c r="E1109" t="s">
        <v>14</v>
      </c>
      <c r="F1109" t="s">
        <v>15</v>
      </c>
      <c r="G1109" t="s">
        <v>16</v>
      </c>
      <c r="H1109">
        <v>4</v>
      </c>
      <c r="I1109">
        <v>123.04</v>
      </c>
      <c r="J1109" t="s">
        <v>17</v>
      </c>
      <c r="K1109" t="s">
        <v>18</v>
      </c>
      <c r="L1109">
        <f>WEEKDAY(Table1[[#This Row],[Transaction_Date]],2)</f>
        <v>6</v>
      </c>
      <c r="M1109">
        <f>IF(Table1[[#This Row],[Sale_Type]]="Buffet",1,0)</f>
        <v>0</v>
      </c>
    </row>
    <row r="1110" spans="1:13" x14ac:dyDescent="0.2">
      <c r="A1110" t="s">
        <v>1381</v>
      </c>
      <c r="B1110" t="s">
        <v>295</v>
      </c>
      <c r="C1110" s="1">
        <v>45983</v>
      </c>
      <c r="D1110" t="s">
        <v>127</v>
      </c>
      <c r="E1110" t="s">
        <v>14</v>
      </c>
      <c r="F1110" t="s">
        <v>15</v>
      </c>
      <c r="G1110" t="s">
        <v>16</v>
      </c>
      <c r="H1110">
        <v>4</v>
      </c>
      <c r="I1110">
        <v>121.53</v>
      </c>
      <c r="J1110" t="s">
        <v>17</v>
      </c>
      <c r="K1110" t="s">
        <v>18</v>
      </c>
      <c r="L1110">
        <f>WEEKDAY(Table1[[#This Row],[Transaction_Date]],2)</f>
        <v>6</v>
      </c>
      <c r="M1110">
        <f>IF(Table1[[#This Row],[Sale_Type]]="Buffet",1,0)</f>
        <v>0</v>
      </c>
    </row>
    <row r="1111" spans="1:13" x14ac:dyDescent="0.2">
      <c r="A1111" t="s">
        <v>1382</v>
      </c>
      <c r="B1111" t="s">
        <v>133</v>
      </c>
      <c r="C1111" s="1">
        <v>45983</v>
      </c>
      <c r="D1111" t="s">
        <v>127</v>
      </c>
      <c r="E1111" t="s">
        <v>14</v>
      </c>
      <c r="F1111" t="s">
        <v>15</v>
      </c>
      <c r="G1111" t="s">
        <v>16</v>
      </c>
      <c r="H1111">
        <v>2</v>
      </c>
      <c r="I1111">
        <v>75.42</v>
      </c>
      <c r="J1111" t="s">
        <v>17</v>
      </c>
      <c r="K1111" t="s">
        <v>18</v>
      </c>
      <c r="L1111">
        <f>WEEKDAY(Table1[[#This Row],[Transaction_Date]],2)</f>
        <v>6</v>
      </c>
      <c r="M1111">
        <f>IF(Table1[[#This Row],[Sale_Type]]="Buffet",1,0)</f>
        <v>0</v>
      </c>
    </row>
    <row r="1112" spans="1:13" x14ac:dyDescent="0.2">
      <c r="A1112" t="s">
        <v>1383</v>
      </c>
      <c r="B1112" t="s">
        <v>304</v>
      </c>
      <c r="C1112" s="1">
        <v>45983</v>
      </c>
      <c r="D1112" t="s">
        <v>127</v>
      </c>
      <c r="E1112" t="s">
        <v>14</v>
      </c>
      <c r="F1112" t="s">
        <v>15</v>
      </c>
      <c r="G1112" t="s">
        <v>16</v>
      </c>
      <c r="H1112">
        <v>3</v>
      </c>
      <c r="I1112">
        <v>89.69</v>
      </c>
      <c r="J1112" t="s">
        <v>34</v>
      </c>
      <c r="K1112" t="s">
        <v>18</v>
      </c>
      <c r="L1112">
        <f>WEEKDAY(Table1[[#This Row],[Transaction_Date]],2)</f>
        <v>6</v>
      </c>
      <c r="M1112">
        <f>IF(Table1[[#This Row],[Sale_Type]]="Buffet",1,0)</f>
        <v>0</v>
      </c>
    </row>
    <row r="1113" spans="1:13" x14ac:dyDescent="0.2">
      <c r="A1113" t="s">
        <v>1384</v>
      </c>
      <c r="B1113" t="s">
        <v>33</v>
      </c>
      <c r="C1113" s="1">
        <v>45983</v>
      </c>
      <c r="D1113" t="s">
        <v>127</v>
      </c>
      <c r="E1113" t="s">
        <v>14</v>
      </c>
      <c r="F1113" t="s">
        <v>15</v>
      </c>
      <c r="G1113" t="s">
        <v>16</v>
      </c>
      <c r="H1113">
        <v>7</v>
      </c>
      <c r="I1113">
        <v>245.6</v>
      </c>
      <c r="J1113" t="s">
        <v>28</v>
      </c>
      <c r="K1113" t="s">
        <v>21</v>
      </c>
      <c r="L1113">
        <f>WEEKDAY(Table1[[#This Row],[Transaction_Date]],2)</f>
        <v>6</v>
      </c>
      <c r="M1113">
        <f>IF(Table1[[#This Row],[Sale_Type]]="Buffet",1,0)</f>
        <v>0</v>
      </c>
    </row>
    <row r="1114" spans="1:13" x14ac:dyDescent="0.2">
      <c r="A1114" t="s">
        <v>1385</v>
      </c>
      <c r="B1114" t="s">
        <v>158</v>
      </c>
      <c r="C1114" s="1">
        <v>45983</v>
      </c>
      <c r="D1114" t="s">
        <v>127</v>
      </c>
      <c r="E1114" t="s">
        <v>14</v>
      </c>
      <c r="F1114" t="s">
        <v>24</v>
      </c>
      <c r="G1114" t="s">
        <v>16</v>
      </c>
      <c r="H1114">
        <v>1</v>
      </c>
      <c r="I1114">
        <v>45.13</v>
      </c>
      <c r="J1114" t="s">
        <v>17</v>
      </c>
      <c r="K1114" t="s">
        <v>18</v>
      </c>
      <c r="L1114">
        <f>WEEKDAY(Table1[[#This Row],[Transaction_Date]],2)</f>
        <v>6</v>
      </c>
      <c r="M1114">
        <f>IF(Table1[[#This Row],[Sale_Type]]="Buffet",1,0)</f>
        <v>0</v>
      </c>
    </row>
    <row r="1115" spans="1:13" x14ac:dyDescent="0.2">
      <c r="A1115" t="s">
        <v>1386</v>
      </c>
      <c r="B1115" t="s">
        <v>467</v>
      </c>
      <c r="C1115" s="1">
        <v>45983</v>
      </c>
      <c r="D1115" t="s">
        <v>127</v>
      </c>
      <c r="E1115" t="s">
        <v>14</v>
      </c>
      <c r="F1115" t="s">
        <v>24</v>
      </c>
      <c r="G1115" t="s">
        <v>16</v>
      </c>
      <c r="H1115">
        <v>5</v>
      </c>
      <c r="I1115">
        <v>90.65</v>
      </c>
      <c r="J1115" t="s">
        <v>28</v>
      </c>
      <c r="K1115" t="s">
        <v>18</v>
      </c>
      <c r="L1115">
        <f>WEEKDAY(Table1[[#This Row],[Transaction_Date]],2)</f>
        <v>6</v>
      </c>
      <c r="M1115">
        <f>IF(Table1[[#This Row],[Sale_Type]]="Buffet",1,0)</f>
        <v>0</v>
      </c>
    </row>
    <row r="1116" spans="1:13" x14ac:dyDescent="0.2">
      <c r="A1116" t="s">
        <v>1387</v>
      </c>
      <c r="B1116" t="s">
        <v>486</v>
      </c>
      <c r="C1116" s="1">
        <v>45983</v>
      </c>
      <c r="D1116" t="s">
        <v>127</v>
      </c>
      <c r="E1116" t="s">
        <v>14</v>
      </c>
      <c r="F1116" t="s">
        <v>24</v>
      </c>
      <c r="G1116" t="s">
        <v>16</v>
      </c>
      <c r="H1116">
        <v>4</v>
      </c>
      <c r="I1116">
        <v>98.25</v>
      </c>
      <c r="J1116" t="s">
        <v>28</v>
      </c>
      <c r="K1116" t="s">
        <v>18</v>
      </c>
      <c r="L1116">
        <f>WEEKDAY(Table1[[#This Row],[Transaction_Date]],2)</f>
        <v>6</v>
      </c>
      <c r="M1116">
        <f>IF(Table1[[#This Row],[Sale_Type]]="Buffet",1,0)</f>
        <v>0</v>
      </c>
    </row>
    <row r="1117" spans="1:13" x14ac:dyDescent="0.2">
      <c r="A1117" t="s">
        <v>1388</v>
      </c>
      <c r="B1117" t="s">
        <v>318</v>
      </c>
      <c r="C1117" s="1">
        <v>45983</v>
      </c>
      <c r="D1117" t="s">
        <v>127</v>
      </c>
      <c r="E1117" t="s">
        <v>14</v>
      </c>
      <c r="F1117" t="s">
        <v>27</v>
      </c>
      <c r="G1117" t="s">
        <v>16</v>
      </c>
      <c r="H1117">
        <v>4</v>
      </c>
      <c r="I1117">
        <v>91.95</v>
      </c>
      <c r="J1117" t="s">
        <v>17</v>
      </c>
      <c r="K1117" t="s">
        <v>18</v>
      </c>
      <c r="L1117">
        <f>WEEKDAY(Table1[[#This Row],[Transaction_Date]],2)</f>
        <v>6</v>
      </c>
      <c r="M1117">
        <f>IF(Table1[[#This Row],[Sale_Type]]="Buffet",1,0)</f>
        <v>0</v>
      </c>
    </row>
    <row r="1118" spans="1:13" x14ac:dyDescent="0.2">
      <c r="A1118" t="s">
        <v>1389</v>
      </c>
      <c r="B1118" t="s">
        <v>204</v>
      </c>
      <c r="C1118" s="1">
        <v>45983</v>
      </c>
      <c r="D1118" t="s">
        <v>127</v>
      </c>
      <c r="E1118" t="s">
        <v>14</v>
      </c>
      <c r="F1118" t="s">
        <v>27</v>
      </c>
      <c r="G1118" t="s">
        <v>16</v>
      </c>
      <c r="H1118">
        <v>5</v>
      </c>
      <c r="I1118">
        <v>132.58000000000001</v>
      </c>
      <c r="J1118" t="s">
        <v>28</v>
      </c>
      <c r="K1118" t="s">
        <v>21</v>
      </c>
      <c r="L1118">
        <f>WEEKDAY(Table1[[#This Row],[Transaction_Date]],2)</f>
        <v>6</v>
      </c>
      <c r="M1118">
        <f>IF(Table1[[#This Row],[Sale_Type]]="Buffet",1,0)</f>
        <v>0</v>
      </c>
    </row>
    <row r="1119" spans="1:13" x14ac:dyDescent="0.2">
      <c r="A1119" t="s">
        <v>1390</v>
      </c>
      <c r="B1119" t="s">
        <v>204</v>
      </c>
      <c r="C1119" s="1">
        <v>45983</v>
      </c>
      <c r="D1119" t="s">
        <v>127</v>
      </c>
      <c r="E1119" t="s">
        <v>14</v>
      </c>
      <c r="F1119" t="s">
        <v>27</v>
      </c>
      <c r="G1119" t="s">
        <v>16</v>
      </c>
      <c r="H1119">
        <v>5</v>
      </c>
      <c r="I1119">
        <v>106.86</v>
      </c>
      <c r="J1119" t="s">
        <v>17</v>
      </c>
      <c r="K1119" t="s">
        <v>18</v>
      </c>
      <c r="L1119">
        <f>WEEKDAY(Table1[[#This Row],[Transaction_Date]],2)</f>
        <v>6</v>
      </c>
      <c r="M1119">
        <f>IF(Table1[[#This Row],[Sale_Type]]="Buffet",1,0)</f>
        <v>0</v>
      </c>
    </row>
    <row r="1120" spans="1:13" x14ac:dyDescent="0.2">
      <c r="A1120" t="s">
        <v>1391</v>
      </c>
      <c r="B1120" t="s">
        <v>329</v>
      </c>
      <c r="C1120" s="1">
        <v>45983</v>
      </c>
      <c r="D1120" t="s">
        <v>127</v>
      </c>
      <c r="E1120" t="s">
        <v>14</v>
      </c>
      <c r="F1120" t="s">
        <v>27</v>
      </c>
      <c r="G1120" t="s">
        <v>16</v>
      </c>
      <c r="H1120">
        <v>2</v>
      </c>
      <c r="I1120">
        <v>52.77</v>
      </c>
      <c r="J1120" t="s">
        <v>17</v>
      </c>
      <c r="K1120" t="s">
        <v>18</v>
      </c>
      <c r="L1120">
        <f>WEEKDAY(Table1[[#This Row],[Transaction_Date]],2)</f>
        <v>6</v>
      </c>
      <c r="M1120">
        <f>IF(Table1[[#This Row],[Sale_Type]]="Buffet",1,0)</f>
        <v>0</v>
      </c>
    </row>
    <row r="1121" spans="1:13" x14ac:dyDescent="0.2">
      <c r="A1121" t="s">
        <v>1392</v>
      </c>
      <c r="B1121" t="s">
        <v>59</v>
      </c>
      <c r="C1121" s="1">
        <v>45983</v>
      </c>
      <c r="D1121" t="s">
        <v>127</v>
      </c>
      <c r="E1121" t="s">
        <v>14</v>
      </c>
      <c r="F1121" t="s">
        <v>27</v>
      </c>
      <c r="G1121" t="s">
        <v>16</v>
      </c>
      <c r="H1121">
        <v>4</v>
      </c>
      <c r="I1121">
        <v>208.29</v>
      </c>
      <c r="J1121" t="s">
        <v>17</v>
      </c>
      <c r="K1121" t="s">
        <v>18</v>
      </c>
      <c r="L1121">
        <f>WEEKDAY(Table1[[#This Row],[Transaction_Date]],2)</f>
        <v>6</v>
      </c>
      <c r="M1121">
        <f>IF(Table1[[#This Row],[Sale_Type]]="Buffet",1,0)</f>
        <v>0</v>
      </c>
    </row>
    <row r="1122" spans="1:13" x14ac:dyDescent="0.2">
      <c r="A1122" t="s">
        <v>1393</v>
      </c>
      <c r="B1122" t="s">
        <v>864</v>
      </c>
      <c r="C1122" s="1">
        <v>45983</v>
      </c>
      <c r="D1122" t="s">
        <v>127</v>
      </c>
      <c r="E1122" t="s">
        <v>14</v>
      </c>
      <c r="F1122" t="s">
        <v>27</v>
      </c>
      <c r="G1122" t="s">
        <v>16</v>
      </c>
      <c r="H1122">
        <v>3</v>
      </c>
      <c r="I1122">
        <v>76.430000000000007</v>
      </c>
      <c r="J1122" t="s">
        <v>17</v>
      </c>
      <c r="K1122" t="s">
        <v>21</v>
      </c>
      <c r="L1122">
        <f>WEEKDAY(Table1[[#This Row],[Transaction_Date]],2)</f>
        <v>6</v>
      </c>
      <c r="M1122">
        <f>IF(Table1[[#This Row],[Sale_Type]]="Buffet",1,0)</f>
        <v>0</v>
      </c>
    </row>
    <row r="1123" spans="1:13" x14ac:dyDescent="0.2">
      <c r="A1123" t="s">
        <v>1394</v>
      </c>
      <c r="B1123" t="s">
        <v>315</v>
      </c>
      <c r="C1123" s="1">
        <v>45983</v>
      </c>
      <c r="D1123" t="s">
        <v>127</v>
      </c>
      <c r="E1123" t="s">
        <v>14</v>
      </c>
      <c r="F1123" t="s">
        <v>31</v>
      </c>
      <c r="G1123" t="s">
        <v>16</v>
      </c>
      <c r="H1123">
        <v>7</v>
      </c>
      <c r="I1123">
        <v>167.64</v>
      </c>
      <c r="J1123" t="s">
        <v>17</v>
      </c>
      <c r="K1123" t="s">
        <v>21</v>
      </c>
      <c r="L1123">
        <f>WEEKDAY(Table1[[#This Row],[Transaction_Date]],2)</f>
        <v>6</v>
      </c>
      <c r="M1123">
        <f>IF(Table1[[#This Row],[Sale_Type]]="Buffet",1,0)</f>
        <v>0</v>
      </c>
    </row>
    <row r="1124" spans="1:13" x14ac:dyDescent="0.2">
      <c r="A1124" t="s">
        <v>1395</v>
      </c>
      <c r="B1124" t="s">
        <v>377</v>
      </c>
      <c r="C1124" s="1">
        <v>45983</v>
      </c>
      <c r="D1124" t="s">
        <v>127</v>
      </c>
      <c r="E1124" t="s">
        <v>14</v>
      </c>
      <c r="F1124" t="s">
        <v>31</v>
      </c>
      <c r="G1124" t="s">
        <v>16</v>
      </c>
      <c r="H1124">
        <v>3</v>
      </c>
      <c r="I1124">
        <v>63.48</v>
      </c>
      <c r="J1124" t="s">
        <v>17</v>
      </c>
      <c r="K1124" t="s">
        <v>18</v>
      </c>
      <c r="L1124">
        <f>WEEKDAY(Table1[[#This Row],[Transaction_Date]],2)</f>
        <v>6</v>
      </c>
      <c r="M1124">
        <f>IF(Table1[[#This Row],[Sale_Type]]="Buffet",1,0)</f>
        <v>0</v>
      </c>
    </row>
    <row r="1125" spans="1:13" x14ac:dyDescent="0.2">
      <c r="A1125" t="s">
        <v>1396</v>
      </c>
      <c r="B1125" t="s">
        <v>182</v>
      </c>
      <c r="C1125" s="1">
        <v>45983</v>
      </c>
      <c r="D1125" t="s">
        <v>127</v>
      </c>
      <c r="E1125" t="s">
        <v>14</v>
      </c>
      <c r="F1125" t="s">
        <v>31</v>
      </c>
      <c r="G1125" t="s">
        <v>16</v>
      </c>
      <c r="H1125">
        <v>7</v>
      </c>
      <c r="I1125">
        <v>219.74</v>
      </c>
      <c r="J1125" t="s">
        <v>28</v>
      </c>
      <c r="K1125" t="s">
        <v>18</v>
      </c>
      <c r="L1125">
        <f>WEEKDAY(Table1[[#This Row],[Transaction_Date]],2)</f>
        <v>6</v>
      </c>
      <c r="M1125">
        <f>IF(Table1[[#This Row],[Sale_Type]]="Buffet",1,0)</f>
        <v>0</v>
      </c>
    </row>
    <row r="1126" spans="1:13" x14ac:dyDescent="0.2">
      <c r="A1126" t="s">
        <v>1397</v>
      </c>
      <c r="B1126" t="s">
        <v>326</v>
      </c>
      <c r="C1126" s="1">
        <v>45983</v>
      </c>
      <c r="D1126" t="s">
        <v>127</v>
      </c>
      <c r="E1126" t="s">
        <v>14</v>
      </c>
      <c r="F1126" t="s">
        <v>31</v>
      </c>
      <c r="G1126" t="s">
        <v>16</v>
      </c>
      <c r="H1126">
        <v>3</v>
      </c>
      <c r="I1126">
        <v>96.26</v>
      </c>
      <c r="J1126" t="s">
        <v>17</v>
      </c>
      <c r="K1126" t="s">
        <v>18</v>
      </c>
      <c r="L1126">
        <f>WEEKDAY(Table1[[#This Row],[Transaction_Date]],2)</f>
        <v>6</v>
      </c>
      <c r="M1126">
        <f>IF(Table1[[#This Row],[Sale_Type]]="Buffet",1,0)</f>
        <v>0</v>
      </c>
    </row>
    <row r="1127" spans="1:13" x14ac:dyDescent="0.2">
      <c r="A1127" t="s">
        <v>1398</v>
      </c>
      <c r="B1127" t="s">
        <v>584</v>
      </c>
      <c r="C1127" s="1">
        <v>45983</v>
      </c>
      <c r="D1127" t="s">
        <v>127</v>
      </c>
      <c r="E1127" t="s">
        <v>14</v>
      </c>
      <c r="F1127" t="s">
        <v>31</v>
      </c>
      <c r="G1127" t="s">
        <v>16</v>
      </c>
      <c r="H1127">
        <v>5</v>
      </c>
      <c r="I1127">
        <v>117.61</v>
      </c>
      <c r="J1127" t="s">
        <v>17</v>
      </c>
      <c r="K1127" t="s">
        <v>18</v>
      </c>
      <c r="L1127">
        <f>WEEKDAY(Table1[[#This Row],[Transaction_Date]],2)</f>
        <v>6</v>
      </c>
      <c r="M1127">
        <f>IF(Table1[[#This Row],[Sale_Type]]="Buffet",1,0)</f>
        <v>0</v>
      </c>
    </row>
    <row r="1128" spans="1:13" x14ac:dyDescent="0.2">
      <c r="A1128" t="s">
        <v>1399</v>
      </c>
      <c r="B1128" t="s">
        <v>278</v>
      </c>
      <c r="C1128" s="1">
        <v>45983</v>
      </c>
      <c r="D1128" t="s">
        <v>127</v>
      </c>
      <c r="E1128" t="s">
        <v>14</v>
      </c>
      <c r="F1128" t="s">
        <v>40</v>
      </c>
      <c r="G1128" t="s">
        <v>16</v>
      </c>
      <c r="H1128">
        <v>7</v>
      </c>
      <c r="I1128">
        <v>281.02</v>
      </c>
      <c r="J1128" t="s">
        <v>28</v>
      </c>
      <c r="K1128" t="s">
        <v>21</v>
      </c>
      <c r="L1128">
        <f>WEEKDAY(Table1[[#This Row],[Transaction_Date]],2)</f>
        <v>6</v>
      </c>
      <c r="M1128">
        <f>IF(Table1[[#This Row],[Sale_Type]]="Buffet",1,0)</f>
        <v>0</v>
      </c>
    </row>
    <row r="1129" spans="1:13" x14ac:dyDescent="0.2">
      <c r="A1129" t="s">
        <v>1400</v>
      </c>
      <c r="B1129" t="s">
        <v>454</v>
      </c>
      <c r="C1129" s="1">
        <v>45983</v>
      </c>
      <c r="D1129" t="s">
        <v>127</v>
      </c>
      <c r="E1129" t="s">
        <v>14</v>
      </c>
      <c r="F1129" t="s">
        <v>40</v>
      </c>
      <c r="G1129" t="s">
        <v>16</v>
      </c>
      <c r="H1129">
        <v>7</v>
      </c>
      <c r="I1129">
        <v>108.51</v>
      </c>
      <c r="J1129" t="s">
        <v>17</v>
      </c>
      <c r="K1129" t="s">
        <v>18</v>
      </c>
      <c r="L1129">
        <f>WEEKDAY(Table1[[#This Row],[Transaction_Date]],2)</f>
        <v>6</v>
      </c>
      <c r="M1129">
        <f>IF(Table1[[#This Row],[Sale_Type]]="Buffet",1,0)</f>
        <v>0</v>
      </c>
    </row>
    <row r="1130" spans="1:13" x14ac:dyDescent="0.2">
      <c r="A1130" t="s">
        <v>1401</v>
      </c>
      <c r="B1130" t="s">
        <v>1017</v>
      </c>
      <c r="C1130" s="1">
        <v>45983</v>
      </c>
      <c r="D1130" t="s">
        <v>127</v>
      </c>
      <c r="E1130" t="s">
        <v>14</v>
      </c>
      <c r="F1130" t="s">
        <v>40</v>
      </c>
      <c r="G1130" t="s">
        <v>16</v>
      </c>
      <c r="H1130">
        <v>3</v>
      </c>
      <c r="I1130">
        <v>72.87</v>
      </c>
      <c r="J1130" t="s">
        <v>34</v>
      </c>
      <c r="K1130" t="s">
        <v>21</v>
      </c>
      <c r="L1130">
        <f>WEEKDAY(Table1[[#This Row],[Transaction_Date]],2)</f>
        <v>6</v>
      </c>
      <c r="M1130">
        <f>IF(Table1[[#This Row],[Sale_Type]]="Buffet",1,0)</f>
        <v>0</v>
      </c>
    </row>
    <row r="1131" spans="1:13" x14ac:dyDescent="0.2">
      <c r="A1131" t="s">
        <v>1402</v>
      </c>
      <c r="B1131" t="s">
        <v>315</v>
      </c>
      <c r="C1131" s="1">
        <v>45983</v>
      </c>
      <c r="D1131" t="s">
        <v>127</v>
      </c>
      <c r="E1131" t="s">
        <v>14</v>
      </c>
      <c r="F1131" t="s">
        <v>40</v>
      </c>
      <c r="G1131" t="s">
        <v>16</v>
      </c>
      <c r="H1131">
        <v>3</v>
      </c>
      <c r="I1131">
        <v>76.91</v>
      </c>
      <c r="J1131" t="s">
        <v>28</v>
      </c>
      <c r="K1131" t="s">
        <v>21</v>
      </c>
      <c r="L1131">
        <f>WEEKDAY(Table1[[#This Row],[Transaction_Date]],2)</f>
        <v>6</v>
      </c>
      <c r="M1131">
        <f>IF(Table1[[#This Row],[Sale_Type]]="Buffet",1,0)</f>
        <v>0</v>
      </c>
    </row>
    <row r="1132" spans="1:13" x14ac:dyDescent="0.2">
      <c r="A1132" t="s">
        <v>1403</v>
      </c>
      <c r="B1132" t="s">
        <v>1017</v>
      </c>
      <c r="C1132" s="1">
        <v>45983</v>
      </c>
      <c r="D1132" t="s">
        <v>127</v>
      </c>
      <c r="E1132" t="s">
        <v>14</v>
      </c>
      <c r="F1132" t="s">
        <v>40</v>
      </c>
      <c r="G1132" t="s">
        <v>16</v>
      </c>
      <c r="H1132">
        <v>4</v>
      </c>
      <c r="I1132">
        <v>112.1</v>
      </c>
      <c r="J1132" t="s">
        <v>34</v>
      </c>
      <c r="K1132" t="s">
        <v>18</v>
      </c>
      <c r="L1132">
        <f>WEEKDAY(Table1[[#This Row],[Transaction_Date]],2)</f>
        <v>6</v>
      </c>
      <c r="M1132">
        <f>IF(Table1[[#This Row],[Sale_Type]]="Buffet",1,0)</f>
        <v>0</v>
      </c>
    </row>
    <row r="1133" spans="1:13" x14ac:dyDescent="0.2">
      <c r="A1133" t="s">
        <v>1404</v>
      </c>
      <c r="B1133" t="s">
        <v>156</v>
      </c>
      <c r="C1133" s="1">
        <v>45983</v>
      </c>
      <c r="D1133" t="s">
        <v>127</v>
      </c>
      <c r="E1133" t="s">
        <v>14</v>
      </c>
      <c r="F1133" t="s">
        <v>40</v>
      </c>
      <c r="G1133" t="s">
        <v>16</v>
      </c>
      <c r="H1133">
        <v>6</v>
      </c>
      <c r="I1133">
        <v>110.32</v>
      </c>
      <c r="J1133" t="s">
        <v>34</v>
      </c>
      <c r="K1133" t="s">
        <v>21</v>
      </c>
      <c r="L1133">
        <f>WEEKDAY(Table1[[#This Row],[Transaction_Date]],2)</f>
        <v>6</v>
      </c>
      <c r="M1133">
        <f>IF(Table1[[#This Row],[Sale_Type]]="Buffet",1,0)</f>
        <v>0</v>
      </c>
    </row>
    <row r="1134" spans="1:13" x14ac:dyDescent="0.2">
      <c r="A1134" t="s">
        <v>1405</v>
      </c>
      <c r="B1134" t="s">
        <v>268</v>
      </c>
      <c r="C1134" s="1">
        <v>45983</v>
      </c>
      <c r="D1134" t="s">
        <v>127</v>
      </c>
      <c r="E1134" t="s">
        <v>43</v>
      </c>
      <c r="F1134" t="s">
        <v>44</v>
      </c>
      <c r="G1134" t="s">
        <v>16</v>
      </c>
      <c r="H1134">
        <v>2</v>
      </c>
      <c r="I1134">
        <v>30.13</v>
      </c>
      <c r="J1134" t="s">
        <v>34</v>
      </c>
      <c r="K1134" t="s">
        <v>18</v>
      </c>
      <c r="L1134">
        <f>WEEKDAY(Table1[[#This Row],[Transaction_Date]],2)</f>
        <v>6</v>
      </c>
      <c r="M1134">
        <f>IF(Table1[[#This Row],[Sale_Type]]="Buffet",1,0)</f>
        <v>0</v>
      </c>
    </row>
    <row r="1135" spans="1:13" x14ac:dyDescent="0.2">
      <c r="A1135" t="s">
        <v>1406</v>
      </c>
      <c r="B1135" t="s">
        <v>778</v>
      </c>
      <c r="C1135" s="1">
        <v>45983</v>
      </c>
      <c r="D1135" t="s">
        <v>127</v>
      </c>
      <c r="E1135" t="s">
        <v>43</v>
      </c>
      <c r="F1135" t="s">
        <v>44</v>
      </c>
      <c r="G1135" t="s">
        <v>16</v>
      </c>
      <c r="H1135">
        <v>2</v>
      </c>
      <c r="I1135">
        <v>39.86</v>
      </c>
      <c r="J1135" t="s">
        <v>17</v>
      </c>
      <c r="K1135" t="s">
        <v>18</v>
      </c>
      <c r="L1135">
        <f>WEEKDAY(Table1[[#This Row],[Transaction_Date]],2)</f>
        <v>6</v>
      </c>
      <c r="M1135">
        <f>IF(Table1[[#This Row],[Sale_Type]]="Buffet",1,0)</f>
        <v>0</v>
      </c>
    </row>
    <row r="1136" spans="1:13" x14ac:dyDescent="0.2">
      <c r="A1136" t="s">
        <v>1407</v>
      </c>
      <c r="B1136" t="s">
        <v>363</v>
      </c>
      <c r="C1136" s="1">
        <v>45983</v>
      </c>
      <c r="D1136" t="s">
        <v>127</v>
      </c>
      <c r="E1136" t="s">
        <v>43</v>
      </c>
      <c r="F1136" t="s">
        <v>53</v>
      </c>
      <c r="G1136" t="s">
        <v>16</v>
      </c>
      <c r="H1136">
        <v>3</v>
      </c>
      <c r="I1136">
        <v>70.94</v>
      </c>
      <c r="J1136" t="s">
        <v>34</v>
      </c>
      <c r="K1136" t="s">
        <v>21</v>
      </c>
      <c r="L1136">
        <f>WEEKDAY(Table1[[#This Row],[Transaction_Date]],2)</f>
        <v>6</v>
      </c>
      <c r="M1136">
        <f>IF(Table1[[#This Row],[Sale_Type]]="Buffet",1,0)</f>
        <v>0</v>
      </c>
    </row>
    <row r="1137" spans="1:13" x14ac:dyDescent="0.2">
      <c r="A1137" t="s">
        <v>1408</v>
      </c>
      <c r="B1137" t="s">
        <v>758</v>
      </c>
      <c r="C1137" s="1">
        <v>45983</v>
      </c>
      <c r="D1137" t="s">
        <v>127</v>
      </c>
      <c r="E1137" t="s">
        <v>43</v>
      </c>
      <c r="F1137" t="s">
        <v>57</v>
      </c>
      <c r="G1137" t="s">
        <v>16</v>
      </c>
      <c r="H1137">
        <v>5</v>
      </c>
      <c r="I1137">
        <v>51.51</v>
      </c>
      <c r="J1137" t="s">
        <v>28</v>
      </c>
      <c r="K1137" t="s">
        <v>18</v>
      </c>
      <c r="L1137">
        <f>WEEKDAY(Table1[[#This Row],[Transaction_Date]],2)</f>
        <v>6</v>
      </c>
      <c r="M1137">
        <f>IF(Table1[[#This Row],[Sale_Type]]="Buffet",1,0)</f>
        <v>0</v>
      </c>
    </row>
    <row r="1138" spans="1:13" x14ac:dyDescent="0.2">
      <c r="A1138" t="s">
        <v>1409</v>
      </c>
      <c r="B1138" t="s">
        <v>154</v>
      </c>
      <c r="C1138" s="1">
        <v>45984</v>
      </c>
      <c r="D1138" t="s">
        <v>171</v>
      </c>
      <c r="E1138" t="s">
        <v>14</v>
      </c>
      <c r="F1138" t="s">
        <v>15</v>
      </c>
      <c r="G1138" t="s">
        <v>16</v>
      </c>
      <c r="H1138">
        <v>2</v>
      </c>
      <c r="I1138">
        <v>45.23</v>
      </c>
      <c r="J1138" t="s">
        <v>17</v>
      </c>
      <c r="K1138" t="s">
        <v>18</v>
      </c>
      <c r="L1138">
        <f>WEEKDAY(Table1[[#This Row],[Transaction_Date]],2)</f>
        <v>7</v>
      </c>
      <c r="M1138">
        <f>IF(Table1[[#This Row],[Sale_Type]]="Buffet",1,0)</f>
        <v>0</v>
      </c>
    </row>
    <row r="1139" spans="1:13" x14ac:dyDescent="0.2">
      <c r="A1139" t="s">
        <v>1410</v>
      </c>
      <c r="B1139" t="s">
        <v>109</v>
      </c>
      <c r="C1139" s="1">
        <v>45984</v>
      </c>
      <c r="D1139" t="s">
        <v>171</v>
      </c>
      <c r="E1139" t="s">
        <v>14</v>
      </c>
      <c r="F1139" t="s">
        <v>15</v>
      </c>
      <c r="G1139" t="s">
        <v>16</v>
      </c>
      <c r="H1139">
        <v>3</v>
      </c>
      <c r="I1139">
        <v>41.08</v>
      </c>
      <c r="J1139" t="s">
        <v>34</v>
      </c>
      <c r="K1139" t="s">
        <v>18</v>
      </c>
      <c r="L1139">
        <f>WEEKDAY(Table1[[#This Row],[Transaction_Date]],2)</f>
        <v>7</v>
      </c>
      <c r="M1139">
        <f>IF(Table1[[#This Row],[Sale_Type]]="Buffet",1,0)</f>
        <v>0</v>
      </c>
    </row>
    <row r="1140" spans="1:13" x14ac:dyDescent="0.2">
      <c r="A1140" t="s">
        <v>1411</v>
      </c>
      <c r="B1140" t="s">
        <v>122</v>
      </c>
      <c r="C1140" s="1">
        <v>45984</v>
      </c>
      <c r="D1140" t="s">
        <v>171</v>
      </c>
      <c r="E1140" t="s">
        <v>14</v>
      </c>
      <c r="F1140" t="s">
        <v>24</v>
      </c>
      <c r="G1140" t="s">
        <v>16</v>
      </c>
      <c r="H1140">
        <v>2</v>
      </c>
      <c r="I1140">
        <v>61.35</v>
      </c>
      <c r="J1140" t="s">
        <v>17</v>
      </c>
      <c r="K1140" t="s">
        <v>18</v>
      </c>
      <c r="L1140">
        <f>WEEKDAY(Table1[[#This Row],[Transaction_Date]],2)</f>
        <v>7</v>
      </c>
      <c r="M1140">
        <f>IF(Table1[[#This Row],[Sale_Type]]="Buffet",1,0)</f>
        <v>0</v>
      </c>
    </row>
    <row r="1141" spans="1:13" x14ac:dyDescent="0.2">
      <c r="A1141" t="s">
        <v>1412</v>
      </c>
      <c r="B1141" t="s">
        <v>351</v>
      </c>
      <c r="C1141" s="1">
        <v>45984</v>
      </c>
      <c r="D1141" t="s">
        <v>171</v>
      </c>
      <c r="E1141" t="s">
        <v>14</v>
      </c>
      <c r="F1141" t="s">
        <v>24</v>
      </c>
      <c r="G1141" t="s">
        <v>16</v>
      </c>
      <c r="H1141">
        <v>3</v>
      </c>
      <c r="I1141">
        <v>109.6</v>
      </c>
      <c r="J1141" t="s">
        <v>34</v>
      </c>
      <c r="K1141" t="s">
        <v>18</v>
      </c>
      <c r="L1141">
        <f>WEEKDAY(Table1[[#This Row],[Transaction_Date]],2)</f>
        <v>7</v>
      </c>
      <c r="M1141">
        <f>IF(Table1[[#This Row],[Sale_Type]]="Buffet",1,0)</f>
        <v>0</v>
      </c>
    </row>
    <row r="1142" spans="1:13" x14ac:dyDescent="0.2">
      <c r="A1142" t="s">
        <v>1413</v>
      </c>
      <c r="B1142" t="s">
        <v>699</v>
      </c>
      <c r="C1142" s="1">
        <v>45984</v>
      </c>
      <c r="D1142" t="s">
        <v>171</v>
      </c>
      <c r="E1142" t="s">
        <v>14</v>
      </c>
      <c r="F1142" t="s">
        <v>24</v>
      </c>
      <c r="G1142" t="s">
        <v>16</v>
      </c>
      <c r="H1142">
        <v>3</v>
      </c>
      <c r="I1142">
        <v>81.17</v>
      </c>
      <c r="J1142" t="s">
        <v>28</v>
      </c>
      <c r="K1142" t="s">
        <v>18</v>
      </c>
      <c r="L1142">
        <f>WEEKDAY(Table1[[#This Row],[Transaction_Date]],2)</f>
        <v>7</v>
      </c>
      <c r="M1142">
        <f>IF(Table1[[#This Row],[Sale_Type]]="Buffet",1,0)</f>
        <v>0</v>
      </c>
    </row>
    <row r="1143" spans="1:13" x14ac:dyDescent="0.2">
      <c r="A1143" t="s">
        <v>1414</v>
      </c>
      <c r="B1143" t="s">
        <v>61</v>
      </c>
      <c r="C1143" s="1">
        <v>45984</v>
      </c>
      <c r="D1143" t="s">
        <v>171</v>
      </c>
      <c r="E1143" t="s">
        <v>14</v>
      </c>
      <c r="F1143" t="s">
        <v>24</v>
      </c>
      <c r="G1143" t="s">
        <v>16</v>
      </c>
      <c r="H1143">
        <v>3</v>
      </c>
      <c r="I1143">
        <v>68.66</v>
      </c>
      <c r="J1143" t="s">
        <v>17</v>
      </c>
      <c r="K1143" t="s">
        <v>18</v>
      </c>
      <c r="L1143">
        <f>WEEKDAY(Table1[[#This Row],[Transaction_Date]],2)</f>
        <v>7</v>
      </c>
      <c r="M1143">
        <f>IF(Table1[[#This Row],[Sale_Type]]="Buffet",1,0)</f>
        <v>0</v>
      </c>
    </row>
    <row r="1144" spans="1:13" x14ac:dyDescent="0.2">
      <c r="A1144" t="s">
        <v>1415</v>
      </c>
      <c r="B1144" t="s">
        <v>262</v>
      </c>
      <c r="C1144" s="1">
        <v>45984</v>
      </c>
      <c r="D1144" t="s">
        <v>171</v>
      </c>
      <c r="E1144" t="s">
        <v>14</v>
      </c>
      <c r="F1144" t="s">
        <v>27</v>
      </c>
      <c r="G1144" t="s">
        <v>16</v>
      </c>
      <c r="H1144">
        <v>4</v>
      </c>
      <c r="I1144">
        <v>108.59</v>
      </c>
      <c r="J1144" t="s">
        <v>17</v>
      </c>
      <c r="K1144" t="s">
        <v>18</v>
      </c>
      <c r="L1144">
        <f>WEEKDAY(Table1[[#This Row],[Transaction_Date]],2)</f>
        <v>7</v>
      </c>
      <c r="M1144">
        <f>IF(Table1[[#This Row],[Sale_Type]]="Buffet",1,0)</f>
        <v>0</v>
      </c>
    </row>
    <row r="1145" spans="1:13" x14ac:dyDescent="0.2">
      <c r="A1145" t="s">
        <v>1416</v>
      </c>
      <c r="B1145" t="s">
        <v>68</v>
      </c>
      <c r="C1145" s="1">
        <v>45984</v>
      </c>
      <c r="D1145" t="s">
        <v>171</v>
      </c>
      <c r="E1145" t="s">
        <v>14</v>
      </c>
      <c r="F1145" t="s">
        <v>27</v>
      </c>
      <c r="G1145" t="s">
        <v>16</v>
      </c>
      <c r="H1145">
        <v>3</v>
      </c>
      <c r="I1145">
        <v>72.849999999999994</v>
      </c>
      <c r="J1145" t="s">
        <v>17</v>
      </c>
      <c r="K1145" t="s">
        <v>18</v>
      </c>
      <c r="L1145">
        <f>WEEKDAY(Table1[[#This Row],[Transaction_Date]],2)</f>
        <v>7</v>
      </c>
      <c r="M1145">
        <f>IF(Table1[[#This Row],[Sale_Type]]="Buffet",1,0)</f>
        <v>0</v>
      </c>
    </row>
    <row r="1146" spans="1:13" x14ac:dyDescent="0.2">
      <c r="A1146" t="s">
        <v>1417</v>
      </c>
      <c r="B1146" t="s">
        <v>133</v>
      </c>
      <c r="C1146" s="1">
        <v>45984</v>
      </c>
      <c r="D1146" t="s">
        <v>171</v>
      </c>
      <c r="E1146" t="s">
        <v>14</v>
      </c>
      <c r="F1146" t="s">
        <v>27</v>
      </c>
      <c r="G1146" t="s">
        <v>16</v>
      </c>
      <c r="H1146">
        <v>6</v>
      </c>
      <c r="I1146">
        <v>105.07</v>
      </c>
      <c r="J1146" t="s">
        <v>28</v>
      </c>
      <c r="K1146" t="s">
        <v>18</v>
      </c>
      <c r="L1146">
        <f>WEEKDAY(Table1[[#This Row],[Transaction_Date]],2)</f>
        <v>7</v>
      </c>
      <c r="M1146">
        <f>IF(Table1[[#This Row],[Sale_Type]]="Buffet",1,0)</f>
        <v>0</v>
      </c>
    </row>
    <row r="1147" spans="1:13" x14ac:dyDescent="0.2">
      <c r="A1147" t="s">
        <v>1418</v>
      </c>
      <c r="B1147" t="s">
        <v>304</v>
      </c>
      <c r="C1147" s="1">
        <v>45984</v>
      </c>
      <c r="D1147" t="s">
        <v>171</v>
      </c>
      <c r="E1147" t="s">
        <v>14</v>
      </c>
      <c r="F1147" t="s">
        <v>27</v>
      </c>
      <c r="G1147" t="s">
        <v>16</v>
      </c>
      <c r="H1147">
        <v>3</v>
      </c>
      <c r="I1147">
        <v>67.91</v>
      </c>
      <c r="J1147" t="s">
        <v>28</v>
      </c>
      <c r="K1147" t="s">
        <v>18</v>
      </c>
      <c r="L1147">
        <f>WEEKDAY(Table1[[#This Row],[Transaction_Date]],2)</f>
        <v>7</v>
      </c>
      <c r="M1147">
        <f>IF(Table1[[#This Row],[Sale_Type]]="Buffet",1,0)</f>
        <v>0</v>
      </c>
    </row>
    <row r="1148" spans="1:13" x14ac:dyDescent="0.2">
      <c r="A1148" t="s">
        <v>1419</v>
      </c>
      <c r="B1148" t="s">
        <v>142</v>
      </c>
      <c r="C1148" s="1">
        <v>45984</v>
      </c>
      <c r="D1148" t="s">
        <v>171</v>
      </c>
      <c r="E1148" t="s">
        <v>14</v>
      </c>
      <c r="F1148" t="s">
        <v>27</v>
      </c>
      <c r="G1148" t="s">
        <v>16</v>
      </c>
      <c r="H1148">
        <v>3</v>
      </c>
      <c r="I1148">
        <v>68.31</v>
      </c>
      <c r="J1148" t="s">
        <v>17</v>
      </c>
      <c r="K1148" t="s">
        <v>18</v>
      </c>
      <c r="L1148">
        <f>WEEKDAY(Table1[[#This Row],[Transaction_Date]],2)</f>
        <v>7</v>
      </c>
      <c r="M1148">
        <f>IF(Table1[[#This Row],[Sale_Type]]="Buffet",1,0)</f>
        <v>0</v>
      </c>
    </row>
    <row r="1149" spans="1:13" x14ac:dyDescent="0.2">
      <c r="A1149" t="s">
        <v>1420</v>
      </c>
      <c r="B1149" t="s">
        <v>486</v>
      </c>
      <c r="C1149" s="1">
        <v>45984</v>
      </c>
      <c r="D1149" t="s">
        <v>171</v>
      </c>
      <c r="E1149" t="s">
        <v>14</v>
      </c>
      <c r="F1149" t="s">
        <v>31</v>
      </c>
      <c r="G1149" t="s">
        <v>16</v>
      </c>
      <c r="H1149">
        <v>6</v>
      </c>
      <c r="I1149">
        <v>178.28</v>
      </c>
      <c r="J1149" t="s">
        <v>17</v>
      </c>
      <c r="K1149" t="s">
        <v>18</v>
      </c>
      <c r="L1149">
        <f>WEEKDAY(Table1[[#This Row],[Transaction_Date]],2)</f>
        <v>7</v>
      </c>
      <c r="M1149">
        <f>IF(Table1[[#This Row],[Sale_Type]]="Buffet",1,0)</f>
        <v>0</v>
      </c>
    </row>
    <row r="1150" spans="1:13" x14ac:dyDescent="0.2">
      <c r="A1150" t="s">
        <v>1421</v>
      </c>
      <c r="B1150" t="s">
        <v>1017</v>
      </c>
      <c r="C1150" s="1">
        <v>45984</v>
      </c>
      <c r="D1150" t="s">
        <v>171</v>
      </c>
      <c r="E1150" t="s">
        <v>14</v>
      </c>
      <c r="F1150" t="s">
        <v>31</v>
      </c>
      <c r="G1150" t="s">
        <v>16</v>
      </c>
      <c r="H1150">
        <v>4</v>
      </c>
      <c r="I1150">
        <v>152.86000000000001</v>
      </c>
      <c r="J1150" t="s">
        <v>28</v>
      </c>
      <c r="K1150" t="s">
        <v>18</v>
      </c>
      <c r="L1150">
        <f>WEEKDAY(Table1[[#This Row],[Transaction_Date]],2)</f>
        <v>7</v>
      </c>
      <c r="M1150">
        <f>IF(Table1[[#This Row],[Sale_Type]]="Buffet",1,0)</f>
        <v>0</v>
      </c>
    </row>
    <row r="1151" spans="1:13" x14ac:dyDescent="0.2">
      <c r="A1151" t="s">
        <v>1422</v>
      </c>
      <c r="B1151" t="s">
        <v>49</v>
      </c>
      <c r="C1151" s="1">
        <v>45984</v>
      </c>
      <c r="D1151" t="s">
        <v>171</v>
      </c>
      <c r="E1151" t="s">
        <v>14</v>
      </c>
      <c r="F1151" t="s">
        <v>31</v>
      </c>
      <c r="G1151" t="s">
        <v>16</v>
      </c>
      <c r="H1151">
        <v>2</v>
      </c>
      <c r="I1151">
        <v>55.02</v>
      </c>
      <c r="J1151" t="s">
        <v>17</v>
      </c>
      <c r="K1151" t="s">
        <v>18</v>
      </c>
      <c r="L1151">
        <f>WEEKDAY(Table1[[#This Row],[Transaction_Date]],2)</f>
        <v>7</v>
      </c>
      <c r="M1151">
        <f>IF(Table1[[#This Row],[Sale_Type]]="Buffet",1,0)</f>
        <v>0</v>
      </c>
    </row>
    <row r="1152" spans="1:13" x14ac:dyDescent="0.2">
      <c r="A1152" t="s">
        <v>1423</v>
      </c>
      <c r="B1152" t="s">
        <v>129</v>
      </c>
      <c r="C1152" s="1">
        <v>45984</v>
      </c>
      <c r="D1152" t="s">
        <v>171</v>
      </c>
      <c r="E1152" t="s">
        <v>14</v>
      </c>
      <c r="F1152" t="s">
        <v>31</v>
      </c>
      <c r="G1152" t="s">
        <v>16</v>
      </c>
      <c r="H1152">
        <v>3</v>
      </c>
      <c r="I1152">
        <v>55.8</v>
      </c>
      <c r="J1152" t="s">
        <v>17</v>
      </c>
      <c r="K1152" t="s">
        <v>21</v>
      </c>
      <c r="L1152">
        <f>WEEKDAY(Table1[[#This Row],[Transaction_Date]],2)</f>
        <v>7</v>
      </c>
      <c r="M1152">
        <f>IF(Table1[[#This Row],[Sale_Type]]="Buffet",1,0)</f>
        <v>0</v>
      </c>
    </row>
    <row r="1153" spans="1:13" x14ac:dyDescent="0.2">
      <c r="A1153" t="s">
        <v>1424</v>
      </c>
      <c r="B1153" t="s">
        <v>204</v>
      </c>
      <c r="C1153" s="1">
        <v>45984</v>
      </c>
      <c r="D1153" t="s">
        <v>171</v>
      </c>
      <c r="E1153" t="s">
        <v>14</v>
      </c>
      <c r="F1153" t="s">
        <v>40</v>
      </c>
      <c r="G1153" t="s">
        <v>16</v>
      </c>
      <c r="H1153">
        <v>6</v>
      </c>
      <c r="I1153">
        <v>190.42</v>
      </c>
      <c r="J1153" t="s">
        <v>28</v>
      </c>
      <c r="K1153" t="s">
        <v>18</v>
      </c>
      <c r="L1153">
        <f>WEEKDAY(Table1[[#This Row],[Transaction_Date]],2)</f>
        <v>7</v>
      </c>
      <c r="M1153">
        <f>IF(Table1[[#This Row],[Sale_Type]]="Buffet",1,0)</f>
        <v>0</v>
      </c>
    </row>
    <row r="1154" spans="1:13" x14ac:dyDescent="0.2">
      <c r="A1154" t="s">
        <v>1425</v>
      </c>
      <c r="B1154" t="s">
        <v>459</v>
      </c>
      <c r="C1154" s="1">
        <v>45984</v>
      </c>
      <c r="D1154" t="s">
        <v>171</v>
      </c>
      <c r="E1154" t="s">
        <v>14</v>
      </c>
      <c r="F1154" t="s">
        <v>40</v>
      </c>
      <c r="G1154" t="s">
        <v>16</v>
      </c>
      <c r="H1154">
        <v>4</v>
      </c>
      <c r="I1154">
        <v>75.39</v>
      </c>
      <c r="J1154" t="s">
        <v>17</v>
      </c>
      <c r="K1154" t="s">
        <v>18</v>
      </c>
      <c r="L1154">
        <f>WEEKDAY(Table1[[#This Row],[Transaction_Date]],2)</f>
        <v>7</v>
      </c>
      <c r="M1154">
        <f>IF(Table1[[#This Row],[Sale_Type]]="Buffet",1,0)</f>
        <v>0</v>
      </c>
    </row>
    <row r="1155" spans="1:13" x14ac:dyDescent="0.2">
      <c r="A1155" t="s">
        <v>1426</v>
      </c>
      <c r="B1155" t="s">
        <v>377</v>
      </c>
      <c r="C1155" s="1">
        <v>45984</v>
      </c>
      <c r="D1155" t="s">
        <v>171</v>
      </c>
      <c r="E1155" t="s">
        <v>14</v>
      </c>
      <c r="F1155" t="s">
        <v>40</v>
      </c>
      <c r="G1155" t="s">
        <v>16</v>
      </c>
      <c r="H1155">
        <v>3</v>
      </c>
      <c r="I1155">
        <v>89.57</v>
      </c>
      <c r="J1155" t="s">
        <v>28</v>
      </c>
      <c r="K1155" t="s">
        <v>21</v>
      </c>
      <c r="L1155">
        <f>WEEKDAY(Table1[[#This Row],[Transaction_Date]],2)</f>
        <v>7</v>
      </c>
      <c r="M1155">
        <f>IF(Table1[[#This Row],[Sale_Type]]="Buffet",1,0)</f>
        <v>0</v>
      </c>
    </row>
    <row r="1156" spans="1:13" x14ac:dyDescent="0.2">
      <c r="A1156" t="s">
        <v>1427</v>
      </c>
      <c r="B1156" t="s">
        <v>68</v>
      </c>
      <c r="C1156" s="1">
        <v>45984</v>
      </c>
      <c r="D1156" t="s">
        <v>171</v>
      </c>
      <c r="E1156" t="s">
        <v>14</v>
      </c>
      <c r="F1156" t="s">
        <v>40</v>
      </c>
      <c r="G1156" t="s">
        <v>16</v>
      </c>
      <c r="H1156">
        <v>2</v>
      </c>
      <c r="I1156">
        <v>30.57</v>
      </c>
      <c r="J1156" t="s">
        <v>17</v>
      </c>
      <c r="K1156" t="s">
        <v>18</v>
      </c>
      <c r="L1156">
        <f>WEEKDAY(Table1[[#This Row],[Transaction_Date]],2)</f>
        <v>7</v>
      </c>
      <c r="M1156">
        <f>IF(Table1[[#This Row],[Sale_Type]]="Buffet",1,0)</f>
        <v>0</v>
      </c>
    </row>
    <row r="1157" spans="1:13" x14ac:dyDescent="0.2">
      <c r="A1157" t="s">
        <v>1428</v>
      </c>
      <c r="B1157" t="s">
        <v>258</v>
      </c>
      <c r="C1157" s="1">
        <v>45984</v>
      </c>
      <c r="D1157" t="s">
        <v>171</v>
      </c>
      <c r="E1157" t="s">
        <v>14</v>
      </c>
      <c r="F1157" t="s">
        <v>40</v>
      </c>
      <c r="G1157" t="s">
        <v>16</v>
      </c>
      <c r="H1157">
        <v>2</v>
      </c>
      <c r="I1157">
        <v>37.86</v>
      </c>
      <c r="J1157" t="s">
        <v>28</v>
      </c>
      <c r="K1157" t="s">
        <v>18</v>
      </c>
      <c r="L1157">
        <f>WEEKDAY(Table1[[#This Row],[Transaction_Date]],2)</f>
        <v>7</v>
      </c>
      <c r="M1157">
        <f>IF(Table1[[#This Row],[Sale_Type]]="Buffet",1,0)</f>
        <v>0</v>
      </c>
    </row>
    <row r="1158" spans="1:13" x14ac:dyDescent="0.2">
      <c r="A1158" t="s">
        <v>1429</v>
      </c>
      <c r="B1158" t="s">
        <v>135</v>
      </c>
      <c r="C1158" s="1">
        <v>45984</v>
      </c>
      <c r="D1158" t="s">
        <v>171</v>
      </c>
      <c r="E1158" t="s">
        <v>14</v>
      </c>
      <c r="F1158" t="s">
        <v>40</v>
      </c>
      <c r="G1158" t="s">
        <v>16</v>
      </c>
      <c r="H1158">
        <v>2</v>
      </c>
      <c r="I1158">
        <v>59.8</v>
      </c>
      <c r="J1158" t="s">
        <v>17</v>
      </c>
      <c r="K1158" t="s">
        <v>18</v>
      </c>
      <c r="L1158">
        <f>WEEKDAY(Table1[[#This Row],[Transaction_Date]],2)</f>
        <v>7</v>
      </c>
      <c r="M1158">
        <f>IF(Table1[[#This Row],[Sale_Type]]="Buffet",1,0)</f>
        <v>0</v>
      </c>
    </row>
    <row r="1159" spans="1:13" x14ac:dyDescent="0.2">
      <c r="A1159" t="s">
        <v>1430</v>
      </c>
      <c r="B1159" t="s">
        <v>789</v>
      </c>
      <c r="C1159" s="1">
        <v>45984</v>
      </c>
      <c r="D1159" t="s">
        <v>171</v>
      </c>
      <c r="E1159" t="s">
        <v>43</v>
      </c>
      <c r="F1159" t="s">
        <v>44</v>
      </c>
      <c r="G1159" t="s">
        <v>16</v>
      </c>
      <c r="H1159">
        <v>2</v>
      </c>
      <c r="I1159">
        <v>32.33</v>
      </c>
      <c r="J1159" t="s">
        <v>17</v>
      </c>
      <c r="K1159" t="s">
        <v>21</v>
      </c>
      <c r="L1159">
        <f>WEEKDAY(Table1[[#This Row],[Transaction_Date]],2)</f>
        <v>7</v>
      </c>
      <c r="M1159">
        <f>IF(Table1[[#This Row],[Sale_Type]]="Buffet",1,0)</f>
        <v>0</v>
      </c>
    </row>
    <row r="1160" spans="1:13" x14ac:dyDescent="0.2">
      <c r="A1160" t="s">
        <v>1431</v>
      </c>
      <c r="B1160" t="s">
        <v>474</v>
      </c>
      <c r="C1160" s="1">
        <v>45984</v>
      </c>
      <c r="D1160" t="s">
        <v>171</v>
      </c>
      <c r="E1160" t="s">
        <v>43</v>
      </c>
      <c r="F1160" t="s">
        <v>57</v>
      </c>
      <c r="G1160" t="s">
        <v>16</v>
      </c>
      <c r="H1160">
        <v>4</v>
      </c>
      <c r="I1160">
        <v>72.03</v>
      </c>
      <c r="J1160" t="s">
        <v>17</v>
      </c>
      <c r="K1160" t="s">
        <v>21</v>
      </c>
      <c r="L1160">
        <f>WEEKDAY(Table1[[#This Row],[Transaction_Date]],2)</f>
        <v>7</v>
      </c>
      <c r="M1160">
        <f>IF(Table1[[#This Row],[Sale_Type]]="Buffet",1,0)</f>
        <v>0</v>
      </c>
    </row>
    <row r="1161" spans="1:13" x14ac:dyDescent="0.2">
      <c r="A1161" t="s">
        <v>1432</v>
      </c>
      <c r="B1161" t="s">
        <v>945</v>
      </c>
      <c r="C1161" s="1">
        <v>45985</v>
      </c>
      <c r="D1161" t="s">
        <v>213</v>
      </c>
      <c r="E1161" t="s">
        <v>14</v>
      </c>
      <c r="F1161" t="s">
        <v>15</v>
      </c>
      <c r="G1161" t="s">
        <v>16</v>
      </c>
      <c r="H1161">
        <v>1</v>
      </c>
      <c r="I1161">
        <v>25.38</v>
      </c>
      <c r="J1161" t="s">
        <v>17</v>
      </c>
      <c r="K1161" t="s">
        <v>18</v>
      </c>
      <c r="L1161">
        <f>WEEKDAY(Table1[[#This Row],[Transaction_Date]],2)</f>
        <v>1</v>
      </c>
      <c r="M1161">
        <f>IF(Table1[[#This Row],[Sale_Type]]="Buffet",1,0)</f>
        <v>0</v>
      </c>
    </row>
    <row r="1162" spans="1:13" x14ac:dyDescent="0.2">
      <c r="A1162" t="s">
        <v>1433</v>
      </c>
      <c r="B1162" t="s">
        <v>567</v>
      </c>
      <c r="C1162" s="1">
        <v>45985</v>
      </c>
      <c r="D1162" t="s">
        <v>213</v>
      </c>
      <c r="E1162" t="s">
        <v>14</v>
      </c>
      <c r="F1162" t="s">
        <v>15</v>
      </c>
      <c r="G1162" t="s">
        <v>16</v>
      </c>
      <c r="H1162">
        <v>2</v>
      </c>
      <c r="I1162">
        <v>56</v>
      </c>
      <c r="J1162" t="s">
        <v>17</v>
      </c>
      <c r="K1162" t="s">
        <v>18</v>
      </c>
      <c r="L1162">
        <f>WEEKDAY(Table1[[#This Row],[Transaction_Date]],2)</f>
        <v>1</v>
      </c>
      <c r="M1162">
        <f>IF(Table1[[#This Row],[Sale_Type]]="Buffet",1,0)</f>
        <v>0</v>
      </c>
    </row>
    <row r="1163" spans="1:13" x14ac:dyDescent="0.2">
      <c r="A1163" t="s">
        <v>1434</v>
      </c>
      <c r="B1163" t="s">
        <v>176</v>
      </c>
      <c r="C1163" s="1">
        <v>45985</v>
      </c>
      <c r="D1163" t="s">
        <v>213</v>
      </c>
      <c r="E1163" t="s">
        <v>14</v>
      </c>
      <c r="F1163" t="s">
        <v>15</v>
      </c>
      <c r="G1163" t="s">
        <v>16</v>
      </c>
      <c r="H1163">
        <v>2</v>
      </c>
      <c r="I1163">
        <v>76.59</v>
      </c>
      <c r="J1163" t="s">
        <v>34</v>
      </c>
      <c r="K1163" t="s">
        <v>18</v>
      </c>
      <c r="L1163">
        <f>WEEKDAY(Table1[[#This Row],[Transaction_Date]],2)</f>
        <v>1</v>
      </c>
      <c r="M1163">
        <f>IF(Table1[[#This Row],[Sale_Type]]="Buffet",1,0)</f>
        <v>0</v>
      </c>
    </row>
    <row r="1164" spans="1:13" x14ac:dyDescent="0.2">
      <c r="A1164" t="s">
        <v>1435</v>
      </c>
      <c r="B1164" t="s">
        <v>564</v>
      </c>
      <c r="C1164" s="1">
        <v>45985</v>
      </c>
      <c r="D1164" t="s">
        <v>213</v>
      </c>
      <c r="E1164" t="s">
        <v>14</v>
      </c>
      <c r="F1164" t="s">
        <v>15</v>
      </c>
      <c r="G1164" t="s">
        <v>16</v>
      </c>
      <c r="H1164">
        <v>4</v>
      </c>
      <c r="I1164">
        <v>107.2</v>
      </c>
      <c r="J1164" t="s">
        <v>28</v>
      </c>
      <c r="K1164" t="s">
        <v>18</v>
      </c>
      <c r="L1164">
        <f>WEEKDAY(Table1[[#This Row],[Transaction_Date]],2)</f>
        <v>1</v>
      </c>
      <c r="M1164">
        <f>IF(Table1[[#This Row],[Sale_Type]]="Buffet",1,0)</f>
        <v>0</v>
      </c>
    </row>
    <row r="1165" spans="1:13" x14ac:dyDescent="0.2">
      <c r="A1165" t="s">
        <v>1436</v>
      </c>
      <c r="B1165" t="s">
        <v>89</v>
      </c>
      <c r="C1165" s="1">
        <v>45985</v>
      </c>
      <c r="D1165" t="s">
        <v>213</v>
      </c>
      <c r="E1165" t="s">
        <v>14</v>
      </c>
      <c r="F1165" t="s">
        <v>24</v>
      </c>
      <c r="G1165" t="s">
        <v>16</v>
      </c>
      <c r="H1165">
        <v>4</v>
      </c>
      <c r="I1165">
        <v>103.73</v>
      </c>
      <c r="J1165" t="s">
        <v>34</v>
      </c>
      <c r="K1165" t="s">
        <v>21</v>
      </c>
      <c r="L1165">
        <f>WEEKDAY(Table1[[#This Row],[Transaction_Date]],2)</f>
        <v>1</v>
      </c>
      <c r="M1165">
        <f>IF(Table1[[#This Row],[Sale_Type]]="Buffet",1,0)</f>
        <v>0</v>
      </c>
    </row>
    <row r="1166" spans="1:13" x14ac:dyDescent="0.2">
      <c r="A1166" t="s">
        <v>1437</v>
      </c>
      <c r="B1166" t="s">
        <v>252</v>
      </c>
      <c r="C1166" s="1">
        <v>45985</v>
      </c>
      <c r="D1166" t="s">
        <v>213</v>
      </c>
      <c r="E1166" t="s">
        <v>14</v>
      </c>
      <c r="F1166" t="s">
        <v>24</v>
      </c>
      <c r="G1166" t="s">
        <v>16</v>
      </c>
      <c r="H1166">
        <v>3</v>
      </c>
      <c r="I1166">
        <v>114.53</v>
      </c>
      <c r="J1166" t="s">
        <v>17</v>
      </c>
      <c r="K1166" t="s">
        <v>21</v>
      </c>
      <c r="L1166">
        <f>WEEKDAY(Table1[[#This Row],[Transaction_Date]],2)</f>
        <v>1</v>
      </c>
      <c r="M1166">
        <f>IF(Table1[[#This Row],[Sale_Type]]="Buffet",1,0)</f>
        <v>0</v>
      </c>
    </row>
    <row r="1167" spans="1:13" x14ac:dyDescent="0.2">
      <c r="A1167" t="s">
        <v>1438</v>
      </c>
      <c r="B1167" t="s">
        <v>68</v>
      </c>
      <c r="C1167" s="1">
        <v>45985</v>
      </c>
      <c r="D1167" t="s">
        <v>213</v>
      </c>
      <c r="E1167" t="s">
        <v>14</v>
      </c>
      <c r="F1167" t="s">
        <v>24</v>
      </c>
      <c r="G1167" t="s">
        <v>16</v>
      </c>
      <c r="H1167">
        <v>3</v>
      </c>
      <c r="I1167">
        <v>51.83</v>
      </c>
      <c r="J1167" t="s">
        <v>17</v>
      </c>
      <c r="K1167" t="s">
        <v>21</v>
      </c>
      <c r="L1167">
        <f>WEEKDAY(Table1[[#This Row],[Transaction_Date]],2)</f>
        <v>1</v>
      </c>
      <c r="M1167">
        <f>IF(Table1[[#This Row],[Sale_Type]]="Buffet",1,0)</f>
        <v>0</v>
      </c>
    </row>
    <row r="1168" spans="1:13" x14ac:dyDescent="0.2">
      <c r="A1168" t="s">
        <v>1439</v>
      </c>
      <c r="B1168" t="s">
        <v>260</v>
      </c>
      <c r="C1168" s="1">
        <v>45985</v>
      </c>
      <c r="D1168" t="s">
        <v>213</v>
      </c>
      <c r="E1168" t="s">
        <v>14</v>
      </c>
      <c r="F1168" t="s">
        <v>24</v>
      </c>
      <c r="G1168" t="s">
        <v>16</v>
      </c>
      <c r="H1168">
        <v>6</v>
      </c>
      <c r="I1168">
        <v>299.25</v>
      </c>
      <c r="J1168" t="s">
        <v>17</v>
      </c>
      <c r="K1168" t="s">
        <v>18</v>
      </c>
      <c r="L1168">
        <f>WEEKDAY(Table1[[#This Row],[Transaction_Date]],2)</f>
        <v>1</v>
      </c>
      <c r="M1168">
        <f>IF(Table1[[#This Row],[Sale_Type]]="Buffet",1,0)</f>
        <v>0</v>
      </c>
    </row>
    <row r="1169" spans="1:13" x14ac:dyDescent="0.2">
      <c r="A1169" t="s">
        <v>1440</v>
      </c>
      <c r="B1169" t="s">
        <v>160</v>
      </c>
      <c r="C1169" s="1">
        <v>45985</v>
      </c>
      <c r="D1169" t="s">
        <v>213</v>
      </c>
      <c r="E1169" t="s">
        <v>14</v>
      </c>
      <c r="F1169" t="s">
        <v>24</v>
      </c>
      <c r="G1169" t="s">
        <v>16</v>
      </c>
      <c r="H1169">
        <v>4</v>
      </c>
      <c r="I1169">
        <v>105.43</v>
      </c>
      <c r="J1169" t="s">
        <v>34</v>
      </c>
      <c r="K1169" t="s">
        <v>18</v>
      </c>
      <c r="L1169">
        <f>WEEKDAY(Table1[[#This Row],[Transaction_Date]],2)</f>
        <v>1</v>
      </c>
      <c r="M1169">
        <f>IF(Table1[[#This Row],[Sale_Type]]="Buffet",1,0)</f>
        <v>0</v>
      </c>
    </row>
    <row r="1170" spans="1:13" x14ac:dyDescent="0.2">
      <c r="A1170" t="s">
        <v>1441</v>
      </c>
      <c r="B1170" t="s">
        <v>235</v>
      </c>
      <c r="C1170" s="1">
        <v>45985</v>
      </c>
      <c r="D1170" t="s">
        <v>213</v>
      </c>
      <c r="E1170" t="s">
        <v>14</v>
      </c>
      <c r="F1170" t="s">
        <v>24</v>
      </c>
      <c r="G1170" t="s">
        <v>16</v>
      </c>
      <c r="H1170">
        <v>5</v>
      </c>
      <c r="I1170">
        <v>112.4</v>
      </c>
      <c r="J1170" t="s">
        <v>34</v>
      </c>
      <c r="K1170" t="s">
        <v>21</v>
      </c>
      <c r="L1170">
        <f>WEEKDAY(Table1[[#This Row],[Transaction_Date]],2)</f>
        <v>1</v>
      </c>
      <c r="M1170">
        <f>IF(Table1[[#This Row],[Sale_Type]]="Buffet",1,0)</f>
        <v>0</v>
      </c>
    </row>
    <row r="1171" spans="1:13" x14ac:dyDescent="0.2">
      <c r="A1171" t="s">
        <v>1442</v>
      </c>
      <c r="B1171" t="s">
        <v>202</v>
      </c>
      <c r="C1171" s="1">
        <v>45985</v>
      </c>
      <c r="D1171" t="s">
        <v>213</v>
      </c>
      <c r="E1171" t="s">
        <v>14</v>
      </c>
      <c r="F1171" t="s">
        <v>24</v>
      </c>
      <c r="G1171" t="s">
        <v>16</v>
      </c>
      <c r="H1171">
        <v>1</v>
      </c>
      <c r="I1171">
        <v>19.420000000000002</v>
      </c>
      <c r="J1171" t="s">
        <v>34</v>
      </c>
      <c r="K1171" t="s">
        <v>21</v>
      </c>
      <c r="L1171">
        <f>WEEKDAY(Table1[[#This Row],[Transaction_Date]],2)</f>
        <v>1</v>
      </c>
      <c r="M1171">
        <f>IF(Table1[[#This Row],[Sale_Type]]="Buffet",1,0)</f>
        <v>0</v>
      </c>
    </row>
    <row r="1172" spans="1:13" x14ac:dyDescent="0.2">
      <c r="A1172" t="s">
        <v>1443</v>
      </c>
      <c r="B1172" t="s">
        <v>258</v>
      </c>
      <c r="C1172" s="1">
        <v>45985</v>
      </c>
      <c r="D1172" t="s">
        <v>213</v>
      </c>
      <c r="E1172" t="s">
        <v>14</v>
      </c>
      <c r="F1172" t="s">
        <v>27</v>
      </c>
      <c r="G1172" t="s">
        <v>16</v>
      </c>
      <c r="H1172">
        <v>1</v>
      </c>
      <c r="I1172">
        <v>25.83</v>
      </c>
      <c r="J1172" t="s">
        <v>17</v>
      </c>
      <c r="K1172" t="s">
        <v>18</v>
      </c>
      <c r="L1172">
        <f>WEEKDAY(Table1[[#This Row],[Transaction_Date]],2)</f>
        <v>1</v>
      </c>
      <c r="M1172">
        <f>IF(Table1[[#This Row],[Sale_Type]]="Buffet",1,0)</f>
        <v>0</v>
      </c>
    </row>
    <row r="1173" spans="1:13" x14ac:dyDescent="0.2">
      <c r="A1173" t="s">
        <v>1444</v>
      </c>
      <c r="B1173" t="s">
        <v>198</v>
      </c>
      <c r="C1173" s="1">
        <v>45985</v>
      </c>
      <c r="D1173" t="s">
        <v>213</v>
      </c>
      <c r="E1173" t="s">
        <v>14</v>
      </c>
      <c r="F1173" t="s">
        <v>27</v>
      </c>
      <c r="G1173" t="s">
        <v>16</v>
      </c>
      <c r="H1173">
        <v>3</v>
      </c>
      <c r="I1173">
        <v>65.400000000000006</v>
      </c>
      <c r="J1173" t="s">
        <v>34</v>
      </c>
      <c r="K1173" t="s">
        <v>18</v>
      </c>
      <c r="L1173">
        <f>WEEKDAY(Table1[[#This Row],[Transaction_Date]],2)</f>
        <v>1</v>
      </c>
      <c r="M1173">
        <f>IF(Table1[[#This Row],[Sale_Type]]="Buffet",1,0)</f>
        <v>0</v>
      </c>
    </row>
    <row r="1174" spans="1:13" x14ac:dyDescent="0.2">
      <c r="A1174" t="s">
        <v>1445</v>
      </c>
      <c r="B1174" t="s">
        <v>467</v>
      </c>
      <c r="C1174" s="1">
        <v>45985</v>
      </c>
      <c r="D1174" t="s">
        <v>213</v>
      </c>
      <c r="E1174" t="s">
        <v>14</v>
      </c>
      <c r="F1174" t="s">
        <v>27</v>
      </c>
      <c r="G1174" t="s">
        <v>16</v>
      </c>
      <c r="H1174">
        <v>3</v>
      </c>
      <c r="I1174">
        <v>92.74</v>
      </c>
      <c r="J1174" t="s">
        <v>17</v>
      </c>
      <c r="K1174" t="s">
        <v>18</v>
      </c>
      <c r="L1174">
        <f>WEEKDAY(Table1[[#This Row],[Transaction_Date]],2)</f>
        <v>1</v>
      </c>
      <c r="M1174">
        <f>IF(Table1[[#This Row],[Sale_Type]]="Buffet",1,0)</f>
        <v>0</v>
      </c>
    </row>
    <row r="1175" spans="1:13" x14ac:dyDescent="0.2">
      <c r="A1175" t="s">
        <v>1446</v>
      </c>
      <c r="B1175" t="s">
        <v>495</v>
      </c>
      <c r="C1175" s="1">
        <v>45985</v>
      </c>
      <c r="D1175" t="s">
        <v>213</v>
      </c>
      <c r="E1175" t="s">
        <v>14</v>
      </c>
      <c r="F1175" t="s">
        <v>27</v>
      </c>
      <c r="G1175" t="s">
        <v>16</v>
      </c>
      <c r="H1175">
        <v>6</v>
      </c>
      <c r="I1175">
        <v>244.69</v>
      </c>
      <c r="J1175" t="s">
        <v>17</v>
      </c>
      <c r="K1175" t="s">
        <v>18</v>
      </c>
      <c r="L1175">
        <f>WEEKDAY(Table1[[#This Row],[Transaction_Date]],2)</f>
        <v>1</v>
      </c>
      <c r="M1175">
        <f>IF(Table1[[#This Row],[Sale_Type]]="Buffet",1,0)</f>
        <v>0</v>
      </c>
    </row>
    <row r="1176" spans="1:13" x14ac:dyDescent="0.2">
      <c r="A1176" t="s">
        <v>1447</v>
      </c>
      <c r="B1176" t="s">
        <v>476</v>
      </c>
      <c r="C1176" s="1">
        <v>45985</v>
      </c>
      <c r="D1176" t="s">
        <v>213</v>
      </c>
      <c r="E1176" t="s">
        <v>14</v>
      </c>
      <c r="F1176" t="s">
        <v>27</v>
      </c>
      <c r="G1176" t="s">
        <v>16</v>
      </c>
      <c r="H1176">
        <v>5</v>
      </c>
      <c r="I1176">
        <v>129.66999999999999</v>
      </c>
      <c r="J1176" t="s">
        <v>17</v>
      </c>
      <c r="K1176" t="s">
        <v>18</v>
      </c>
      <c r="L1176">
        <f>WEEKDAY(Table1[[#This Row],[Transaction_Date]],2)</f>
        <v>1</v>
      </c>
      <c r="M1176">
        <f>IF(Table1[[#This Row],[Sale_Type]]="Buffet",1,0)</f>
        <v>0</v>
      </c>
    </row>
    <row r="1177" spans="1:13" x14ac:dyDescent="0.2">
      <c r="A1177" t="s">
        <v>1448</v>
      </c>
      <c r="B1177" t="s">
        <v>427</v>
      </c>
      <c r="C1177" s="1">
        <v>45985</v>
      </c>
      <c r="D1177" t="s">
        <v>213</v>
      </c>
      <c r="E1177" t="s">
        <v>14</v>
      </c>
      <c r="F1177" t="s">
        <v>27</v>
      </c>
      <c r="G1177" t="s">
        <v>16</v>
      </c>
      <c r="H1177">
        <v>6</v>
      </c>
      <c r="I1177">
        <v>219.77</v>
      </c>
      <c r="J1177" t="s">
        <v>17</v>
      </c>
      <c r="K1177" t="s">
        <v>21</v>
      </c>
      <c r="L1177">
        <f>WEEKDAY(Table1[[#This Row],[Transaction_Date]],2)</f>
        <v>1</v>
      </c>
      <c r="M1177">
        <f>IF(Table1[[#This Row],[Sale_Type]]="Buffet",1,0)</f>
        <v>0</v>
      </c>
    </row>
    <row r="1178" spans="1:13" x14ac:dyDescent="0.2">
      <c r="A1178" t="s">
        <v>1449</v>
      </c>
      <c r="B1178" t="s">
        <v>1231</v>
      </c>
      <c r="C1178" s="1">
        <v>45985</v>
      </c>
      <c r="D1178" t="s">
        <v>213</v>
      </c>
      <c r="E1178" t="s">
        <v>14</v>
      </c>
      <c r="F1178" t="s">
        <v>31</v>
      </c>
      <c r="G1178" t="s">
        <v>16</v>
      </c>
      <c r="H1178">
        <v>3</v>
      </c>
      <c r="I1178">
        <v>86.35</v>
      </c>
      <c r="J1178" t="s">
        <v>17</v>
      </c>
      <c r="K1178" t="s">
        <v>21</v>
      </c>
      <c r="L1178">
        <f>WEEKDAY(Table1[[#This Row],[Transaction_Date]],2)</f>
        <v>1</v>
      </c>
      <c r="M1178">
        <f>IF(Table1[[#This Row],[Sale_Type]]="Buffet",1,0)</f>
        <v>0</v>
      </c>
    </row>
    <row r="1179" spans="1:13" x14ac:dyDescent="0.2">
      <c r="A1179" t="s">
        <v>1450</v>
      </c>
      <c r="B1179" t="s">
        <v>95</v>
      </c>
      <c r="C1179" s="1">
        <v>45985</v>
      </c>
      <c r="D1179" t="s">
        <v>213</v>
      </c>
      <c r="E1179" t="s">
        <v>14</v>
      </c>
      <c r="F1179" t="s">
        <v>31</v>
      </c>
      <c r="G1179" t="s">
        <v>16</v>
      </c>
      <c r="H1179">
        <v>3</v>
      </c>
      <c r="I1179">
        <v>61.57</v>
      </c>
      <c r="J1179" t="s">
        <v>17</v>
      </c>
      <c r="K1179" t="s">
        <v>18</v>
      </c>
      <c r="L1179">
        <f>WEEKDAY(Table1[[#This Row],[Transaction_Date]],2)</f>
        <v>1</v>
      </c>
      <c r="M1179">
        <f>IF(Table1[[#This Row],[Sale_Type]]="Buffet",1,0)</f>
        <v>0</v>
      </c>
    </row>
    <row r="1180" spans="1:13" x14ac:dyDescent="0.2">
      <c r="A1180" t="s">
        <v>1451</v>
      </c>
      <c r="B1180" t="s">
        <v>398</v>
      </c>
      <c r="C1180" s="1">
        <v>45985</v>
      </c>
      <c r="D1180" t="s">
        <v>213</v>
      </c>
      <c r="E1180" t="s">
        <v>14</v>
      </c>
      <c r="F1180" t="s">
        <v>31</v>
      </c>
      <c r="G1180" t="s">
        <v>16</v>
      </c>
      <c r="H1180">
        <v>2</v>
      </c>
      <c r="I1180">
        <v>62.52</v>
      </c>
      <c r="J1180" t="s">
        <v>34</v>
      </c>
      <c r="K1180" t="s">
        <v>21</v>
      </c>
      <c r="L1180">
        <f>WEEKDAY(Table1[[#This Row],[Transaction_Date]],2)</f>
        <v>1</v>
      </c>
      <c r="M1180">
        <f>IF(Table1[[#This Row],[Sale_Type]]="Buffet",1,0)</f>
        <v>0</v>
      </c>
    </row>
    <row r="1181" spans="1:13" x14ac:dyDescent="0.2">
      <c r="A1181" t="s">
        <v>1452</v>
      </c>
      <c r="B1181" t="s">
        <v>30</v>
      </c>
      <c r="C1181" s="1">
        <v>45985</v>
      </c>
      <c r="D1181" t="s">
        <v>213</v>
      </c>
      <c r="E1181" t="s">
        <v>14</v>
      </c>
      <c r="F1181" t="s">
        <v>40</v>
      </c>
      <c r="G1181" t="s">
        <v>16</v>
      </c>
      <c r="H1181">
        <v>4</v>
      </c>
      <c r="I1181">
        <v>145.13999999999999</v>
      </c>
      <c r="J1181" t="s">
        <v>17</v>
      </c>
      <c r="K1181" t="s">
        <v>18</v>
      </c>
      <c r="L1181">
        <f>WEEKDAY(Table1[[#This Row],[Transaction_Date]],2)</f>
        <v>1</v>
      </c>
      <c r="M1181">
        <f>IF(Table1[[#This Row],[Sale_Type]]="Buffet",1,0)</f>
        <v>0</v>
      </c>
    </row>
    <row r="1182" spans="1:13" x14ac:dyDescent="0.2">
      <c r="A1182" t="s">
        <v>1453</v>
      </c>
      <c r="B1182" t="s">
        <v>822</v>
      </c>
      <c r="C1182" s="1">
        <v>45985</v>
      </c>
      <c r="D1182" t="s">
        <v>213</v>
      </c>
      <c r="E1182" t="s">
        <v>43</v>
      </c>
      <c r="F1182" t="s">
        <v>44</v>
      </c>
      <c r="G1182" t="s">
        <v>16</v>
      </c>
      <c r="H1182">
        <v>4</v>
      </c>
      <c r="I1182">
        <v>91.67</v>
      </c>
      <c r="J1182" t="s">
        <v>28</v>
      </c>
      <c r="K1182" t="s">
        <v>18</v>
      </c>
      <c r="L1182">
        <f>WEEKDAY(Table1[[#This Row],[Transaction_Date]],2)</f>
        <v>1</v>
      </c>
      <c r="M1182">
        <f>IF(Table1[[#This Row],[Sale_Type]]="Buffet",1,0)</f>
        <v>0</v>
      </c>
    </row>
    <row r="1183" spans="1:13" x14ac:dyDescent="0.2">
      <c r="A1183" t="s">
        <v>1454</v>
      </c>
      <c r="B1183" t="s">
        <v>443</v>
      </c>
      <c r="C1183" s="1">
        <v>45985</v>
      </c>
      <c r="D1183" t="s">
        <v>213</v>
      </c>
      <c r="E1183" t="s">
        <v>43</v>
      </c>
      <c r="F1183" t="s">
        <v>44</v>
      </c>
      <c r="G1183" t="s">
        <v>16</v>
      </c>
      <c r="H1183">
        <v>2</v>
      </c>
      <c r="I1183">
        <v>53.74</v>
      </c>
      <c r="J1183" t="s">
        <v>28</v>
      </c>
      <c r="K1183" t="s">
        <v>18</v>
      </c>
      <c r="L1183">
        <f>WEEKDAY(Table1[[#This Row],[Transaction_Date]],2)</f>
        <v>1</v>
      </c>
      <c r="M1183">
        <f>IF(Table1[[#This Row],[Sale_Type]]="Buffet",1,0)</f>
        <v>0</v>
      </c>
    </row>
    <row r="1184" spans="1:13" x14ac:dyDescent="0.2">
      <c r="A1184" t="s">
        <v>1455</v>
      </c>
      <c r="B1184" t="s">
        <v>268</v>
      </c>
      <c r="C1184" s="1">
        <v>45985</v>
      </c>
      <c r="D1184" t="s">
        <v>213</v>
      </c>
      <c r="E1184" t="s">
        <v>43</v>
      </c>
      <c r="F1184" t="s">
        <v>44</v>
      </c>
      <c r="G1184" t="s">
        <v>16</v>
      </c>
      <c r="H1184">
        <v>1</v>
      </c>
      <c r="I1184">
        <v>9.85</v>
      </c>
      <c r="J1184" t="s">
        <v>17</v>
      </c>
      <c r="K1184" t="s">
        <v>18</v>
      </c>
      <c r="L1184">
        <f>WEEKDAY(Table1[[#This Row],[Transaction_Date]],2)</f>
        <v>1</v>
      </c>
      <c r="M1184">
        <f>IF(Table1[[#This Row],[Sale_Type]]="Buffet",1,0)</f>
        <v>0</v>
      </c>
    </row>
    <row r="1185" spans="1:13" x14ac:dyDescent="0.2">
      <c r="A1185" t="s">
        <v>1456</v>
      </c>
      <c r="B1185" t="s">
        <v>26</v>
      </c>
      <c r="C1185" s="1">
        <v>45985</v>
      </c>
      <c r="D1185" t="s">
        <v>213</v>
      </c>
      <c r="E1185" t="s">
        <v>43</v>
      </c>
      <c r="F1185" t="s">
        <v>44</v>
      </c>
      <c r="G1185" t="s">
        <v>16</v>
      </c>
      <c r="H1185">
        <v>3</v>
      </c>
      <c r="I1185">
        <v>110.39</v>
      </c>
      <c r="J1185" t="s">
        <v>17</v>
      </c>
      <c r="K1185" t="s">
        <v>18</v>
      </c>
      <c r="L1185">
        <f>WEEKDAY(Table1[[#This Row],[Transaction_Date]],2)</f>
        <v>1</v>
      </c>
      <c r="M1185">
        <f>IF(Table1[[#This Row],[Sale_Type]]="Buffet",1,0)</f>
        <v>0</v>
      </c>
    </row>
    <row r="1186" spans="1:13" x14ac:dyDescent="0.2">
      <c r="A1186" t="s">
        <v>1457</v>
      </c>
      <c r="B1186" t="s">
        <v>740</v>
      </c>
      <c r="C1186" s="1">
        <v>45985</v>
      </c>
      <c r="D1186" t="s">
        <v>213</v>
      </c>
      <c r="E1186" t="s">
        <v>43</v>
      </c>
      <c r="F1186" t="s">
        <v>50</v>
      </c>
      <c r="G1186" t="s">
        <v>16</v>
      </c>
      <c r="H1186">
        <v>2</v>
      </c>
      <c r="I1186">
        <v>38.46</v>
      </c>
      <c r="J1186" t="s">
        <v>17</v>
      </c>
      <c r="K1186" t="s">
        <v>18</v>
      </c>
      <c r="L1186">
        <f>WEEKDAY(Table1[[#This Row],[Transaction_Date]],2)</f>
        <v>1</v>
      </c>
      <c r="M1186">
        <f>IF(Table1[[#This Row],[Sale_Type]]="Buffet",1,0)</f>
        <v>0</v>
      </c>
    </row>
    <row r="1187" spans="1:13" x14ac:dyDescent="0.2">
      <c r="A1187" t="s">
        <v>1458</v>
      </c>
      <c r="B1187" t="s">
        <v>394</v>
      </c>
      <c r="C1187" s="1">
        <v>45985</v>
      </c>
      <c r="D1187" t="s">
        <v>213</v>
      </c>
      <c r="E1187" t="s">
        <v>43</v>
      </c>
      <c r="F1187" t="s">
        <v>50</v>
      </c>
      <c r="G1187" t="s">
        <v>16</v>
      </c>
      <c r="H1187">
        <v>3</v>
      </c>
      <c r="I1187">
        <v>33.03</v>
      </c>
      <c r="J1187" t="s">
        <v>34</v>
      </c>
      <c r="K1187" t="s">
        <v>18</v>
      </c>
      <c r="L1187">
        <f>WEEKDAY(Table1[[#This Row],[Transaction_Date]],2)</f>
        <v>1</v>
      </c>
      <c r="M1187">
        <f>IF(Table1[[#This Row],[Sale_Type]]="Buffet",1,0)</f>
        <v>0</v>
      </c>
    </row>
    <row r="1188" spans="1:13" x14ac:dyDescent="0.2">
      <c r="A1188" t="s">
        <v>1459</v>
      </c>
      <c r="B1188" t="s">
        <v>180</v>
      </c>
      <c r="C1188" s="1">
        <v>45985</v>
      </c>
      <c r="D1188" t="s">
        <v>213</v>
      </c>
      <c r="E1188" t="s">
        <v>43</v>
      </c>
      <c r="F1188" t="s">
        <v>50</v>
      </c>
      <c r="G1188" t="s">
        <v>16</v>
      </c>
      <c r="H1188">
        <v>4</v>
      </c>
      <c r="I1188">
        <v>55.47</v>
      </c>
      <c r="J1188" t="s">
        <v>34</v>
      </c>
      <c r="K1188" t="s">
        <v>21</v>
      </c>
      <c r="L1188">
        <f>WEEKDAY(Table1[[#This Row],[Transaction_Date]],2)</f>
        <v>1</v>
      </c>
      <c r="M1188">
        <f>IF(Table1[[#This Row],[Sale_Type]]="Buffet",1,0)</f>
        <v>0</v>
      </c>
    </row>
    <row r="1189" spans="1:13" x14ac:dyDescent="0.2">
      <c r="A1189" t="s">
        <v>1460</v>
      </c>
      <c r="B1189" t="s">
        <v>49</v>
      </c>
      <c r="C1189" s="1">
        <v>45985</v>
      </c>
      <c r="D1189" t="s">
        <v>213</v>
      </c>
      <c r="E1189" t="s">
        <v>43</v>
      </c>
      <c r="F1189" t="s">
        <v>53</v>
      </c>
      <c r="G1189" t="s">
        <v>16</v>
      </c>
      <c r="H1189">
        <v>3</v>
      </c>
      <c r="I1189">
        <v>35.770000000000003</v>
      </c>
      <c r="J1189" t="s">
        <v>17</v>
      </c>
      <c r="K1189" t="s">
        <v>18</v>
      </c>
      <c r="L1189">
        <f>WEEKDAY(Table1[[#This Row],[Transaction_Date]],2)</f>
        <v>1</v>
      </c>
      <c r="M1189">
        <f>IF(Table1[[#This Row],[Sale_Type]]="Buffet",1,0)</f>
        <v>0</v>
      </c>
    </row>
    <row r="1190" spans="1:13" x14ac:dyDescent="0.2">
      <c r="A1190" t="s">
        <v>1461</v>
      </c>
      <c r="B1190" t="s">
        <v>160</v>
      </c>
      <c r="C1190" s="1">
        <v>45986</v>
      </c>
      <c r="D1190" t="s">
        <v>250</v>
      </c>
      <c r="E1190" t="s">
        <v>14</v>
      </c>
      <c r="F1190" t="s">
        <v>15</v>
      </c>
      <c r="G1190" t="s">
        <v>16</v>
      </c>
      <c r="H1190">
        <v>2</v>
      </c>
      <c r="I1190">
        <v>75.38</v>
      </c>
      <c r="J1190" t="s">
        <v>17</v>
      </c>
      <c r="K1190" t="s">
        <v>18</v>
      </c>
      <c r="L1190">
        <f>WEEKDAY(Table1[[#This Row],[Transaction_Date]],2)</f>
        <v>2</v>
      </c>
      <c r="M1190">
        <f>IF(Table1[[#This Row],[Sale_Type]]="Buffet",1,0)</f>
        <v>0</v>
      </c>
    </row>
    <row r="1191" spans="1:13" x14ac:dyDescent="0.2">
      <c r="A1191" t="s">
        <v>1462</v>
      </c>
      <c r="B1191" t="s">
        <v>447</v>
      </c>
      <c r="C1191" s="1">
        <v>45986</v>
      </c>
      <c r="D1191" t="s">
        <v>250</v>
      </c>
      <c r="E1191" t="s">
        <v>14</v>
      </c>
      <c r="F1191" t="s">
        <v>24</v>
      </c>
      <c r="G1191" t="s">
        <v>16</v>
      </c>
      <c r="H1191">
        <v>3</v>
      </c>
      <c r="I1191">
        <v>74.7</v>
      </c>
      <c r="J1191" t="s">
        <v>17</v>
      </c>
      <c r="K1191" t="s">
        <v>18</v>
      </c>
      <c r="L1191">
        <f>WEEKDAY(Table1[[#This Row],[Transaction_Date]],2)</f>
        <v>2</v>
      </c>
      <c r="M1191">
        <f>IF(Table1[[#This Row],[Sale_Type]]="Buffet",1,0)</f>
        <v>0</v>
      </c>
    </row>
    <row r="1192" spans="1:13" x14ac:dyDescent="0.2">
      <c r="A1192" t="s">
        <v>1463</v>
      </c>
      <c r="B1192" t="s">
        <v>682</v>
      </c>
      <c r="C1192" s="1">
        <v>45986</v>
      </c>
      <c r="D1192" t="s">
        <v>250</v>
      </c>
      <c r="E1192" t="s">
        <v>14</v>
      </c>
      <c r="F1192" t="s">
        <v>27</v>
      </c>
      <c r="G1192" t="s">
        <v>16</v>
      </c>
      <c r="H1192">
        <v>2</v>
      </c>
      <c r="I1192">
        <v>79.010000000000005</v>
      </c>
      <c r="J1192" t="s">
        <v>28</v>
      </c>
      <c r="K1192" t="s">
        <v>21</v>
      </c>
      <c r="L1192">
        <f>WEEKDAY(Table1[[#This Row],[Transaction_Date]],2)</f>
        <v>2</v>
      </c>
      <c r="M1192">
        <f>IF(Table1[[#This Row],[Sale_Type]]="Buffet",1,0)</f>
        <v>0</v>
      </c>
    </row>
    <row r="1193" spans="1:13" x14ac:dyDescent="0.2">
      <c r="A1193" t="s">
        <v>1464</v>
      </c>
      <c r="B1193" t="s">
        <v>258</v>
      </c>
      <c r="C1193" s="1">
        <v>45986</v>
      </c>
      <c r="D1193" t="s">
        <v>250</v>
      </c>
      <c r="E1193" t="s">
        <v>14</v>
      </c>
      <c r="F1193" t="s">
        <v>27</v>
      </c>
      <c r="G1193" t="s">
        <v>16</v>
      </c>
      <c r="H1193">
        <v>3</v>
      </c>
      <c r="I1193">
        <v>76.3</v>
      </c>
      <c r="J1193" t="s">
        <v>17</v>
      </c>
      <c r="K1193" t="s">
        <v>18</v>
      </c>
      <c r="L1193">
        <f>WEEKDAY(Table1[[#This Row],[Transaction_Date]],2)</f>
        <v>2</v>
      </c>
      <c r="M1193">
        <f>IF(Table1[[#This Row],[Sale_Type]]="Buffet",1,0)</f>
        <v>0</v>
      </c>
    </row>
    <row r="1194" spans="1:13" x14ac:dyDescent="0.2">
      <c r="A1194" t="s">
        <v>1465</v>
      </c>
      <c r="B1194" t="s">
        <v>1067</v>
      </c>
      <c r="C1194" s="1">
        <v>45986</v>
      </c>
      <c r="D1194" t="s">
        <v>250</v>
      </c>
      <c r="E1194" t="s">
        <v>14</v>
      </c>
      <c r="F1194" t="s">
        <v>27</v>
      </c>
      <c r="G1194" t="s">
        <v>16</v>
      </c>
      <c r="H1194">
        <v>3</v>
      </c>
      <c r="I1194">
        <v>80.930000000000007</v>
      </c>
      <c r="J1194" t="s">
        <v>17</v>
      </c>
      <c r="K1194" t="s">
        <v>18</v>
      </c>
      <c r="L1194">
        <f>WEEKDAY(Table1[[#This Row],[Transaction_Date]],2)</f>
        <v>2</v>
      </c>
      <c r="M1194">
        <f>IF(Table1[[#This Row],[Sale_Type]]="Buffet",1,0)</f>
        <v>0</v>
      </c>
    </row>
    <row r="1195" spans="1:13" x14ac:dyDescent="0.2">
      <c r="A1195" t="s">
        <v>1466</v>
      </c>
      <c r="B1195" t="s">
        <v>369</v>
      </c>
      <c r="C1195" s="1">
        <v>45986</v>
      </c>
      <c r="D1195" t="s">
        <v>250</v>
      </c>
      <c r="E1195" t="s">
        <v>14</v>
      </c>
      <c r="F1195" t="s">
        <v>27</v>
      </c>
      <c r="G1195" t="s">
        <v>16</v>
      </c>
      <c r="H1195">
        <v>2</v>
      </c>
      <c r="I1195">
        <v>83.56</v>
      </c>
      <c r="J1195" t="s">
        <v>28</v>
      </c>
      <c r="K1195" t="s">
        <v>18</v>
      </c>
      <c r="L1195">
        <f>WEEKDAY(Table1[[#This Row],[Transaction_Date]],2)</f>
        <v>2</v>
      </c>
      <c r="M1195">
        <f>IF(Table1[[#This Row],[Sale_Type]]="Buffet",1,0)</f>
        <v>0</v>
      </c>
    </row>
    <row r="1196" spans="1:13" x14ac:dyDescent="0.2">
      <c r="A1196" t="s">
        <v>1467</v>
      </c>
      <c r="B1196" t="s">
        <v>567</v>
      </c>
      <c r="C1196" s="1">
        <v>45986</v>
      </c>
      <c r="D1196" t="s">
        <v>250</v>
      </c>
      <c r="E1196" t="s">
        <v>14</v>
      </c>
      <c r="F1196" t="s">
        <v>27</v>
      </c>
      <c r="G1196" t="s">
        <v>16</v>
      </c>
      <c r="H1196">
        <v>3</v>
      </c>
      <c r="I1196">
        <v>112.01</v>
      </c>
      <c r="J1196" t="s">
        <v>17</v>
      </c>
      <c r="K1196" t="s">
        <v>18</v>
      </c>
      <c r="L1196">
        <f>WEEKDAY(Table1[[#This Row],[Transaction_Date]],2)</f>
        <v>2</v>
      </c>
      <c r="M1196">
        <f>IF(Table1[[#This Row],[Sale_Type]]="Buffet",1,0)</f>
        <v>0</v>
      </c>
    </row>
    <row r="1197" spans="1:13" x14ac:dyDescent="0.2">
      <c r="A1197" t="s">
        <v>1468</v>
      </c>
      <c r="B1197" t="s">
        <v>74</v>
      </c>
      <c r="C1197" s="1">
        <v>45986</v>
      </c>
      <c r="D1197" t="s">
        <v>250</v>
      </c>
      <c r="E1197" t="s">
        <v>14</v>
      </c>
      <c r="F1197" t="s">
        <v>31</v>
      </c>
      <c r="G1197" t="s">
        <v>16</v>
      </c>
      <c r="H1197">
        <v>3</v>
      </c>
      <c r="I1197">
        <v>82.06</v>
      </c>
      <c r="J1197" t="s">
        <v>28</v>
      </c>
      <c r="K1197" t="s">
        <v>21</v>
      </c>
      <c r="L1197">
        <f>WEEKDAY(Table1[[#This Row],[Transaction_Date]],2)</f>
        <v>2</v>
      </c>
      <c r="M1197">
        <f>IF(Table1[[#This Row],[Sale_Type]]="Buffet",1,0)</f>
        <v>0</v>
      </c>
    </row>
    <row r="1198" spans="1:13" x14ac:dyDescent="0.2">
      <c r="A1198" t="s">
        <v>1469</v>
      </c>
      <c r="B1198" t="s">
        <v>459</v>
      </c>
      <c r="C1198" s="1">
        <v>45986</v>
      </c>
      <c r="D1198" t="s">
        <v>250</v>
      </c>
      <c r="E1198" t="s">
        <v>14</v>
      </c>
      <c r="F1198" t="s">
        <v>31</v>
      </c>
      <c r="G1198" t="s">
        <v>16</v>
      </c>
      <c r="H1198">
        <v>2</v>
      </c>
      <c r="I1198">
        <v>23.58</v>
      </c>
      <c r="J1198" t="s">
        <v>17</v>
      </c>
      <c r="K1198" t="s">
        <v>21</v>
      </c>
      <c r="L1198">
        <f>WEEKDAY(Table1[[#This Row],[Transaction_Date]],2)</f>
        <v>2</v>
      </c>
      <c r="M1198">
        <f>IF(Table1[[#This Row],[Sale_Type]]="Buffet",1,0)</f>
        <v>0</v>
      </c>
    </row>
    <row r="1199" spans="1:13" x14ac:dyDescent="0.2">
      <c r="A1199" t="s">
        <v>1470</v>
      </c>
      <c r="B1199" t="s">
        <v>206</v>
      </c>
      <c r="C1199" s="1">
        <v>45986</v>
      </c>
      <c r="D1199" t="s">
        <v>250</v>
      </c>
      <c r="E1199" t="s">
        <v>14</v>
      </c>
      <c r="F1199" t="s">
        <v>31</v>
      </c>
      <c r="G1199" t="s">
        <v>16</v>
      </c>
      <c r="H1199">
        <v>5</v>
      </c>
      <c r="I1199">
        <v>192.39</v>
      </c>
      <c r="J1199" t="s">
        <v>17</v>
      </c>
      <c r="K1199" t="s">
        <v>18</v>
      </c>
      <c r="L1199">
        <f>WEEKDAY(Table1[[#This Row],[Transaction_Date]],2)</f>
        <v>2</v>
      </c>
      <c r="M1199">
        <f>IF(Table1[[#This Row],[Sale_Type]]="Buffet",1,0)</f>
        <v>0</v>
      </c>
    </row>
    <row r="1200" spans="1:13" x14ac:dyDescent="0.2">
      <c r="A1200" t="s">
        <v>1471</v>
      </c>
      <c r="B1200" t="s">
        <v>522</v>
      </c>
      <c r="C1200" s="1">
        <v>45986</v>
      </c>
      <c r="D1200" t="s">
        <v>250</v>
      </c>
      <c r="E1200" t="s">
        <v>14</v>
      </c>
      <c r="F1200" t="s">
        <v>40</v>
      </c>
      <c r="G1200" t="s">
        <v>16</v>
      </c>
      <c r="H1200">
        <v>2</v>
      </c>
      <c r="I1200">
        <v>59.83</v>
      </c>
      <c r="J1200" t="s">
        <v>34</v>
      </c>
      <c r="K1200" t="s">
        <v>18</v>
      </c>
      <c r="L1200">
        <f>WEEKDAY(Table1[[#This Row],[Transaction_Date]],2)</f>
        <v>2</v>
      </c>
      <c r="M1200">
        <f>IF(Table1[[#This Row],[Sale_Type]]="Buffet",1,0)</f>
        <v>0</v>
      </c>
    </row>
    <row r="1201" spans="1:13" x14ac:dyDescent="0.2">
      <c r="A1201" t="s">
        <v>1472</v>
      </c>
      <c r="B1201" t="s">
        <v>258</v>
      </c>
      <c r="C1201" s="1">
        <v>45986</v>
      </c>
      <c r="D1201" t="s">
        <v>250</v>
      </c>
      <c r="E1201" t="s">
        <v>14</v>
      </c>
      <c r="F1201" t="s">
        <v>40</v>
      </c>
      <c r="G1201" t="s">
        <v>16</v>
      </c>
      <c r="H1201">
        <v>5</v>
      </c>
      <c r="I1201">
        <v>205.06</v>
      </c>
      <c r="J1201" t="s">
        <v>17</v>
      </c>
      <c r="K1201" t="s">
        <v>21</v>
      </c>
      <c r="L1201">
        <f>WEEKDAY(Table1[[#This Row],[Transaction_Date]],2)</f>
        <v>2</v>
      </c>
      <c r="M1201">
        <f>IF(Table1[[#This Row],[Sale_Type]]="Buffet",1,0)</f>
        <v>0</v>
      </c>
    </row>
    <row r="1202" spans="1:13" x14ac:dyDescent="0.2">
      <c r="A1202" t="s">
        <v>1473</v>
      </c>
      <c r="B1202" t="s">
        <v>117</v>
      </c>
      <c r="C1202" s="1">
        <v>45986</v>
      </c>
      <c r="D1202" t="s">
        <v>250</v>
      </c>
      <c r="E1202" t="s">
        <v>14</v>
      </c>
      <c r="F1202" t="s">
        <v>40</v>
      </c>
      <c r="G1202" t="s">
        <v>16</v>
      </c>
      <c r="H1202">
        <v>2</v>
      </c>
      <c r="I1202">
        <v>64.09</v>
      </c>
      <c r="J1202" t="s">
        <v>34</v>
      </c>
      <c r="K1202" t="s">
        <v>21</v>
      </c>
      <c r="L1202">
        <f>WEEKDAY(Table1[[#This Row],[Transaction_Date]],2)</f>
        <v>2</v>
      </c>
      <c r="M1202">
        <f>IF(Table1[[#This Row],[Sale_Type]]="Buffet",1,0)</f>
        <v>0</v>
      </c>
    </row>
    <row r="1203" spans="1:13" x14ac:dyDescent="0.2">
      <c r="A1203" t="s">
        <v>1474</v>
      </c>
      <c r="B1203" t="s">
        <v>996</v>
      </c>
      <c r="C1203" s="1">
        <v>45986</v>
      </c>
      <c r="D1203" t="s">
        <v>250</v>
      </c>
      <c r="E1203" t="s">
        <v>43</v>
      </c>
      <c r="F1203" t="s">
        <v>44</v>
      </c>
      <c r="G1203" t="s">
        <v>16</v>
      </c>
      <c r="H1203">
        <v>3</v>
      </c>
      <c r="I1203">
        <v>45.98</v>
      </c>
      <c r="J1203" t="s">
        <v>17</v>
      </c>
      <c r="K1203" t="s">
        <v>18</v>
      </c>
      <c r="L1203">
        <f>WEEKDAY(Table1[[#This Row],[Transaction_Date]],2)</f>
        <v>2</v>
      </c>
      <c r="M1203">
        <f>IF(Table1[[#This Row],[Sale_Type]]="Buffet",1,0)</f>
        <v>0</v>
      </c>
    </row>
    <row r="1204" spans="1:13" x14ac:dyDescent="0.2">
      <c r="A1204" t="s">
        <v>1475</v>
      </c>
      <c r="B1204" t="s">
        <v>624</v>
      </c>
      <c r="C1204" s="1">
        <v>45986</v>
      </c>
      <c r="D1204" t="s">
        <v>250</v>
      </c>
      <c r="E1204" t="s">
        <v>43</v>
      </c>
      <c r="F1204" t="s">
        <v>44</v>
      </c>
      <c r="G1204" t="s">
        <v>16</v>
      </c>
      <c r="H1204">
        <v>3</v>
      </c>
      <c r="I1204">
        <v>66.97</v>
      </c>
      <c r="J1204" t="s">
        <v>17</v>
      </c>
      <c r="K1204" t="s">
        <v>18</v>
      </c>
      <c r="L1204">
        <f>WEEKDAY(Table1[[#This Row],[Transaction_Date]],2)</f>
        <v>2</v>
      </c>
      <c r="M1204">
        <f>IF(Table1[[#This Row],[Sale_Type]]="Buffet",1,0)</f>
        <v>0</v>
      </c>
    </row>
    <row r="1205" spans="1:13" x14ac:dyDescent="0.2">
      <c r="A1205" t="s">
        <v>1476</v>
      </c>
      <c r="B1205" t="s">
        <v>98</v>
      </c>
      <c r="C1205" s="1">
        <v>45986</v>
      </c>
      <c r="D1205" t="s">
        <v>250</v>
      </c>
      <c r="E1205" t="s">
        <v>43</v>
      </c>
      <c r="F1205" t="s">
        <v>44</v>
      </c>
      <c r="G1205" t="s">
        <v>16</v>
      </c>
      <c r="H1205">
        <v>5</v>
      </c>
      <c r="I1205">
        <v>113.1</v>
      </c>
      <c r="J1205" t="s">
        <v>17</v>
      </c>
      <c r="K1205" t="s">
        <v>21</v>
      </c>
      <c r="L1205">
        <f>WEEKDAY(Table1[[#This Row],[Transaction_Date]],2)</f>
        <v>2</v>
      </c>
      <c r="M1205">
        <f>IF(Table1[[#This Row],[Sale_Type]]="Buffet",1,0)</f>
        <v>0</v>
      </c>
    </row>
    <row r="1206" spans="1:13" x14ac:dyDescent="0.2">
      <c r="A1206" t="s">
        <v>1477</v>
      </c>
      <c r="B1206" t="s">
        <v>591</v>
      </c>
      <c r="C1206" s="1">
        <v>45986</v>
      </c>
      <c r="D1206" t="s">
        <v>250</v>
      </c>
      <c r="E1206" t="s">
        <v>43</v>
      </c>
      <c r="F1206" t="s">
        <v>44</v>
      </c>
      <c r="G1206" t="s">
        <v>16</v>
      </c>
      <c r="H1206">
        <v>2</v>
      </c>
      <c r="I1206">
        <v>39.85</v>
      </c>
      <c r="J1206" t="s">
        <v>34</v>
      </c>
      <c r="K1206" t="s">
        <v>18</v>
      </c>
      <c r="L1206">
        <f>WEEKDAY(Table1[[#This Row],[Transaction_Date]],2)</f>
        <v>2</v>
      </c>
      <c r="M1206">
        <f>IF(Table1[[#This Row],[Sale_Type]]="Buffet",1,0)</f>
        <v>0</v>
      </c>
    </row>
    <row r="1207" spans="1:13" x14ac:dyDescent="0.2">
      <c r="A1207" t="s">
        <v>1478</v>
      </c>
      <c r="B1207" t="s">
        <v>652</v>
      </c>
      <c r="C1207" s="1">
        <v>45986</v>
      </c>
      <c r="D1207" t="s">
        <v>250</v>
      </c>
      <c r="E1207" t="s">
        <v>43</v>
      </c>
      <c r="F1207" t="s">
        <v>53</v>
      </c>
      <c r="G1207" t="s">
        <v>16</v>
      </c>
      <c r="H1207">
        <v>1</v>
      </c>
      <c r="I1207">
        <v>8.24</v>
      </c>
      <c r="J1207" t="s">
        <v>28</v>
      </c>
      <c r="K1207" t="s">
        <v>18</v>
      </c>
      <c r="L1207">
        <f>WEEKDAY(Table1[[#This Row],[Transaction_Date]],2)</f>
        <v>2</v>
      </c>
      <c r="M1207">
        <f>IF(Table1[[#This Row],[Sale_Type]]="Buffet",1,0)</f>
        <v>0</v>
      </c>
    </row>
    <row r="1208" spans="1:13" x14ac:dyDescent="0.2">
      <c r="A1208" t="s">
        <v>1479</v>
      </c>
      <c r="B1208" t="s">
        <v>196</v>
      </c>
      <c r="C1208" s="1">
        <v>45986</v>
      </c>
      <c r="D1208" t="s">
        <v>250</v>
      </c>
      <c r="E1208" t="s">
        <v>43</v>
      </c>
      <c r="F1208" t="s">
        <v>53</v>
      </c>
      <c r="G1208" t="s">
        <v>16</v>
      </c>
      <c r="H1208">
        <v>2</v>
      </c>
      <c r="I1208">
        <v>76.22</v>
      </c>
      <c r="J1208" t="s">
        <v>28</v>
      </c>
      <c r="K1208" t="s">
        <v>18</v>
      </c>
      <c r="L1208">
        <f>WEEKDAY(Table1[[#This Row],[Transaction_Date]],2)</f>
        <v>2</v>
      </c>
      <c r="M1208">
        <f>IF(Table1[[#This Row],[Sale_Type]]="Buffet",1,0)</f>
        <v>0</v>
      </c>
    </row>
    <row r="1209" spans="1:13" x14ac:dyDescent="0.2">
      <c r="A1209" t="s">
        <v>1480</v>
      </c>
      <c r="B1209" t="s">
        <v>176</v>
      </c>
      <c r="C1209" s="1">
        <v>45986</v>
      </c>
      <c r="D1209" t="s">
        <v>250</v>
      </c>
      <c r="E1209" t="s">
        <v>43</v>
      </c>
      <c r="F1209" t="s">
        <v>57</v>
      </c>
      <c r="G1209" t="s">
        <v>16</v>
      </c>
      <c r="H1209">
        <v>2</v>
      </c>
      <c r="I1209">
        <v>20.350000000000001</v>
      </c>
      <c r="J1209" t="s">
        <v>17</v>
      </c>
      <c r="K1209" t="s">
        <v>18</v>
      </c>
      <c r="L1209">
        <f>WEEKDAY(Table1[[#This Row],[Transaction_Date]],2)</f>
        <v>2</v>
      </c>
      <c r="M1209">
        <f>IF(Table1[[#This Row],[Sale_Type]]="Buffet",1,0)</f>
        <v>0</v>
      </c>
    </row>
    <row r="1210" spans="1:13" x14ac:dyDescent="0.2">
      <c r="A1210" t="s">
        <v>1481</v>
      </c>
      <c r="B1210" t="s">
        <v>410</v>
      </c>
      <c r="C1210" s="1">
        <v>45986</v>
      </c>
      <c r="D1210" t="s">
        <v>250</v>
      </c>
      <c r="E1210" t="s">
        <v>43</v>
      </c>
      <c r="F1210" t="s">
        <v>57</v>
      </c>
      <c r="G1210" t="s">
        <v>16</v>
      </c>
      <c r="H1210">
        <v>3</v>
      </c>
      <c r="I1210">
        <v>81.430000000000007</v>
      </c>
      <c r="J1210" t="s">
        <v>34</v>
      </c>
      <c r="K1210" t="s">
        <v>18</v>
      </c>
      <c r="L1210">
        <f>WEEKDAY(Table1[[#This Row],[Transaction_Date]],2)</f>
        <v>2</v>
      </c>
      <c r="M1210">
        <f>IF(Table1[[#This Row],[Sale_Type]]="Buffet",1,0)</f>
        <v>0</v>
      </c>
    </row>
    <row r="1211" spans="1:13" x14ac:dyDescent="0.2">
      <c r="A1211" t="s">
        <v>1482</v>
      </c>
      <c r="B1211" t="s">
        <v>363</v>
      </c>
      <c r="C1211" s="1">
        <v>45986</v>
      </c>
      <c r="D1211" t="s">
        <v>250</v>
      </c>
      <c r="E1211" t="s">
        <v>43</v>
      </c>
      <c r="F1211" t="s">
        <v>57</v>
      </c>
      <c r="G1211" t="s">
        <v>16</v>
      </c>
      <c r="H1211">
        <v>3</v>
      </c>
      <c r="I1211">
        <v>46.63</v>
      </c>
      <c r="J1211" t="s">
        <v>28</v>
      </c>
      <c r="K1211" t="s">
        <v>21</v>
      </c>
      <c r="L1211">
        <f>WEEKDAY(Table1[[#This Row],[Transaction_Date]],2)</f>
        <v>2</v>
      </c>
      <c r="M1211">
        <f>IF(Table1[[#This Row],[Sale_Type]]="Buffet",1,0)</f>
        <v>0</v>
      </c>
    </row>
    <row r="1212" spans="1:13" x14ac:dyDescent="0.2">
      <c r="A1212" t="s">
        <v>1483</v>
      </c>
      <c r="B1212" t="s">
        <v>120</v>
      </c>
      <c r="C1212" s="1">
        <v>45987</v>
      </c>
      <c r="D1212" t="s">
        <v>13</v>
      </c>
      <c r="E1212" t="s">
        <v>14</v>
      </c>
      <c r="F1212" t="s">
        <v>15</v>
      </c>
      <c r="G1212" t="s">
        <v>16</v>
      </c>
      <c r="H1212">
        <v>1</v>
      </c>
      <c r="I1212">
        <v>36.56</v>
      </c>
      <c r="J1212" t="s">
        <v>34</v>
      </c>
      <c r="K1212" t="s">
        <v>18</v>
      </c>
      <c r="L1212">
        <f>WEEKDAY(Table1[[#This Row],[Transaction_Date]],2)</f>
        <v>3</v>
      </c>
      <c r="M1212">
        <f>IF(Table1[[#This Row],[Sale_Type]]="Buffet",1,0)</f>
        <v>0</v>
      </c>
    </row>
    <row r="1213" spans="1:13" x14ac:dyDescent="0.2">
      <c r="A1213" t="s">
        <v>1484</v>
      </c>
      <c r="B1213" t="s">
        <v>249</v>
      </c>
      <c r="C1213" s="1">
        <v>45987</v>
      </c>
      <c r="D1213" t="s">
        <v>13</v>
      </c>
      <c r="E1213" t="s">
        <v>14</v>
      </c>
      <c r="F1213" t="s">
        <v>15</v>
      </c>
      <c r="G1213" t="s">
        <v>16</v>
      </c>
      <c r="H1213">
        <v>2</v>
      </c>
      <c r="I1213">
        <v>101.63</v>
      </c>
      <c r="J1213" t="s">
        <v>17</v>
      </c>
      <c r="K1213" t="s">
        <v>18</v>
      </c>
      <c r="L1213">
        <f>WEEKDAY(Table1[[#This Row],[Transaction_Date]],2)</f>
        <v>3</v>
      </c>
      <c r="M1213">
        <f>IF(Table1[[#This Row],[Sale_Type]]="Buffet",1,0)</f>
        <v>0</v>
      </c>
    </row>
    <row r="1214" spans="1:13" x14ac:dyDescent="0.2">
      <c r="A1214" t="s">
        <v>1485</v>
      </c>
      <c r="B1214" t="s">
        <v>1067</v>
      </c>
      <c r="C1214" s="1">
        <v>45987</v>
      </c>
      <c r="D1214" t="s">
        <v>13</v>
      </c>
      <c r="E1214" t="s">
        <v>14</v>
      </c>
      <c r="F1214" t="s">
        <v>15</v>
      </c>
      <c r="G1214" t="s">
        <v>16</v>
      </c>
      <c r="H1214">
        <v>1</v>
      </c>
      <c r="I1214">
        <v>28.56</v>
      </c>
      <c r="J1214" t="s">
        <v>28</v>
      </c>
      <c r="K1214" t="s">
        <v>18</v>
      </c>
      <c r="L1214">
        <f>WEEKDAY(Table1[[#This Row],[Transaction_Date]],2)</f>
        <v>3</v>
      </c>
      <c r="M1214">
        <f>IF(Table1[[#This Row],[Sale_Type]]="Buffet",1,0)</f>
        <v>0</v>
      </c>
    </row>
    <row r="1215" spans="1:13" x14ac:dyDescent="0.2">
      <c r="A1215" t="s">
        <v>1486</v>
      </c>
      <c r="B1215" t="s">
        <v>323</v>
      </c>
      <c r="C1215" s="1">
        <v>45987</v>
      </c>
      <c r="D1215" t="s">
        <v>13</v>
      </c>
      <c r="E1215" t="s">
        <v>14</v>
      </c>
      <c r="F1215" t="s">
        <v>15</v>
      </c>
      <c r="G1215" t="s">
        <v>16</v>
      </c>
      <c r="H1215">
        <v>2</v>
      </c>
      <c r="I1215">
        <v>96.01</v>
      </c>
      <c r="J1215" t="s">
        <v>17</v>
      </c>
      <c r="K1215" t="s">
        <v>21</v>
      </c>
      <c r="L1215">
        <f>WEEKDAY(Table1[[#This Row],[Transaction_Date]],2)</f>
        <v>3</v>
      </c>
      <c r="M1215">
        <f>IF(Table1[[#This Row],[Sale_Type]]="Buffet",1,0)</f>
        <v>0</v>
      </c>
    </row>
    <row r="1216" spans="1:13" x14ac:dyDescent="0.2">
      <c r="A1216" t="s">
        <v>1487</v>
      </c>
      <c r="B1216" t="s">
        <v>467</v>
      </c>
      <c r="C1216" s="1">
        <v>45987</v>
      </c>
      <c r="D1216" t="s">
        <v>13</v>
      </c>
      <c r="E1216" t="s">
        <v>14</v>
      </c>
      <c r="F1216" t="s">
        <v>24</v>
      </c>
      <c r="G1216" t="s">
        <v>16</v>
      </c>
      <c r="H1216">
        <v>4</v>
      </c>
      <c r="I1216">
        <v>81.33</v>
      </c>
      <c r="J1216" t="s">
        <v>17</v>
      </c>
      <c r="K1216" t="s">
        <v>18</v>
      </c>
      <c r="L1216">
        <f>WEEKDAY(Table1[[#This Row],[Transaction_Date]],2)</f>
        <v>3</v>
      </c>
      <c r="M1216">
        <f>IF(Table1[[#This Row],[Sale_Type]]="Buffet",1,0)</f>
        <v>0</v>
      </c>
    </row>
    <row r="1217" spans="1:13" x14ac:dyDescent="0.2">
      <c r="A1217" t="s">
        <v>1488</v>
      </c>
      <c r="B1217" t="s">
        <v>1231</v>
      </c>
      <c r="C1217" s="1">
        <v>45987</v>
      </c>
      <c r="D1217" t="s">
        <v>13</v>
      </c>
      <c r="E1217" t="s">
        <v>14</v>
      </c>
      <c r="F1217" t="s">
        <v>27</v>
      </c>
      <c r="G1217" t="s">
        <v>16</v>
      </c>
      <c r="H1217">
        <v>1</v>
      </c>
      <c r="I1217">
        <v>50.85</v>
      </c>
      <c r="J1217" t="s">
        <v>34</v>
      </c>
      <c r="K1217" t="s">
        <v>18</v>
      </c>
      <c r="L1217">
        <f>WEEKDAY(Table1[[#This Row],[Transaction_Date]],2)</f>
        <v>3</v>
      </c>
      <c r="M1217">
        <f>IF(Table1[[#This Row],[Sale_Type]]="Buffet",1,0)</f>
        <v>0</v>
      </c>
    </row>
    <row r="1218" spans="1:13" x14ac:dyDescent="0.2">
      <c r="A1218" t="s">
        <v>1489</v>
      </c>
      <c r="B1218" t="s">
        <v>313</v>
      </c>
      <c r="C1218" s="1">
        <v>45987</v>
      </c>
      <c r="D1218" t="s">
        <v>13</v>
      </c>
      <c r="E1218" t="s">
        <v>14</v>
      </c>
      <c r="F1218" t="s">
        <v>27</v>
      </c>
      <c r="G1218" t="s">
        <v>16</v>
      </c>
      <c r="H1218">
        <v>6</v>
      </c>
      <c r="I1218">
        <v>200.25</v>
      </c>
      <c r="J1218" t="s">
        <v>34</v>
      </c>
      <c r="K1218" t="s">
        <v>18</v>
      </c>
      <c r="L1218">
        <f>WEEKDAY(Table1[[#This Row],[Transaction_Date]],2)</f>
        <v>3</v>
      </c>
      <c r="M1218">
        <f>IF(Table1[[#This Row],[Sale_Type]]="Buffet",1,0)</f>
        <v>0</v>
      </c>
    </row>
    <row r="1219" spans="1:13" x14ac:dyDescent="0.2">
      <c r="A1219" t="s">
        <v>1490</v>
      </c>
      <c r="B1219" t="s">
        <v>318</v>
      </c>
      <c r="C1219" s="1">
        <v>45987</v>
      </c>
      <c r="D1219" t="s">
        <v>13</v>
      </c>
      <c r="E1219" t="s">
        <v>14</v>
      </c>
      <c r="F1219" t="s">
        <v>31</v>
      </c>
      <c r="G1219" t="s">
        <v>16</v>
      </c>
      <c r="H1219">
        <v>3</v>
      </c>
      <c r="I1219">
        <v>74.709999999999994</v>
      </c>
      <c r="J1219" t="s">
        <v>28</v>
      </c>
      <c r="K1219" t="s">
        <v>18</v>
      </c>
      <c r="L1219">
        <f>WEEKDAY(Table1[[#This Row],[Transaction_Date]],2)</f>
        <v>3</v>
      </c>
      <c r="M1219">
        <f>IF(Table1[[#This Row],[Sale_Type]]="Buffet",1,0)</f>
        <v>0</v>
      </c>
    </row>
    <row r="1220" spans="1:13" x14ac:dyDescent="0.2">
      <c r="A1220" t="s">
        <v>1491</v>
      </c>
      <c r="B1220" t="s">
        <v>124</v>
      </c>
      <c r="C1220" s="1">
        <v>45987</v>
      </c>
      <c r="D1220" t="s">
        <v>13</v>
      </c>
      <c r="E1220" t="s">
        <v>14</v>
      </c>
      <c r="F1220" t="s">
        <v>31</v>
      </c>
      <c r="G1220" t="s">
        <v>16</v>
      </c>
      <c r="H1220">
        <v>3</v>
      </c>
      <c r="I1220">
        <v>49.94</v>
      </c>
      <c r="J1220" t="s">
        <v>17</v>
      </c>
      <c r="K1220" t="s">
        <v>18</v>
      </c>
      <c r="L1220">
        <f>WEEKDAY(Table1[[#This Row],[Transaction_Date]],2)</f>
        <v>3</v>
      </c>
      <c r="M1220">
        <f>IF(Table1[[#This Row],[Sale_Type]]="Buffet",1,0)</f>
        <v>0</v>
      </c>
    </row>
    <row r="1221" spans="1:13" x14ac:dyDescent="0.2">
      <c r="A1221" t="s">
        <v>1492</v>
      </c>
      <c r="B1221" t="s">
        <v>429</v>
      </c>
      <c r="C1221" s="1">
        <v>45987</v>
      </c>
      <c r="D1221" t="s">
        <v>13</v>
      </c>
      <c r="E1221" t="s">
        <v>14</v>
      </c>
      <c r="F1221" t="s">
        <v>40</v>
      </c>
      <c r="G1221" t="s">
        <v>16</v>
      </c>
      <c r="H1221">
        <v>2</v>
      </c>
      <c r="I1221">
        <v>66.63</v>
      </c>
      <c r="J1221" t="s">
        <v>17</v>
      </c>
      <c r="K1221" t="s">
        <v>18</v>
      </c>
      <c r="L1221">
        <f>WEEKDAY(Table1[[#This Row],[Transaction_Date]],2)</f>
        <v>3</v>
      </c>
      <c r="M1221">
        <f>IF(Table1[[#This Row],[Sale_Type]]="Buffet",1,0)</f>
        <v>0</v>
      </c>
    </row>
    <row r="1222" spans="1:13" x14ac:dyDescent="0.2">
      <c r="A1222" t="s">
        <v>1493</v>
      </c>
      <c r="B1222" t="s">
        <v>233</v>
      </c>
      <c r="C1222" s="1">
        <v>45987</v>
      </c>
      <c r="D1222" t="s">
        <v>13</v>
      </c>
      <c r="E1222" t="s">
        <v>14</v>
      </c>
      <c r="F1222" t="s">
        <v>40</v>
      </c>
      <c r="G1222" t="s">
        <v>16</v>
      </c>
      <c r="H1222">
        <v>2</v>
      </c>
      <c r="I1222">
        <v>54.39</v>
      </c>
      <c r="J1222" t="s">
        <v>28</v>
      </c>
      <c r="K1222" t="s">
        <v>18</v>
      </c>
      <c r="L1222">
        <f>WEEKDAY(Table1[[#This Row],[Transaction_Date]],2)</f>
        <v>3</v>
      </c>
      <c r="M1222">
        <f>IF(Table1[[#This Row],[Sale_Type]]="Buffet",1,0)</f>
        <v>0</v>
      </c>
    </row>
    <row r="1223" spans="1:13" x14ac:dyDescent="0.2">
      <c r="A1223" t="s">
        <v>1494</v>
      </c>
      <c r="B1223" t="s">
        <v>584</v>
      </c>
      <c r="C1223" s="1">
        <v>45987</v>
      </c>
      <c r="D1223" t="s">
        <v>13</v>
      </c>
      <c r="E1223" t="s">
        <v>14</v>
      </c>
      <c r="F1223" t="s">
        <v>40</v>
      </c>
      <c r="G1223" t="s">
        <v>16</v>
      </c>
      <c r="H1223">
        <v>4</v>
      </c>
      <c r="I1223">
        <v>82.62</v>
      </c>
      <c r="J1223" t="s">
        <v>28</v>
      </c>
      <c r="K1223" t="s">
        <v>18</v>
      </c>
      <c r="L1223">
        <f>WEEKDAY(Table1[[#This Row],[Transaction_Date]],2)</f>
        <v>3</v>
      </c>
      <c r="M1223">
        <f>IF(Table1[[#This Row],[Sale_Type]]="Buffet",1,0)</f>
        <v>0</v>
      </c>
    </row>
    <row r="1224" spans="1:13" x14ac:dyDescent="0.2">
      <c r="A1224" t="s">
        <v>1495</v>
      </c>
      <c r="B1224" t="s">
        <v>656</v>
      </c>
      <c r="C1224" s="1">
        <v>45987</v>
      </c>
      <c r="D1224" t="s">
        <v>13</v>
      </c>
      <c r="E1224" t="s">
        <v>43</v>
      </c>
      <c r="F1224" t="s">
        <v>44</v>
      </c>
      <c r="G1224" t="s">
        <v>45</v>
      </c>
      <c r="H1224">
        <v>3</v>
      </c>
      <c r="I1224">
        <v>73.5</v>
      </c>
      <c r="J1224" t="s">
        <v>28</v>
      </c>
      <c r="K1224" t="s">
        <v>21</v>
      </c>
      <c r="L1224">
        <f>WEEKDAY(Table1[[#This Row],[Transaction_Date]],2)</f>
        <v>3</v>
      </c>
      <c r="M1224">
        <f>IF(Table1[[#This Row],[Sale_Type]]="Buffet",1,0)</f>
        <v>1</v>
      </c>
    </row>
    <row r="1225" spans="1:13" x14ac:dyDescent="0.2">
      <c r="A1225" t="s">
        <v>1496</v>
      </c>
      <c r="B1225" t="s">
        <v>495</v>
      </c>
      <c r="C1225" s="1">
        <v>45987</v>
      </c>
      <c r="D1225" t="s">
        <v>13</v>
      </c>
      <c r="E1225" t="s">
        <v>43</v>
      </c>
      <c r="F1225" t="s">
        <v>44</v>
      </c>
      <c r="G1225" t="s">
        <v>16</v>
      </c>
      <c r="H1225">
        <v>2</v>
      </c>
      <c r="I1225">
        <v>50.52</v>
      </c>
      <c r="J1225" t="s">
        <v>17</v>
      </c>
      <c r="K1225" t="s">
        <v>18</v>
      </c>
      <c r="L1225">
        <f>WEEKDAY(Table1[[#This Row],[Transaction_Date]],2)</f>
        <v>3</v>
      </c>
      <c r="M1225">
        <f>IF(Table1[[#This Row],[Sale_Type]]="Buffet",1,0)</f>
        <v>0</v>
      </c>
    </row>
    <row r="1226" spans="1:13" x14ac:dyDescent="0.2">
      <c r="A1226" t="s">
        <v>1497</v>
      </c>
      <c r="B1226" t="s">
        <v>656</v>
      </c>
      <c r="C1226" s="1">
        <v>45987</v>
      </c>
      <c r="D1226" t="s">
        <v>13</v>
      </c>
      <c r="E1226" t="s">
        <v>43</v>
      </c>
      <c r="F1226" t="s">
        <v>44</v>
      </c>
      <c r="G1226" t="s">
        <v>45</v>
      </c>
      <c r="H1226">
        <v>2</v>
      </c>
      <c r="I1226">
        <v>49</v>
      </c>
      <c r="J1226" t="s">
        <v>17</v>
      </c>
      <c r="K1226" t="s">
        <v>18</v>
      </c>
      <c r="L1226">
        <f>WEEKDAY(Table1[[#This Row],[Transaction_Date]],2)</f>
        <v>3</v>
      </c>
      <c r="M1226">
        <f>IF(Table1[[#This Row],[Sale_Type]]="Buffet",1,0)</f>
        <v>1</v>
      </c>
    </row>
    <row r="1227" spans="1:13" x14ac:dyDescent="0.2">
      <c r="A1227" t="s">
        <v>1498</v>
      </c>
      <c r="B1227" t="s">
        <v>907</v>
      </c>
      <c r="C1227" s="1">
        <v>45987</v>
      </c>
      <c r="D1227" t="s">
        <v>13</v>
      </c>
      <c r="E1227" t="s">
        <v>43</v>
      </c>
      <c r="F1227" t="s">
        <v>50</v>
      </c>
      <c r="G1227" t="s">
        <v>45</v>
      </c>
      <c r="H1227">
        <v>3</v>
      </c>
      <c r="I1227">
        <v>64.5</v>
      </c>
      <c r="J1227" t="s">
        <v>17</v>
      </c>
      <c r="K1227" t="s">
        <v>18</v>
      </c>
      <c r="L1227">
        <f>WEEKDAY(Table1[[#This Row],[Transaction_Date]],2)</f>
        <v>3</v>
      </c>
      <c r="M1227">
        <f>IF(Table1[[#This Row],[Sale_Type]]="Buffet",1,0)</f>
        <v>1</v>
      </c>
    </row>
    <row r="1228" spans="1:13" x14ac:dyDescent="0.2">
      <c r="A1228" t="s">
        <v>1499</v>
      </c>
      <c r="B1228" t="s">
        <v>591</v>
      </c>
      <c r="C1228" s="1">
        <v>45987</v>
      </c>
      <c r="D1228" t="s">
        <v>13</v>
      </c>
      <c r="E1228" t="s">
        <v>43</v>
      </c>
      <c r="F1228" t="s">
        <v>50</v>
      </c>
      <c r="G1228" t="s">
        <v>45</v>
      </c>
      <c r="H1228">
        <v>6</v>
      </c>
      <c r="I1228">
        <v>142.5</v>
      </c>
      <c r="J1228" t="s">
        <v>17</v>
      </c>
      <c r="K1228" t="s">
        <v>18</v>
      </c>
      <c r="L1228">
        <f>WEEKDAY(Table1[[#This Row],[Transaction_Date]],2)</f>
        <v>3</v>
      </c>
      <c r="M1228">
        <f>IF(Table1[[#This Row],[Sale_Type]]="Buffet",1,0)</f>
        <v>1</v>
      </c>
    </row>
    <row r="1229" spans="1:13" x14ac:dyDescent="0.2">
      <c r="A1229" t="s">
        <v>1500</v>
      </c>
      <c r="B1229" t="s">
        <v>158</v>
      </c>
      <c r="C1229" s="1">
        <v>45987</v>
      </c>
      <c r="D1229" t="s">
        <v>13</v>
      </c>
      <c r="E1229" t="s">
        <v>43</v>
      </c>
      <c r="F1229" t="s">
        <v>50</v>
      </c>
      <c r="G1229" t="s">
        <v>16</v>
      </c>
      <c r="H1229">
        <v>6</v>
      </c>
      <c r="I1229">
        <v>90.06</v>
      </c>
      <c r="J1229" t="s">
        <v>17</v>
      </c>
      <c r="K1229" t="s">
        <v>21</v>
      </c>
      <c r="L1229">
        <f>WEEKDAY(Table1[[#This Row],[Transaction_Date]],2)</f>
        <v>3</v>
      </c>
      <c r="M1229">
        <f>IF(Table1[[#This Row],[Sale_Type]]="Buffet",1,0)</f>
        <v>0</v>
      </c>
    </row>
    <row r="1230" spans="1:13" x14ac:dyDescent="0.2">
      <c r="A1230" t="s">
        <v>1501</v>
      </c>
      <c r="B1230" t="s">
        <v>81</v>
      </c>
      <c r="C1230" s="1">
        <v>45987</v>
      </c>
      <c r="D1230" t="s">
        <v>13</v>
      </c>
      <c r="E1230" t="s">
        <v>43</v>
      </c>
      <c r="F1230" t="s">
        <v>50</v>
      </c>
      <c r="G1230" t="s">
        <v>45</v>
      </c>
      <c r="H1230">
        <v>4</v>
      </c>
      <c r="I1230">
        <v>89</v>
      </c>
      <c r="J1230" t="s">
        <v>34</v>
      </c>
      <c r="K1230" t="s">
        <v>18</v>
      </c>
      <c r="L1230">
        <f>WEEKDAY(Table1[[#This Row],[Transaction_Date]],2)</f>
        <v>3</v>
      </c>
      <c r="M1230">
        <f>IF(Table1[[#This Row],[Sale_Type]]="Buffet",1,0)</f>
        <v>1</v>
      </c>
    </row>
    <row r="1231" spans="1:13" x14ac:dyDescent="0.2">
      <c r="A1231" t="s">
        <v>1502</v>
      </c>
      <c r="B1231" t="s">
        <v>160</v>
      </c>
      <c r="C1231" s="1">
        <v>45987</v>
      </c>
      <c r="D1231" t="s">
        <v>13</v>
      </c>
      <c r="E1231" t="s">
        <v>43</v>
      </c>
      <c r="F1231" t="s">
        <v>50</v>
      </c>
      <c r="G1231" t="s">
        <v>45</v>
      </c>
      <c r="H1231">
        <v>1</v>
      </c>
      <c r="I1231">
        <v>24.5</v>
      </c>
      <c r="J1231" t="s">
        <v>28</v>
      </c>
      <c r="K1231" t="s">
        <v>18</v>
      </c>
      <c r="L1231">
        <f>WEEKDAY(Table1[[#This Row],[Transaction_Date]],2)</f>
        <v>3</v>
      </c>
      <c r="M1231">
        <f>IF(Table1[[#This Row],[Sale_Type]]="Buffet",1,0)</f>
        <v>1</v>
      </c>
    </row>
    <row r="1232" spans="1:13" x14ac:dyDescent="0.2">
      <c r="A1232" t="s">
        <v>1503</v>
      </c>
      <c r="B1232" t="s">
        <v>394</v>
      </c>
      <c r="C1232" s="1">
        <v>45987</v>
      </c>
      <c r="D1232" t="s">
        <v>13</v>
      </c>
      <c r="E1232" t="s">
        <v>43</v>
      </c>
      <c r="F1232" t="s">
        <v>53</v>
      </c>
      <c r="G1232" t="s">
        <v>45</v>
      </c>
      <c r="H1232">
        <v>3</v>
      </c>
      <c r="I1232">
        <v>64.5</v>
      </c>
      <c r="J1232" t="s">
        <v>28</v>
      </c>
      <c r="K1232" t="s">
        <v>18</v>
      </c>
      <c r="L1232">
        <f>WEEKDAY(Table1[[#This Row],[Transaction_Date]],2)</f>
        <v>3</v>
      </c>
      <c r="M1232">
        <f>IF(Table1[[#This Row],[Sale_Type]]="Buffet",1,0)</f>
        <v>1</v>
      </c>
    </row>
    <row r="1233" spans="1:13" x14ac:dyDescent="0.2">
      <c r="A1233" t="s">
        <v>1504</v>
      </c>
      <c r="B1233" t="s">
        <v>49</v>
      </c>
      <c r="C1233" s="1">
        <v>45987</v>
      </c>
      <c r="D1233" t="s">
        <v>13</v>
      </c>
      <c r="E1233" t="s">
        <v>43</v>
      </c>
      <c r="F1233" t="s">
        <v>53</v>
      </c>
      <c r="G1233" t="s">
        <v>45</v>
      </c>
      <c r="H1233">
        <v>4</v>
      </c>
      <c r="I1233">
        <v>84.5</v>
      </c>
      <c r="J1233" t="s">
        <v>17</v>
      </c>
      <c r="K1233" t="s">
        <v>18</v>
      </c>
      <c r="L1233">
        <f>WEEKDAY(Table1[[#This Row],[Transaction_Date]],2)</f>
        <v>3</v>
      </c>
      <c r="M1233">
        <f>IF(Table1[[#This Row],[Sale_Type]]="Buffet",1,0)</f>
        <v>1</v>
      </c>
    </row>
    <row r="1234" spans="1:13" x14ac:dyDescent="0.2">
      <c r="A1234" t="s">
        <v>1505</v>
      </c>
      <c r="B1234" t="s">
        <v>394</v>
      </c>
      <c r="C1234" s="1">
        <v>45987</v>
      </c>
      <c r="D1234" t="s">
        <v>13</v>
      </c>
      <c r="E1234" t="s">
        <v>43</v>
      </c>
      <c r="F1234" t="s">
        <v>57</v>
      </c>
      <c r="G1234" t="s">
        <v>45</v>
      </c>
      <c r="H1234">
        <v>2</v>
      </c>
      <c r="I1234">
        <v>40</v>
      </c>
      <c r="J1234" t="s">
        <v>34</v>
      </c>
      <c r="K1234" t="s">
        <v>18</v>
      </c>
      <c r="L1234">
        <f>WEEKDAY(Table1[[#This Row],[Transaction_Date]],2)</f>
        <v>3</v>
      </c>
      <c r="M1234">
        <f>IF(Table1[[#This Row],[Sale_Type]]="Buffet",1,0)</f>
        <v>1</v>
      </c>
    </row>
    <row r="1235" spans="1:13" x14ac:dyDescent="0.2">
      <c r="A1235" t="s">
        <v>1506</v>
      </c>
      <c r="B1235" t="s">
        <v>678</v>
      </c>
      <c r="C1235" s="1">
        <v>45987</v>
      </c>
      <c r="D1235" t="s">
        <v>13</v>
      </c>
      <c r="E1235" t="s">
        <v>43</v>
      </c>
      <c r="F1235" t="s">
        <v>57</v>
      </c>
      <c r="G1235" t="s">
        <v>45</v>
      </c>
      <c r="H1235">
        <v>3</v>
      </c>
      <c r="I1235">
        <v>64.5</v>
      </c>
      <c r="J1235" t="s">
        <v>34</v>
      </c>
      <c r="K1235" t="s">
        <v>18</v>
      </c>
      <c r="L1235">
        <f>WEEKDAY(Table1[[#This Row],[Transaction_Date]],2)</f>
        <v>3</v>
      </c>
      <c r="M1235">
        <f>IF(Table1[[#This Row],[Sale_Type]]="Buffet",1,0)</f>
        <v>1</v>
      </c>
    </row>
    <row r="1236" spans="1:13" x14ac:dyDescent="0.2">
      <c r="A1236" t="s">
        <v>1507</v>
      </c>
      <c r="B1236" t="s">
        <v>228</v>
      </c>
      <c r="C1236" s="1">
        <v>45987</v>
      </c>
      <c r="D1236" t="s">
        <v>13</v>
      </c>
      <c r="E1236" t="s">
        <v>43</v>
      </c>
      <c r="F1236" t="s">
        <v>57</v>
      </c>
      <c r="G1236" t="s">
        <v>45</v>
      </c>
      <c r="H1236">
        <v>1</v>
      </c>
      <c r="I1236">
        <v>20</v>
      </c>
      <c r="J1236" t="s">
        <v>34</v>
      </c>
      <c r="K1236" t="s">
        <v>18</v>
      </c>
      <c r="L1236">
        <f>WEEKDAY(Table1[[#This Row],[Transaction_Date]],2)</f>
        <v>3</v>
      </c>
      <c r="M1236">
        <f>IF(Table1[[#This Row],[Sale_Type]]="Buffet",1,0)</f>
        <v>1</v>
      </c>
    </row>
    <row r="1237" spans="1:13" x14ac:dyDescent="0.2">
      <c r="A1237" t="s">
        <v>1508</v>
      </c>
      <c r="B1237" t="s">
        <v>315</v>
      </c>
      <c r="C1237" s="1">
        <v>45988</v>
      </c>
      <c r="D1237" t="s">
        <v>62</v>
      </c>
      <c r="E1237" t="s">
        <v>14</v>
      </c>
      <c r="F1237" t="s">
        <v>15</v>
      </c>
      <c r="G1237" t="s">
        <v>16</v>
      </c>
      <c r="H1237">
        <v>4</v>
      </c>
      <c r="I1237">
        <v>135.47</v>
      </c>
      <c r="J1237" t="s">
        <v>34</v>
      </c>
      <c r="K1237" t="s">
        <v>18</v>
      </c>
      <c r="L1237">
        <f>WEEKDAY(Table1[[#This Row],[Transaction_Date]],2)</f>
        <v>4</v>
      </c>
      <c r="M1237">
        <f>IF(Table1[[#This Row],[Sale_Type]]="Buffet",1,0)</f>
        <v>0</v>
      </c>
    </row>
    <row r="1238" spans="1:13" x14ac:dyDescent="0.2">
      <c r="A1238" t="s">
        <v>1509</v>
      </c>
      <c r="B1238" t="s">
        <v>188</v>
      </c>
      <c r="C1238" s="1">
        <v>45988</v>
      </c>
      <c r="D1238" t="s">
        <v>62</v>
      </c>
      <c r="E1238" t="s">
        <v>14</v>
      </c>
      <c r="F1238" t="s">
        <v>15</v>
      </c>
      <c r="G1238" t="s">
        <v>16</v>
      </c>
      <c r="H1238">
        <v>2</v>
      </c>
      <c r="I1238">
        <v>45.15</v>
      </c>
      <c r="J1238" t="s">
        <v>17</v>
      </c>
      <c r="K1238" t="s">
        <v>18</v>
      </c>
      <c r="L1238">
        <f>WEEKDAY(Table1[[#This Row],[Transaction_Date]],2)</f>
        <v>4</v>
      </c>
      <c r="M1238">
        <f>IF(Table1[[#This Row],[Sale_Type]]="Buffet",1,0)</f>
        <v>0</v>
      </c>
    </row>
    <row r="1239" spans="1:13" x14ac:dyDescent="0.2">
      <c r="A1239" t="s">
        <v>1510</v>
      </c>
      <c r="B1239" t="s">
        <v>361</v>
      </c>
      <c r="C1239" s="1">
        <v>45988</v>
      </c>
      <c r="D1239" t="s">
        <v>62</v>
      </c>
      <c r="E1239" t="s">
        <v>14</v>
      </c>
      <c r="F1239" t="s">
        <v>24</v>
      </c>
      <c r="G1239" t="s">
        <v>16</v>
      </c>
      <c r="H1239">
        <v>4</v>
      </c>
      <c r="I1239">
        <v>178.01</v>
      </c>
      <c r="J1239" t="s">
        <v>34</v>
      </c>
      <c r="K1239" t="s">
        <v>21</v>
      </c>
      <c r="L1239">
        <f>WEEKDAY(Table1[[#This Row],[Transaction_Date]],2)</f>
        <v>4</v>
      </c>
      <c r="M1239">
        <f>IF(Table1[[#This Row],[Sale_Type]]="Buffet",1,0)</f>
        <v>0</v>
      </c>
    </row>
    <row r="1240" spans="1:13" x14ac:dyDescent="0.2">
      <c r="A1240" t="s">
        <v>1511</v>
      </c>
      <c r="B1240" t="s">
        <v>581</v>
      </c>
      <c r="C1240" s="1">
        <v>45988</v>
      </c>
      <c r="D1240" t="s">
        <v>62</v>
      </c>
      <c r="E1240" t="s">
        <v>14</v>
      </c>
      <c r="F1240" t="s">
        <v>24</v>
      </c>
      <c r="G1240" t="s">
        <v>16</v>
      </c>
      <c r="H1240">
        <v>2</v>
      </c>
      <c r="I1240">
        <v>120.28</v>
      </c>
      <c r="J1240" t="s">
        <v>17</v>
      </c>
      <c r="K1240" t="s">
        <v>18</v>
      </c>
      <c r="L1240">
        <f>WEEKDAY(Table1[[#This Row],[Transaction_Date]],2)</f>
        <v>4</v>
      </c>
      <c r="M1240">
        <f>IF(Table1[[#This Row],[Sale_Type]]="Buffet",1,0)</f>
        <v>0</v>
      </c>
    </row>
    <row r="1241" spans="1:13" x14ac:dyDescent="0.2">
      <c r="A1241" t="s">
        <v>1512</v>
      </c>
      <c r="B1241" t="s">
        <v>682</v>
      </c>
      <c r="C1241" s="1">
        <v>45988</v>
      </c>
      <c r="D1241" t="s">
        <v>62</v>
      </c>
      <c r="E1241" t="s">
        <v>14</v>
      </c>
      <c r="F1241" t="s">
        <v>24</v>
      </c>
      <c r="G1241" t="s">
        <v>16</v>
      </c>
      <c r="H1241">
        <v>2</v>
      </c>
      <c r="I1241">
        <v>26.35</v>
      </c>
      <c r="J1241" t="s">
        <v>17</v>
      </c>
      <c r="K1241" t="s">
        <v>18</v>
      </c>
      <c r="L1241">
        <f>WEEKDAY(Table1[[#This Row],[Transaction_Date]],2)</f>
        <v>4</v>
      </c>
      <c r="M1241">
        <f>IF(Table1[[#This Row],[Sale_Type]]="Buffet",1,0)</f>
        <v>0</v>
      </c>
    </row>
    <row r="1242" spans="1:13" x14ac:dyDescent="0.2">
      <c r="A1242" t="s">
        <v>1513</v>
      </c>
      <c r="B1242" t="s">
        <v>182</v>
      </c>
      <c r="C1242" s="1">
        <v>45988</v>
      </c>
      <c r="D1242" t="s">
        <v>62</v>
      </c>
      <c r="E1242" t="s">
        <v>14</v>
      </c>
      <c r="F1242" t="s">
        <v>27</v>
      </c>
      <c r="G1242" t="s">
        <v>16</v>
      </c>
      <c r="H1242">
        <v>3</v>
      </c>
      <c r="I1242">
        <v>94.18</v>
      </c>
      <c r="J1242" t="s">
        <v>17</v>
      </c>
      <c r="K1242" t="s">
        <v>18</v>
      </c>
      <c r="L1242">
        <f>WEEKDAY(Table1[[#This Row],[Transaction_Date]],2)</f>
        <v>4</v>
      </c>
      <c r="M1242">
        <f>IF(Table1[[#This Row],[Sale_Type]]="Buffet",1,0)</f>
        <v>0</v>
      </c>
    </row>
    <row r="1243" spans="1:13" x14ac:dyDescent="0.2">
      <c r="A1243" t="s">
        <v>1514</v>
      </c>
      <c r="B1243" t="s">
        <v>140</v>
      </c>
      <c r="C1243" s="1">
        <v>45988</v>
      </c>
      <c r="D1243" t="s">
        <v>62</v>
      </c>
      <c r="E1243" t="s">
        <v>14</v>
      </c>
      <c r="F1243" t="s">
        <v>27</v>
      </c>
      <c r="G1243" t="s">
        <v>16</v>
      </c>
      <c r="H1243">
        <v>2</v>
      </c>
      <c r="I1243">
        <v>105.06</v>
      </c>
      <c r="J1243" t="s">
        <v>17</v>
      </c>
      <c r="K1243" t="s">
        <v>18</v>
      </c>
      <c r="L1243">
        <f>WEEKDAY(Table1[[#This Row],[Transaction_Date]],2)</f>
        <v>4</v>
      </c>
      <c r="M1243">
        <f>IF(Table1[[#This Row],[Sale_Type]]="Buffet",1,0)</f>
        <v>0</v>
      </c>
    </row>
    <row r="1244" spans="1:13" x14ac:dyDescent="0.2">
      <c r="A1244" t="s">
        <v>1515</v>
      </c>
      <c r="B1244" t="s">
        <v>518</v>
      </c>
      <c r="C1244" s="1">
        <v>45988</v>
      </c>
      <c r="D1244" t="s">
        <v>62</v>
      </c>
      <c r="E1244" t="s">
        <v>14</v>
      </c>
      <c r="F1244" t="s">
        <v>27</v>
      </c>
      <c r="G1244" t="s">
        <v>16</v>
      </c>
      <c r="H1244">
        <v>3</v>
      </c>
      <c r="I1244">
        <v>71.25</v>
      </c>
      <c r="J1244" t="s">
        <v>34</v>
      </c>
      <c r="K1244" t="s">
        <v>18</v>
      </c>
      <c r="L1244">
        <f>WEEKDAY(Table1[[#This Row],[Transaction_Date]],2)</f>
        <v>4</v>
      </c>
      <c r="M1244">
        <f>IF(Table1[[#This Row],[Sale_Type]]="Buffet",1,0)</f>
        <v>0</v>
      </c>
    </row>
    <row r="1245" spans="1:13" x14ac:dyDescent="0.2">
      <c r="A1245" t="s">
        <v>1516</v>
      </c>
      <c r="B1245" t="s">
        <v>219</v>
      </c>
      <c r="C1245" s="1">
        <v>45988</v>
      </c>
      <c r="D1245" t="s">
        <v>62</v>
      </c>
      <c r="E1245" t="s">
        <v>14</v>
      </c>
      <c r="F1245" t="s">
        <v>31</v>
      </c>
      <c r="G1245" t="s">
        <v>16</v>
      </c>
      <c r="H1245">
        <v>3</v>
      </c>
      <c r="I1245">
        <v>87.6</v>
      </c>
      <c r="J1245" t="s">
        <v>34</v>
      </c>
      <c r="K1245" t="s">
        <v>18</v>
      </c>
      <c r="L1245">
        <f>WEEKDAY(Table1[[#This Row],[Transaction_Date]],2)</f>
        <v>4</v>
      </c>
      <c r="M1245">
        <f>IF(Table1[[#This Row],[Sale_Type]]="Buffet",1,0)</f>
        <v>0</v>
      </c>
    </row>
    <row r="1246" spans="1:13" x14ac:dyDescent="0.2">
      <c r="A1246" t="s">
        <v>1517</v>
      </c>
      <c r="B1246" t="s">
        <v>369</v>
      </c>
      <c r="C1246" s="1">
        <v>45988</v>
      </c>
      <c r="D1246" t="s">
        <v>62</v>
      </c>
      <c r="E1246" t="s">
        <v>14</v>
      </c>
      <c r="F1246" t="s">
        <v>40</v>
      </c>
      <c r="G1246" t="s">
        <v>16</v>
      </c>
      <c r="H1246">
        <v>2</v>
      </c>
      <c r="I1246">
        <v>59.19</v>
      </c>
      <c r="J1246" t="s">
        <v>17</v>
      </c>
      <c r="K1246" t="s">
        <v>21</v>
      </c>
      <c r="L1246">
        <f>WEEKDAY(Table1[[#This Row],[Transaction_Date]],2)</f>
        <v>4</v>
      </c>
      <c r="M1246">
        <f>IF(Table1[[#This Row],[Sale_Type]]="Buffet",1,0)</f>
        <v>0</v>
      </c>
    </row>
    <row r="1247" spans="1:13" x14ac:dyDescent="0.2">
      <c r="A1247" t="s">
        <v>1518</v>
      </c>
      <c r="B1247" t="s">
        <v>313</v>
      </c>
      <c r="C1247" s="1">
        <v>45988</v>
      </c>
      <c r="D1247" t="s">
        <v>62</v>
      </c>
      <c r="E1247" t="s">
        <v>14</v>
      </c>
      <c r="F1247" t="s">
        <v>40</v>
      </c>
      <c r="G1247" t="s">
        <v>16</v>
      </c>
      <c r="H1247">
        <v>1</v>
      </c>
      <c r="I1247">
        <v>40.06</v>
      </c>
      <c r="J1247" t="s">
        <v>28</v>
      </c>
      <c r="K1247" t="s">
        <v>18</v>
      </c>
      <c r="L1247">
        <f>WEEKDAY(Table1[[#This Row],[Transaction_Date]],2)</f>
        <v>4</v>
      </c>
      <c r="M1247">
        <f>IF(Table1[[#This Row],[Sale_Type]]="Buffet",1,0)</f>
        <v>0</v>
      </c>
    </row>
    <row r="1248" spans="1:13" x14ac:dyDescent="0.2">
      <c r="A1248" t="s">
        <v>1519</v>
      </c>
      <c r="B1248" t="s">
        <v>483</v>
      </c>
      <c r="C1248" s="1">
        <v>45988</v>
      </c>
      <c r="D1248" t="s">
        <v>62</v>
      </c>
      <c r="E1248" t="s">
        <v>43</v>
      </c>
      <c r="F1248" t="s">
        <v>44</v>
      </c>
      <c r="G1248" t="s">
        <v>16</v>
      </c>
      <c r="H1248">
        <v>2</v>
      </c>
      <c r="I1248">
        <v>37.14</v>
      </c>
      <c r="J1248" t="s">
        <v>17</v>
      </c>
      <c r="K1248" t="s">
        <v>18</v>
      </c>
      <c r="L1248">
        <f>WEEKDAY(Table1[[#This Row],[Transaction_Date]],2)</f>
        <v>4</v>
      </c>
      <c r="M1248">
        <f>IF(Table1[[#This Row],[Sale_Type]]="Buffet",1,0)</f>
        <v>0</v>
      </c>
    </row>
    <row r="1249" spans="1:13" x14ac:dyDescent="0.2">
      <c r="A1249" t="s">
        <v>1520</v>
      </c>
      <c r="B1249" t="s">
        <v>309</v>
      </c>
      <c r="C1249" s="1">
        <v>45988</v>
      </c>
      <c r="D1249" t="s">
        <v>62</v>
      </c>
      <c r="E1249" t="s">
        <v>43</v>
      </c>
      <c r="F1249" t="s">
        <v>44</v>
      </c>
      <c r="G1249" t="s">
        <v>45</v>
      </c>
      <c r="H1249">
        <v>1</v>
      </c>
      <c r="I1249">
        <v>20</v>
      </c>
      <c r="J1249" t="s">
        <v>28</v>
      </c>
      <c r="K1249" t="s">
        <v>18</v>
      </c>
      <c r="L1249">
        <f>WEEKDAY(Table1[[#This Row],[Transaction_Date]],2)</f>
        <v>4</v>
      </c>
      <c r="M1249">
        <f>IF(Table1[[#This Row],[Sale_Type]]="Buffet",1,0)</f>
        <v>1</v>
      </c>
    </row>
    <row r="1250" spans="1:13" x14ac:dyDescent="0.2">
      <c r="A1250" t="s">
        <v>1521</v>
      </c>
      <c r="B1250" t="s">
        <v>341</v>
      </c>
      <c r="C1250" s="1">
        <v>45988</v>
      </c>
      <c r="D1250" t="s">
        <v>62</v>
      </c>
      <c r="E1250" t="s">
        <v>43</v>
      </c>
      <c r="F1250" t="s">
        <v>50</v>
      </c>
      <c r="G1250" t="s">
        <v>16</v>
      </c>
      <c r="H1250">
        <v>3</v>
      </c>
      <c r="I1250">
        <v>47.17</v>
      </c>
      <c r="J1250" t="s">
        <v>28</v>
      </c>
      <c r="K1250" t="s">
        <v>18</v>
      </c>
      <c r="L1250">
        <f>WEEKDAY(Table1[[#This Row],[Transaction_Date]],2)</f>
        <v>4</v>
      </c>
      <c r="M1250">
        <f>IF(Table1[[#This Row],[Sale_Type]]="Buffet",1,0)</f>
        <v>0</v>
      </c>
    </row>
    <row r="1251" spans="1:13" x14ac:dyDescent="0.2">
      <c r="A1251" t="s">
        <v>1522</v>
      </c>
      <c r="B1251" t="s">
        <v>864</v>
      </c>
      <c r="C1251" s="1">
        <v>45988</v>
      </c>
      <c r="D1251" t="s">
        <v>62</v>
      </c>
      <c r="E1251" t="s">
        <v>43</v>
      </c>
      <c r="F1251" t="s">
        <v>50</v>
      </c>
      <c r="G1251" t="s">
        <v>45</v>
      </c>
      <c r="H1251">
        <v>5</v>
      </c>
      <c r="I1251">
        <v>104.5</v>
      </c>
      <c r="J1251" t="s">
        <v>34</v>
      </c>
      <c r="K1251" t="s">
        <v>18</v>
      </c>
      <c r="L1251">
        <f>WEEKDAY(Table1[[#This Row],[Transaction_Date]],2)</f>
        <v>4</v>
      </c>
      <c r="M1251">
        <f>IF(Table1[[#This Row],[Sale_Type]]="Buffet",1,0)</f>
        <v>1</v>
      </c>
    </row>
    <row r="1252" spans="1:13" x14ac:dyDescent="0.2">
      <c r="A1252" t="s">
        <v>1523</v>
      </c>
      <c r="B1252" t="s">
        <v>412</v>
      </c>
      <c r="C1252" s="1">
        <v>45988</v>
      </c>
      <c r="D1252" t="s">
        <v>62</v>
      </c>
      <c r="E1252" t="s">
        <v>43</v>
      </c>
      <c r="F1252" t="s">
        <v>50</v>
      </c>
      <c r="G1252" t="s">
        <v>16</v>
      </c>
      <c r="H1252">
        <v>5</v>
      </c>
      <c r="I1252">
        <v>52.44</v>
      </c>
      <c r="J1252" t="s">
        <v>34</v>
      </c>
      <c r="K1252" t="s">
        <v>18</v>
      </c>
      <c r="L1252">
        <f>WEEKDAY(Table1[[#This Row],[Transaction_Date]],2)</f>
        <v>4</v>
      </c>
      <c r="M1252">
        <f>IF(Table1[[#This Row],[Sale_Type]]="Buffet",1,0)</f>
        <v>0</v>
      </c>
    </row>
    <row r="1253" spans="1:13" x14ac:dyDescent="0.2">
      <c r="A1253" t="s">
        <v>1524</v>
      </c>
      <c r="B1253" t="s">
        <v>864</v>
      </c>
      <c r="C1253" s="1">
        <v>45988</v>
      </c>
      <c r="D1253" t="s">
        <v>62</v>
      </c>
      <c r="E1253" t="s">
        <v>43</v>
      </c>
      <c r="F1253" t="s">
        <v>53</v>
      </c>
      <c r="G1253" t="s">
        <v>16</v>
      </c>
      <c r="H1253">
        <v>3</v>
      </c>
      <c r="I1253">
        <v>76.650000000000006</v>
      </c>
      <c r="J1253" t="s">
        <v>17</v>
      </c>
      <c r="K1253" t="s">
        <v>18</v>
      </c>
      <c r="L1253">
        <f>WEEKDAY(Table1[[#This Row],[Transaction_Date]],2)</f>
        <v>4</v>
      </c>
      <c r="M1253">
        <f>IF(Table1[[#This Row],[Sale_Type]]="Buffet",1,0)</f>
        <v>0</v>
      </c>
    </row>
    <row r="1254" spans="1:13" x14ac:dyDescent="0.2">
      <c r="A1254" t="s">
        <v>1525</v>
      </c>
      <c r="B1254" t="s">
        <v>647</v>
      </c>
      <c r="C1254" s="1">
        <v>45988</v>
      </c>
      <c r="D1254" t="s">
        <v>62</v>
      </c>
      <c r="E1254" t="s">
        <v>43</v>
      </c>
      <c r="F1254" t="s">
        <v>53</v>
      </c>
      <c r="G1254" t="s">
        <v>16</v>
      </c>
      <c r="H1254">
        <v>3</v>
      </c>
      <c r="I1254">
        <v>43.03</v>
      </c>
      <c r="J1254" t="s">
        <v>17</v>
      </c>
      <c r="K1254" t="s">
        <v>18</v>
      </c>
      <c r="L1254">
        <f>WEEKDAY(Table1[[#This Row],[Transaction_Date]],2)</f>
        <v>4</v>
      </c>
      <c r="M1254">
        <f>IF(Table1[[#This Row],[Sale_Type]]="Buffet",1,0)</f>
        <v>0</v>
      </c>
    </row>
    <row r="1255" spans="1:13" x14ac:dyDescent="0.2">
      <c r="A1255" t="s">
        <v>1526</v>
      </c>
      <c r="B1255" t="s">
        <v>647</v>
      </c>
      <c r="C1255" s="1">
        <v>45988</v>
      </c>
      <c r="D1255" t="s">
        <v>62</v>
      </c>
      <c r="E1255" t="s">
        <v>43</v>
      </c>
      <c r="F1255" t="s">
        <v>53</v>
      </c>
      <c r="G1255" t="s">
        <v>45</v>
      </c>
      <c r="H1255">
        <v>3</v>
      </c>
      <c r="I1255">
        <v>64.5</v>
      </c>
      <c r="J1255" t="s">
        <v>28</v>
      </c>
      <c r="K1255" t="s">
        <v>18</v>
      </c>
      <c r="L1255">
        <f>WEEKDAY(Table1[[#This Row],[Transaction_Date]],2)</f>
        <v>4</v>
      </c>
      <c r="M1255">
        <f>IF(Table1[[#This Row],[Sale_Type]]="Buffet",1,0)</f>
        <v>1</v>
      </c>
    </row>
    <row r="1256" spans="1:13" x14ac:dyDescent="0.2">
      <c r="A1256" t="s">
        <v>1527</v>
      </c>
      <c r="B1256" t="s">
        <v>332</v>
      </c>
      <c r="C1256" s="1">
        <v>45988</v>
      </c>
      <c r="D1256" t="s">
        <v>62</v>
      </c>
      <c r="E1256" t="s">
        <v>43</v>
      </c>
      <c r="F1256" t="s">
        <v>53</v>
      </c>
      <c r="G1256" t="s">
        <v>45</v>
      </c>
      <c r="H1256">
        <v>1</v>
      </c>
      <c r="I1256">
        <v>20</v>
      </c>
      <c r="J1256" t="s">
        <v>34</v>
      </c>
      <c r="K1256" t="s">
        <v>18</v>
      </c>
      <c r="L1256">
        <f>WEEKDAY(Table1[[#This Row],[Transaction_Date]],2)</f>
        <v>4</v>
      </c>
      <c r="M1256">
        <f>IF(Table1[[#This Row],[Sale_Type]]="Buffet",1,0)</f>
        <v>1</v>
      </c>
    </row>
    <row r="1257" spans="1:13" x14ac:dyDescent="0.2">
      <c r="A1257" t="s">
        <v>1528</v>
      </c>
      <c r="B1257" t="s">
        <v>356</v>
      </c>
      <c r="C1257" s="1">
        <v>45988</v>
      </c>
      <c r="D1257" t="s">
        <v>62</v>
      </c>
      <c r="E1257" t="s">
        <v>43</v>
      </c>
      <c r="F1257" t="s">
        <v>57</v>
      </c>
      <c r="G1257" t="s">
        <v>45</v>
      </c>
      <c r="H1257">
        <v>3</v>
      </c>
      <c r="I1257">
        <v>64.5</v>
      </c>
      <c r="J1257" t="s">
        <v>17</v>
      </c>
      <c r="K1257" t="s">
        <v>18</v>
      </c>
      <c r="L1257">
        <f>WEEKDAY(Table1[[#This Row],[Transaction_Date]],2)</f>
        <v>4</v>
      </c>
      <c r="M1257">
        <f>IF(Table1[[#This Row],[Sale_Type]]="Buffet",1,0)</f>
        <v>1</v>
      </c>
    </row>
    <row r="1258" spans="1:13" x14ac:dyDescent="0.2">
      <c r="A1258" t="s">
        <v>1529</v>
      </c>
      <c r="B1258" t="s">
        <v>379</v>
      </c>
      <c r="C1258" s="1">
        <v>45988</v>
      </c>
      <c r="D1258" t="s">
        <v>62</v>
      </c>
      <c r="E1258" t="s">
        <v>43</v>
      </c>
      <c r="F1258" t="s">
        <v>57</v>
      </c>
      <c r="G1258" t="s">
        <v>16</v>
      </c>
      <c r="H1258">
        <v>4</v>
      </c>
      <c r="I1258">
        <v>55.65</v>
      </c>
      <c r="J1258" t="s">
        <v>34</v>
      </c>
      <c r="K1258" t="s">
        <v>18</v>
      </c>
      <c r="L1258">
        <f>WEEKDAY(Table1[[#This Row],[Transaction_Date]],2)</f>
        <v>4</v>
      </c>
      <c r="M1258">
        <f>IF(Table1[[#This Row],[Sale_Type]]="Buffet",1,0)</f>
        <v>0</v>
      </c>
    </row>
    <row r="1259" spans="1:13" x14ac:dyDescent="0.2">
      <c r="A1259" t="s">
        <v>1530</v>
      </c>
      <c r="B1259" t="s">
        <v>379</v>
      </c>
      <c r="C1259" s="1">
        <v>45989</v>
      </c>
      <c r="D1259" t="s">
        <v>96</v>
      </c>
      <c r="E1259" t="s">
        <v>14</v>
      </c>
      <c r="F1259" t="s">
        <v>15</v>
      </c>
      <c r="G1259" t="s">
        <v>16</v>
      </c>
      <c r="H1259">
        <v>3</v>
      </c>
      <c r="I1259">
        <v>105.03</v>
      </c>
      <c r="J1259" t="s">
        <v>34</v>
      </c>
      <c r="K1259" t="s">
        <v>18</v>
      </c>
      <c r="L1259">
        <f>WEEKDAY(Table1[[#This Row],[Transaction_Date]],2)</f>
        <v>5</v>
      </c>
      <c r="M1259">
        <f>IF(Table1[[#This Row],[Sale_Type]]="Buffet",1,0)</f>
        <v>0</v>
      </c>
    </row>
    <row r="1260" spans="1:13" x14ac:dyDescent="0.2">
      <c r="A1260" t="s">
        <v>1531</v>
      </c>
      <c r="B1260" t="s">
        <v>579</v>
      </c>
      <c r="C1260" s="1">
        <v>45989</v>
      </c>
      <c r="D1260" t="s">
        <v>96</v>
      </c>
      <c r="E1260" t="s">
        <v>14</v>
      </c>
      <c r="F1260" t="s">
        <v>15</v>
      </c>
      <c r="G1260" t="s">
        <v>16</v>
      </c>
      <c r="H1260">
        <v>5</v>
      </c>
      <c r="I1260">
        <v>81.540000000000006</v>
      </c>
      <c r="J1260" t="s">
        <v>17</v>
      </c>
      <c r="K1260" t="s">
        <v>18</v>
      </c>
      <c r="L1260">
        <f>WEEKDAY(Table1[[#This Row],[Transaction_Date]],2)</f>
        <v>5</v>
      </c>
      <c r="M1260">
        <f>IF(Table1[[#This Row],[Sale_Type]]="Buffet",1,0)</f>
        <v>0</v>
      </c>
    </row>
    <row r="1261" spans="1:13" x14ac:dyDescent="0.2">
      <c r="A1261" t="s">
        <v>1532</v>
      </c>
      <c r="B1261" t="s">
        <v>440</v>
      </c>
      <c r="C1261" s="1">
        <v>45989</v>
      </c>
      <c r="D1261" t="s">
        <v>96</v>
      </c>
      <c r="E1261" t="s">
        <v>14</v>
      </c>
      <c r="F1261" t="s">
        <v>15</v>
      </c>
      <c r="G1261" t="s">
        <v>16</v>
      </c>
      <c r="H1261">
        <v>4</v>
      </c>
      <c r="I1261">
        <v>85.78</v>
      </c>
      <c r="J1261" t="s">
        <v>28</v>
      </c>
      <c r="K1261" t="s">
        <v>18</v>
      </c>
      <c r="L1261">
        <f>WEEKDAY(Table1[[#This Row],[Transaction_Date]],2)</f>
        <v>5</v>
      </c>
      <c r="M1261">
        <f>IF(Table1[[#This Row],[Sale_Type]]="Buffet",1,0)</f>
        <v>0</v>
      </c>
    </row>
    <row r="1262" spans="1:13" x14ac:dyDescent="0.2">
      <c r="A1262" t="s">
        <v>1533</v>
      </c>
      <c r="B1262" t="s">
        <v>419</v>
      </c>
      <c r="C1262" s="1">
        <v>45989</v>
      </c>
      <c r="D1262" t="s">
        <v>96</v>
      </c>
      <c r="E1262" t="s">
        <v>14</v>
      </c>
      <c r="F1262" t="s">
        <v>24</v>
      </c>
      <c r="G1262" t="s">
        <v>16</v>
      </c>
      <c r="H1262">
        <v>1</v>
      </c>
      <c r="I1262">
        <v>38.92</v>
      </c>
      <c r="J1262" t="s">
        <v>17</v>
      </c>
      <c r="K1262" t="s">
        <v>18</v>
      </c>
      <c r="L1262">
        <f>WEEKDAY(Table1[[#This Row],[Transaction_Date]],2)</f>
        <v>5</v>
      </c>
      <c r="M1262">
        <f>IF(Table1[[#This Row],[Sale_Type]]="Buffet",1,0)</f>
        <v>0</v>
      </c>
    </row>
    <row r="1263" spans="1:13" x14ac:dyDescent="0.2">
      <c r="A1263" t="s">
        <v>1534</v>
      </c>
      <c r="B1263" t="s">
        <v>156</v>
      </c>
      <c r="C1263" s="1">
        <v>45989</v>
      </c>
      <c r="D1263" t="s">
        <v>96</v>
      </c>
      <c r="E1263" t="s">
        <v>14</v>
      </c>
      <c r="F1263" t="s">
        <v>24</v>
      </c>
      <c r="G1263" t="s">
        <v>16</v>
      </c>
      <c r="H1263">
        <v>3</v>
      </c>
      <c r="I1263">
        <v>120.16</v>
      </c>
      <c r="J1263" t="s">
        <v>17</v>
      </c>
      <c r="K1263" t="s">
        <v>18</v>
      </c>
      <c r="L1263">
        <f>WEEKDAY(Table1[[#This Row],[Transaction_Date]],2)</f>
        <v>5</v>
      </c>
      <c r="M1263">
        <f>IF(Table1[[#This Row],[Sale_Type]]="Buffet",1,0)</f>
        <v>0</v>
      </c>
    </row>
    <row r="1264" spans="1:13" x14ac:dyDescent="0.2">
      <c r="A1264" t="s">
        <v>1535</v>
      </c>
      <c r="B1264" t="s">
        <v>412</v>
      </c>
      <c r="C1264" s="1">
        <v>45989</v>
      </c>
      <c r="D1264" t="s">
        <v>96</v>
      </c>
      <c r="E1264" t="s">
        <v>14</v>
      </c>
      <c r="F1264" t="s">
        <v>24</v>
      </c>
      <c r="G1264" t="s">
        <v>16</v>
      </c>
      <c r="H1264">
        <v>4</v>
      </c>
      <c r="I1264">
        <v>272.5</v>
      </c>
      <c r="J1264" t="s">
        <v>28</v>
      </c>
      <c r="K1264" t="s">
        <v>18</v>
      </c>
      <c r="L1264">
        <f>WEEKDAY(Table1[[#This Row],[Transaction_Date]],2)</f>
        <v>5</v>
      </c>
      <c r="M1264">
        <f>IF(Table1[[#This Row],[Sale_Type]]="Buffet",1,0)</f>
        <v>0</v>
      </c>
    </row>
    <row r="1265" spans="1:13" x14ac:dyDescent="0.2">
      <c r="A1265" t="s">
        <v>1536</v>
      </c>
      <c r="B1265" t="s">
        <v>346</v>
      </c>
      <c r="C1265" s="1">
        <v>45989</v>
      </c>
      <c r="D1265" t="s">
        <v>96</v>
      </c>
      <c r="E1265" t="s">
        <v>14</v>
      </c>
      <c r="F1265" t="s">
        <v>24</v>
      </c>
      <c r="G1265" t="s">
        <v>16</v>
      </c>
      <c r="H1265">
        <v>4</v>
      </c>
      <c r="I1265">
        <v>163.36000000000001</v>
      </c>
      <c r="J1265" t="s">
        <v>34</v>
      </c>
      <c r="K1265" t="s">
        <v>18</v>
      </c>
      <c r="L1265">
        <f>WEEKDAY(Table1[[#This Row],[Transaction_Date]],2)</f>
        <v>5</v>
      </c>
      <c r="M1265">
        <f>IF(Table1[[#This Row],[Sale_Type]]="Buffet",1,0)</f>
        <v>0</v>
      </c>
    </row>
    <row r="1266" spans="1:13" x14ac:dyDescent="0.2">
      <c r="A1266" t="s">
        <v>1537</v>
      </c>
      <c r="B1266" t="s">
        <v>122</v>
      </c>
      <c r="C1266" s="1">
        <v>45989</v>
      </c>
      <c r="D1266" t="s">
        <v>96</v>
      </c>
      <c r="E1266" t="s">
        <v>14</v>
      </c>
      <c r="F1266" t="s">
        <v>27</v>
      </c>
      <c r="G1266" t="s">
        <v>16</v>
      </c>
      <c r="H1266">
        <v>3</v>
      </c>
      <c r="I1266">
        <v>179.22</v>
      </c>
      <c r="J1266" t="s">
        <v>34</v>
      </c>
      <c r="K1266" t="s">
        <v>21</v>
      </c>
      <c r="L1266">
        <f>WEEKDAY(Table1[[#This Row],[Transaction_Date]],2)</f>
        <v>5</v>
      </c>
      <c r="M1266">
        <f>IF(Table1[[#This Row],[Sale_Type]]="Buffet",1,0)</f>
        <v>0</v>
      </c>
    </row>
    <row r="1267" spans="1:13" x14ac:dyDescent="0.2">
      <c r="A1267" t="s">
        <v>1538</v>
      </c>
      <c r="B1267" t="s">
        <v>789</v>
      </c>
      <c r="C1267" s="1">
        <v>45989</v>
      </c>
      <c r="D1267" t="s">
        <v>96</v>
      </c>
      <c r="E1267" t="s">
        <v>14</v>
      </c>
      <c r="F1267" t="s">
        <v>27</v>
      </c>
      <c r="G1267" t="s">
        <v>16</v>
      </c>
      <c r="H1267">
        <v>3</v>
      </c>
      <c r="I1267">
        <v>90.35</v>
      </c>
      <c r="J1267" t="s">
        <v>28</v>
      </c>
      <c r="K1267" t="s">
        <v>21</v>
      </c>
      <c r="L1267">
        <f>WEEKDAY(Table1[[#This Row],[Transaction_Date]],2)</f>
        <v>5</v>
      </c>
      <c r="M1267">
        <f>IF(Table1[[#This Row],[Sale_Type]]="Buffet",1,0)</f>
        <v>0</v>
      </c>
    </row>
    <row r="1268" spans="1:13" x14ac:dyDescent="0.2">
      <c r="A1268" t="s">
        <v>1539</v>
      </c>
      <c r="B1268" t="s">
        <v>258</v>
      </c>
      <c r="C1268" s="1">
        <v>45989</v>
      </c>
      <c r="D1268" t="s">
        <v>96</v>
      </c>
      <c r="E1268" t="s">
        <v>14</v>
      </c>
      <c r="F1268" t="s">
        <v>31</v>
      </c>
      <c r="G1268" t="s">
        <v>16</v>
      </c>
      <c r="H1268">
        <v>4</v>
      </c>
      <c r="I1268">
        <v>99.4</v>
      </c>
      <c r="J1268" t="s">
        <v>17</v>
      </c>
      <c r="K1268" t="s">
        <v>21</v>
      </c>
      <c r="L1268">
        <f>WEEKDAY(Table1[[#This Row],[Transaction_Date]],2)</f>
        <v>5</v>
      </c>
      <c r="M1268">
        <f>IF(Table1[[#This Row],[Sale_Type]]="Buffet",1,0)</f>
        <v>0</v>
      </c>
    </row>
    <row r="1269" spans="1:13" x14ac:dyDescent="0.2">
      <c r="A1269" t="s">
        <v>1540</v>
      </c>
      <c r="B1269" t="s">
        <v>117</v>
      </c>
      <c r="C1269" s="1">
        <v>45989</v>
      </c>
      <c r="D1269" t="s">
        <v>96</v>
      </c>
      <c r="E1269" t="s">
        <v>14</v>
      </c>
      <c r="F1269" t="s">
        <v>31</v>
      </c>
      <c r="G1269" t="s">
        <v>16</v>
      </c>
      <c r="H1269">
        <v>4</v>
      </c>
      <c r="I1269">
        <v>177.45</v>
      </c>
      <c r="J1269" t="s">
        <v>17</v>
      </c>
      <c r="K1269" t="s">
        <v>18</v>
      </c>
      <c r="L1269">
        <f>WEEKDAY(Table1[[#This Row],[Transaction_Date]],2)</f>
        <v>5</v>
      </c>
      <c r="M1269">
        <f>IF(Table1[[#This Row],[Sale_Type]]="Buffet",1,0)</f>
        <v>0</v>
      </c>
    </row>
    <row r="1270" spans="1:13" x14ac:dyDescent="0.2">
      <c r="A1270" t="s">
        <v>1541</v>
      </c>
      <c r="B1270" t="s">
        <v>61</v>
      </c>
      <c r="C1270" s="1">
        <v>45989</v>
      </c>
      <c r="D1270" t="s">
        <v>96</v>
      </c>
      <c r="E1270" t="s">
        <v>14</v>
      </c>
      <c r="F1270" t="s">
        <v>40</v>
      </c>
      <c r="G1270" t="s">
        <v>16</v>
      </c>
      <c r="H1270">
        <v>2</v>
      </c>
      <c r="I1270">
        <v>33.090000000000003</v>
      </c>
      <c r="J1270" t="s">
        <v>34</v>
      </c>
      <c r="K1270" t="s">
        <v>18</v>
      </c>
      <c r="L1270">
        <f>WEEKDAY(Table1[[#This Row],[Transaction_Date]],2)</f>
        <v>5</v>
      </c>
      <c r="M1270">
        <f>IF(Table1[[#This Row],[Sale_Type]]="Buffet",1,0)</f>
        <v>0</v>
      </c>
    </row>
    <row r="1271" spans="1:13" x14ac:dyDescent="0.2">
      <c r="A1271" t="s">
        <v>1542</v>
      </c>
      <c r="B1271" t="s">
        <v>423</v>
      </c>
      <c r="C1271" s="1">
        <v>45989</v>
      </c>
      <c r="D1271" t="s">
        <v>96</v>
      </c>
      <c r="E1271" t="s">
        <v>43</v>
      </c>
      <c r="F1271" t="s">
        <v>44</v>
      </c>
      <c r="G1271" t="s">
        <v>45</v>
      </c>
      <c r="H1271">
        <v>1</v>
      </c>
      <c r="I1271">
        <v>20</v>
      </c>
      <c r="J1271" t="s">
        <v>17</v>
      </c>
      <c r="K1271" t="s">
        <v>21</v>
      </c>
      <c r="L1271">
        <f>WEEKDAY(Table1[[#This Row],[Transaction_Date]],2)</f>
        <v>5</v>
      </c>
      <c r="M1271">
        <f>IF(Table1[[#This Row],[Sale_Type]]="Buffet",1,0)</f>
        <v>1</v>
      </c>
    </row>
    <row r="1272" spans="1:13" x14ac:dyDescent="0.2">
      <c r="A1272" t="s">
        <v>1543</v>
      </c>
      <c r="B1272" t="s">
        <v>93</v>
      </c>
      <c r="C1272" s="1">
        <v>45989</v>
      </c>
      <c r="D1272" t="s">
        <v>96</v>
      </c>
      <c r="E1272" t="s">
        <v>43</v>
      </c>
      <c r="F1272" t="s">
        <v>44</v>
      </c>
      <c r="G1272" t="s">
        <v>16</v>
      </c>
      <c r="H1272">
        <v>1</v>
      </c>
      <c r="I1272">
        <v>20.83</v>
      </c>
      <c r="J1272" t="s">
        <v>34</v>
      </c>
      <c r="K1272" t="s">
        <v>18</v>
      </c>
      <c r="L1272">
        <f>WEEKDAY(Table1[[#This Row],[Transaction_Date]],2)</f>
        <v>5</v>
      </c>
      <c r="M1272">
        <f>IF(Table1[[#This Row],[Sale_Type]]="Buffet",1,0)</f>
        <v>0</v>
      </c>
    </row>
    <row r="1273" spans="1:13" x14ac:dyDescent="0.2">
      <c r="A1273" t="s">
        <v>1544</v>
      </c>
      <c r="B1273" t="s">
        <v>204</v>
      </c>
      <c r="C1273" s="1">
        <v>45989</v>
      </c>
      <c r="D1273" t="s">
        <v>96</v>
      </c>
      <c r="E1273" t="s">
        <v>43</v>
      </c>
      <c r="F1273" t="s">
        <v>44</v>
      </c>
      <c r="G1273" t="s">
        <v>16</v>
      </c>
      <c r="H1273">
        <v>3</v>
      </c>
      <c r="I1273">
        <v>40.520000000000003</v>
      </c>
      <c r="J1273" t="s">
        <v>34</v>
      </c>
      <c r="K1273" t="s">
        <v>18</v>
      </c>
      <c r="L1273">
        <f>WEEKDAY(Table1[[#This Row],[Transaction_Date]],2)</f>
        <v>5</v>
      </c>
      <c r="M1273">
        <f>IF(Table1[[#This Row],[Sale_Type]]="Buffet",1,0)</f>
        <v>0</v>
      </c>
    </row>
    <row r="1274" spans="1:13" x14ac:dyDescent="0.2">
      <c r="A1274" t="s">
        <v>1545</v>
      </c>
      <c r="B1274" t="s">
        <v>503</v>
      </c>
      <c r="C1274" s="1">
        <v>45989</v>
      </c>
      <c r="D1274" t="s">
        <v>96</v>
      </c>
      <c r="E1274" t="s">
        <v>43</v>
      </c>
      <c r="F1274" t="s">
        <v>53</v>
      </c>
      <c r="G1274" t="s">
        <v>45</v>
      </c>
      <c r="H1274">
        <v>3</v>
      </c>
      <c r="I1274">
        <v>64.5</v>
      </c>
      <c r="J1274" t="s">
        <v>17</v>
      </c>
      <c r="K1274" t="s">
        <v>18</v>
      </c>
      <c r="L1274">
        <f>WEEKDAY(Table1[[#This Row],[Transaction_Date]],2)</f>
        <v>5</v>
      </c>
      <c r="M1274">
        <f>IF(Table1[[#This Row],[Sale_Type]]="Buffet",1,0)</f>
        <v>1</v>
      </c>
    </row>
    <row r="1275" spans="1:13" x14ac:dyDescent="0.2">
      <c r="A1275" t="s">
        <v>1546</v>
      </c>
      <c r="B1275" t="s">
        <v>398</v>
      </c>
      <c r="C1275" s="1">
        <v>45989</v>
      </c>
      <c r="D1275" t="s">
        <v>96</v>
      </c>
      <c r="E1275" t="s">
        <v>43</v>
      </c>
      <c r="F1275" t="s">
        <v>53</v>
      </c>
      <c r="G1275" t="s">
        <v>45</v>
      </c>
      <c r="H1275">
        <v>3</v>
      </c>
      <c r="I1275">
        <v>60</v>
      </c>
      <c r="J1275" t="s">
        <v>34</v>
      </c>
      <c r="K1275" t="s">
        <v>18</v>
      </c>
      <c r="L1275">
        <f>WEEKDAY(Table1[[#This Row],[Transaction_Date]],2)</f>
        <v>5</v>
      </c>
      <c r="M1275">
        <f>IF(Table1[[#This Row],[Sale_Type]]="Buffet",1,0)</f>
        <v>1</v>
      </c>
    </row>
    <row r="1276" spans="1:13" x14ac:dyDescent="0.2">
      <c r="A1276" t="s">
        <v>1547</v>
      </c>
      <c r="B1276" t="s">
        <v>56</v>
      </c>
      <c r="C1276" s="1">
        <v>45989</v>
      </c>
      <c r="D1276" t="s">
        <v>96</v>
      </c>
      <c r="E1276" t="s">
        <v>43</v>
      </c>
      <c r="F1276" t="s">
        <v>53</v>
      </c>
      <c r="G1276" t="s">
        <v>45</v>
      </c>
      <c r="H1276">
        <v>3</v>
      </c>
      <c r="I1276">
        <v>64.5</v>
      </c>
      <c r="J1276" t="s">
        <v>17</v>
      </c>
      <c r="K1276" t="s">
        <v>18</v>
      </c>
      <c r="L1276">
        <f>WEEKDAY(Table1[[#This Row],[Transaction_Date]],2)</f>
        <v>5</v>
      </c>
      <c r="M1276">
        <f>IF(Table1[[#This Row],[Sale_Type]]="Buffet",1,0)</f>
        <v>1</v>
      </c>
    </row>
    <row r="1277" spans="1:13" x14ac:dyDescent="0.2">
      <c r="A1277" t="s">
        <v>1548</v>
      </c>
      <c r="B1277" t="s">
        <v>822</v>
      </c>
      <c r="C1277" s="1">
        <v>45989</v>
      </c>
      <c r="D1277" t="s">
        <v>96</v>
      </c>
      <c r="E1277" t="s">
        <v>43</v>
      </c>
      <c r="F1277" t="s">
        <v>53</v>
      </c>
      <c r="G1277" t="s">
        <v>16</v>
      </c>
      <c r="H1277">
        <v>2</v>
      </c>
      <c r="I1277">
        <v>28.01</v>
      </c>
      <c r="J1277" t="s">
        <v>28</v>
      </c>
      <c r="K1277" t="s">
        <v>18</v>
      </c>
      <c r="L1277">
        <f>WEEKDAY(Table1[[#This Row],[Transaction_Date]],2)</f>
        <v>5</v>
      </c>
      <c r="M1277">
        <f>IF(Table1[[#This Row],[Sale_Type]]="Buffet",1,0)</f>
        <v>0</v>
      </c>
    </row>
    <row r="1278" spans="1:13" x14ac:dyDescent="0.2">
      <c r="A1278" t="s">
        <v>1549</v>
      </c>
      <c r="B1278" t="s">
        <v>456</v>
      </c>
      <c r="C1278" s="1">
        <v>45989</v>
      </c>
      <c r="D1278" t="s">
        <v>96</v>
      </c>
      <c r="E1278" t="s">
        <v>43</v>
      </c>
      <c r="F1278" t="s">
        <v>57</v>
      </c>
      <c r="G1278" t="s">
        <v>16</v>
      </c>
      <c r="H1278">
        <v>3</v>
      </c>
      <c r="I1278">
        <v>44.87</v>
      </c>
      <c r="J1278" t="s">
        <v>17</v>
      </c>
      <c r="K1278" t="s">
        <v>18</v>
      </c>
      <c r="L1278">
        <f>WEEKDAY(Table1[[#This Row],[Transaction_Date]],2)</f>
        <v>5</v>
      </c>
      <c r="M1278">
        <f>IF(Table1[[#This Row],[Sale_Type]]="Buffet",1,0)</f>
        <v>0</v>
      </c>
    </row>
    <row r="1279" spans="1:13" x14ac:dyDescent="0.2">
      <c r="A1279" t="s">
        <v>1550</v>
      </c>
      <c r="B1279" t="s">
        <v>730</v>
      </c>
      <c r="C1279" s="1">
        <v>45990</v>
      </c>
      <c r="D1279" t="s">
        <v>127</v>
      </c>
      <c r="E1279" t="s">
        <v>14</v>
      </c>
      <c r="F1279" t="s">
        <v>15</v>
      </c>
      <c r="G1279" t="s">
        <v>16</v>
      </c>
      <c r="H1279">
        <v>4</v>
      </c>
      <c r="I1279">
        <v>128.24</v>
      </c>
      <c r="J1279" t="s">
        <v>34</v>
      </c>
      <c r="K1279" t="s">
        <v>18</v>
      </c>
      <c r="L1279">
        <f>WEEKDAY(Table1[[#This Row],[Transaction_Date]],2)</f>
        <v>6</v>
      </c>
      <c r="M1279">
        <f>IF(Table1[[#This Row],[Sale_Type]]="Buffet",1,0)</f>
        <v>0</v>
      </c>
    </row>
    <row r="1280" spans="1:13" x14ac:dyDescent="0.2">
      <c r="A1280" t="s">
        <v>1551</v>
      </c>
      <c r="B1280" t="s">
        <v>937</v>
      </c>
      <c r="C1280" s="1">
        <v>45990</v>
      </c>
      <c r="D1280" t="s">
        <v>127</v>
      </c>
      <c r="E1280" t="s">
        <v>14</v>
      </c>
      <c r="F1280" t="s">
        <v>24</v>
      </c>
      <c r="G1280" t="s">
        <v>16</v>
      </c>
      <c r="H1280">
        <v>4</v>
      </c>
      <c r="I1280">
        <v>121.13</v>
      </c>
      <c r="J1280" t="s">
        <v>28</v>
      </c>
      <c r="K1280" t="s">
        <v>21</v>
      </c>
      <c r="L1280">
        <f>WEEKDAY(Table1[[#This Row],[Transaction_Date]],2)</f>
        <v>6</v>
      </c>
      <c r="M1280">
        <f>IF(Table1[[#This Row],[Sale_Type]]="Buffet",1,0)</f>
        <v>0</v>
      </c>
    </row>
    <row r="1281" spans="1:13" x14ac:dyDescent="0.2">
      <c r="A1281" t="s">
        <v>1552</v>
      </c>
      <c r="B1281" t="s">
        <v>656</v>
      </c>
      <c r="C1281" s="1">
        <v>45990</v>
      </c>
      <c r="D1281" t="s">
        <v>127</v>
      </c>
      <c r="E1281" t="s">
        <v>14</v>
      </c>
      <c r="F1281" t="s">
        <v>24</v>
      </c>
      <c r="G1281" t="s">
        <v>16</v>
      </c>
      <c r="H1281">
        <v>3</v>
      </c>
      <c r="I1281">
        <v>87.38</v>
      </c>
      <c r="J1281" t="s">
        <v>28</v>
      </c>
      <c r="K1281" t="s">
        <v>18</v>
      </c>
      <c r="L1281">
        <f>WEEKDAY(Table1[[#This Row],[Transaction_Date]],2)</f>
        <v>6</v>
      </c>
      <c r="M1281">
        <f>IF(Table1[[#This Row],[Sale_Type]]="Buffet",1,0)</f>
        <v>0</v>
      </c>
    </row>
    <row r="1282" spans="1:13" x14ac:dyDescent="0.2">
      <c r="A1282" t="s">
        <v>1553</v>
      </c>
      <c r="B1282" t="s">
        <v>503</v>
      </c>
      <c r="C1282" s="1">
        <v>45990</v>
      </c>
      <c r="D1282" t="s">
        <v>127</v>
      </c>
      <c r="E1282" t="s">
        <v>14</v>
      </c>
      <c r="F1282" t="s">
        <v>27</v>
      </c>
      <c r="G1282" t="s">
        <v>16</v>
      </c>
      <c r="H1282">
        <v>2</v>
      </c>
      <c r="I1282">
        <v>50.06</v>
      </c>
      <c r="J1282" t="s">
        <v>34</v>
      </c>
      <c r="K1282" t="s">
        <v>18</v>
      </c>
      <c r="L1282">
        <f>WEEKDAY(Table1[[#This Row],[Transaction_Date]],2)</f>
        <v>6</v>
      </c>
      <c r="M1282">
        <f>IF(Table1[[#This Row],[Sale_Type]]="Buffet",1,0)</f>
        <v>0</v>
      </c>
    </row>
    <row r="1283" spans="1:13" x14ac:dyDescent="0.2">
      <c r="A1283" t="s">
        <v>1554</v>
      </c>
      <c r="B1283" t="s">
        <v>512</v>
      </c>
      <c r="C1283" s="1">
        <v>45990</v>
      </c>
      <c r="D1283" t="s">
        <v>127</v>
      </c>
      <c r="E1283" t="s">
        <v>14</v>
      </c>
      <c r="F1283" t="s">
        <v>27</v>
      </c>
      <c r="G1283" t="s">
        <v>16</v>
      </c>
      <c r="H1283">
        <v>2</v>
      </c>
      <c r="I1283">
        <v>78.099999999999994</v>
      </c>
      <c r="J1283" t="s">
        <v>17</v>
      </c>
      <c r="K1283" t="s">
        <v>18</v>
      </c>
      <c r="L1283">
        <f>WEEKDAY(Table1[[#This Row],[Transaction_Date]],2)</f>
        <v>6</v>
      </c>
      <c r="M1283">
        <f>IF(Table1[[#This Row],[Sale_Type]]="Buffet",1,0)</f>
        <v>0</v>
      </c>
    </row>
    <row r="1284" spans="1:13" x14ac:dyDescent="0.2">
      <c r="A1284" t="s">
        <v>1555</v>
      </c>
      <c r="B1284" t="s">
        <v>152</v>
      </c>
      <c r="C1284" s="1">
        <v>45990</v>
      </c>
      <c r="D1284" t="s">
        <v>127</v>
      </c>
      <c r="E1284" t="s">
        <v>14</v>
      </c>
      <c r="F1284" t="s">
        <v>27</v>
      </c>
      <c r="G1284" t="s">
        <v>16</v>
      </c>
      <c r="H1284">
        <v>3</v>
      </c>
      <c r="I1284">
        <v>72.11</v>
      </c>
      <c r="J1284" t="s">
        <v>17</v>
      </c>
      <c r="K1284" t="s">
        <v>21</v>
      </c>
      <c r="L1284">
        <f>WEEKDAY(Table1[[#This Row],[Transaction_Date]],2)</f>
        <v>6</v>
      </c>
      <c r="M1284">
        <f>IF(Table1[[#This Row],[Sale_Type]]="Buffet",1,0)</f>
        <v>0</v>
      </c>
    </row>
    <row r="1285" spans="1:13" x14ac:dyDescent="0.2">
      <c r="A1285" t="s">
        <v>1556</v>
      </c>
      <c r="B1285" t="s">
        <v>476</v>
      </c>
      <c r="C1285" s="1">
        <v>45990</v>
      </c>
      <c r="D1285" t="s">
        <v>127</v>
      </c>
      <c r="E1285" t="s">
        <v>14</v>
      </c>
      <c r="F1285" t="s">
        <v>31</v>
      </c>
      <c r="G1285" t="s">
        <v>16</v>
      </c>
      <c r="H1285">
        <v>6</v>
      </c>
      <c r="I1285">
        <v>252.31</v>
      </c>
      <c r="J1285" t="s">
        <v>28</v>
      </c>
      <c r="K1285" t="s">
        <v>18</v>
      </c>
      <c r="L1285">
        <f>WEEKDAY(Table1[[#This Row],[Transaction_Date]],2)</f>
        <v>6</v>
      </c>
      <c r="M1285">
        <f>IF(Table1[[#This Row],[Sale_Type]]="Buffet",1,0)</f>
        <v>0</v>
      </c>
    </row>
    <row r="1286" spans="1:13" x14ac:dyDescent="0.2">
      <c r="A1286" t="s">
        <v>1557</v>
      </c>
      <c r="B1286" t="s">
        <v>512</v>
      </c>
      <c r="C1286" s="1">
        <v>45990</v>
      </c>
      <c r="D1286" t="s">
        <v>127</v>
      </c>
      <c r="E1286" t="s">
        <v>14</v>
      </c>
      <c r="F1286" t="s">
        <v>31</v>
      </c>
      <c r="G1286" t="s">
        <v>16</v>
      </c>
      <c r="H1286">
        <v>3</v>
      </c>
      <c r="I1286">
        <v>214.96</v>
      </c>
      <c r="J1286" t="s">
        <v>17</v>
      </c>
      <c r="K1286" t="s">
        <v>18</v>
      </c>
      <c r="L1286">
        <f>WEEKDAY(Table1[[#This Row],[Transaction_Date]],2)</f>
        <v>6</v>
      </c>
      <c r="M1286">
        <f>IF(Table1[[#This Row],[Sale_Type]]="Buffet",1,0)</f>
        <v>0</v>
      </c>
    </row>
    <row r="1287" spans="1:13" x14ac:dyDescent="0.2">
      <c r="A1287" t="s">
        <v>1558</v>
      </c>
      <c r="B1287" t="s">
        <v>20</v>
      </c>
      <c r="C1287" s="1">
        <v>45990</v>
      </c>
      <c r="D1287" t="s">
        <v>127</v>
      </c>
      <c r="E1287" t="s">
        <v>14</v>
      </c>
      <c r="F1287" t="s">
        <v>31</v>
      </c>
      <c r="G1287" t="s">
        <v>16</v>
      </c>
      <c r="H1287">
        <v>1</v>
      </c>
      <c r="I1287">
        <v>44.31</v>
      </c>
      <c r="J1287" t="s">
        <v>17</v>
      </c>
      <c r="K1287" t="s">
        <v>18</v>
      </c>
      <c r="L1287">
        <f>WEEKDAY(Table1[[#This Row],[Transaction_Date]],2)</f>
        <v>6</v>
      </c>
      <c r="M1287">
        <f>IF(Table1[[#This Row],[Sale_Type]]="Buffet",1,0)</f>
        <v>0</v>
      </c>
    </row>
    <row r="1288" spans="1:13" x14ac:dyDescent="0.2">
      <c r="A1288" t="s">
        <v>1559</v>
      </c>
      <c r="B1288" t="s">
        <v>1082</v>
      </c>
      <c r="C1288" s="1">
        <v>45990</v>
      </c>
      <c r="D1288" t="s">
        <v>127</v>
      </c>
      <c r="E1288" t="s">
        <v>14</v>
      </c>
      <c r="F1288" t="s">
        <v>31</v>
      </c>
      <c r="G1288" t="s">
        <v>16</v>
      </c>
      <c r="H1288">
        <v>3</v>
      </c>
      <c r="I1288">
        <v>117.88</v>
      </c>
      <c r="J1288" t="s">
        <v>34</v>
      </c>
      <c r="K1288" t="s">
        <v>18</v>
      </c>
      <c r="L1288">
        <f>WEEKDAY(Table1[[#This Row],[Transaction_Date]],2)</f>
        <v>6</v>
      </c>
      <c r="M1288">
        <f>IF(Table1[[#This Row],[Sale_Type]]="Buffet",1,0)</f>
        <v>0</v>
      </c>
    </row>
    <row r="1289" spans="1:13" x14ac:dyDescent="0.2">
      <c r="A1289" t="s">
        <v>1560</v>
      </c>
      <c r="B1289" t="s">
        <v>346</v>
      </c>
      <c r="C1289" s="1">
        <v>45990</v>
      </c>
      <c r="D1289" t="s">
        <v>127</v>
      </c>
      <c r="E1289" t="s">
        <v>14</v>
      </c>
      <c r="F1289" t="s">
        <v>31</v>
      </c>
      <c r="G1289" t="s">
        <v>16</v>
      </c>
      <c r="H1289">
        <v>4</v>
      </c>
      <c r="I1289">
        <v>193.9</v>
      </c>
      <c r="J1289" t="s">
        <v>17</v>
      </c>
      <c r="K1289" t="s">
        <v>18</v>
      </c>
      <c r="L1289">
        <f>WEEKDAY(Table1[[#This Row],[Transaction_Date]],2)</f>
        <v>6</v>
      </c>
      <c r="M1289">
        <f>IF(Table1[[#This Row],[Sale_Type]]="Buffet",1,0)</f>
        <v>0</v>
      </c>
    </row>
    <row r="1290" spans="1:13" x14ac:dyDescent="0.2">
      <c r="A1290" t="s">
        <v>1561</v>
      </c>
      <c r="B1290" t="s">
        <v>400</v>
      </c>
      <c r="C1290" s="1">
        <v>45990</v>
      </c>
      <c r="D1290" t="s">
        <v>127</v>
      </c>
      <c r="E1290" t="s">
        <v>14</v>
      </c>
      <c r="F1290" t="s">
        <v>40</v>
      </c>
      <c r="G1290" t="s">
        <v>16</v>
      </c>
      <c r="H1290">
        <v>5</v>
      </c>
      <c r="I1290">
        <v>113.41</v>
      </c>
      <c r="J1290" t="s">
        <v>34</v>
      </c>
      <c r="K1290" t="s">
        <v>18</v>
      </c>
      <c r="L1290">
        <f>WEEKDAY(Table1[[#This Row],[Transaction_Date]],2)</f>
        <v>6</v>
      </c>
      <c r="M1290">
        <f>IF(Table1[[#This Row],[Sale_Type]]="Buffet",1,0)</f>
        <v>0</v>
      </c>
    </row>
    <row r="1291" spans="1:13" x14ac:dyDescent="0.2">
      <c r="A1291" t="s">
        <v>1562</v>
      </c>
      <c r="B1291" t="s">
        <v>1179</v>
      </c>
      <c r="C1291" s="1">
        <v>45990</v>
      </c>
      <c r="D1291" t="s">
        <v>127</v>
      </c>
      <c r="E1291" t="s">
        <v>14</v>
      </c>
      <c r="F1291" t="s">
        <v>40</v>
      </c>
      <c r="G1291" t="s">
        <v>16</v>
      </c>
      <c r="H1291">
        <v>6</v>
      </c>
      <c r="I1291">
        <v>126.19</v>
      </c>
      <c r="J1291" t="s">
        <v>34</v>
      </c>
      <c r="K1291" t="s">
        <v>18</v>
      </c>
      <c r="L1291">
        <f>WEEKDAY(Table1[[#This Row],[Transaction_Date]],2)</f>
        <v>6</v>
      </c>
      <c r="M1291">
        <f>IF(Table1[[#This Row],[Sale_Type]]="Buffet",1,0)</f>
        <v>0</v>
      </c>
    </row>
    <row r="1292" spans="1:13" x14ac:dyDescent="0.2">
      <c r="A1292" t="s">
        <v>1563</v>
      </c>
      <c r="B1292" t="s">
        <v>135</v>
      </c>
      <c r="C1292" s="1">
        <v>45990</v>
      </c>
      <c r="D1292" t="s">
        <v>127</v>
      </c>
      <c r="E1292" t="s">
        <v>14</v>
      </c>
      <c r="F1292" t="s">
        <v>40</v>
      </c>
      <c r="G1292" t="s">
        <v>16</v>
      </c>
      <c r="H1292">
        <v>4</v>
      </c>
      <c r="I1292">
        <v>56.23</v>
      </c>
      <c r="J1292" t="s">
        <v>17</v>
      </c>
      <c r="K1292" t="s">
        <v>18</v>
      </c>
      <c r="L1292">
        <f>WEEKDAY(Table1[[#This Row],[Transaction_Date]],2)</f>
        <v>6</v>
      </c>
      <c r="M1292">
        <f>IF(Table1[[#This Row],[Sale_Type]]="Buffet",1,0)</f>
        <v>0</v>
      </c>
    </row>
    <row r="1293" spans="1:13" x14ac:dyDescent="0.2">
      <c r="A1293" t="s">
        <v>1564</v>
      </c>
      <c r="B1293" t="s">
        <v>254</v>
      </c>
      <c r="C1293" s="1">
        <v>45990</v>
      </c>
      <c r="D1293" t="s">
        <v>127</v>
      </c>
      <c r="E1293" t="s">
        <v>14</v>
      </c>
      <c r="F1293" t="s">
        <v>40</v>
      </c>
      <c r="G1293" t="s">
        <v>16</v>
      </c>
      <c r="H1293">
        <v>3</v>
      </c>
      <c r="I1293">
        <v>87.35</v>
      </c>
      <c r="J1293" t="s">
        <v>34</v>
      </c>
      <c r="K1293" t="s">
        <v>18</v>
      </c>
      <c r="L1293">
        <f>WEEKDAY(Table1[[#This Row],[Transaction_Date]],2)</f>
        <v>6</v>
      </c>
      <c r="M1293">
        <f>IF(Table1[[#This Row],[Sale_Type]]="Buffet",1,0)</f>
        <v>0</v>
      </c>
    </row>
    <row r="1294" spans="1:13" x14ac:dyDescent="0.2">
      <c r="A1294" t="s">
        <v>1565</v>
      </c>
      <c r="B1294" t="s">
        <v>493</v>
      </c>
      <c r="C1294" s="1">
        <v>45990</v>
      </c>
      <c r="D1294" t="s">
        <v>127</v>
      </c>
      <c r="E1294" t="s">
        <v>14</v>
      </c>
      <c r="F1294" t="s">
        <v>40</v>
      </c>
      <c r="G1294" t="s">
        <v>16</v>
      </c>
      <c r="H1294">
        <v>3</v>
      </c>
      <c r="I1294">
        <v>50.56</v>
      </c>
      <c r="J1294" t="s">
        <v>17</v>
      </c>
      <c r="K1294" t="s">
        <v>18</v>
      </c>
      <c r="L1294">
        <f>WEEKDAY(Table1[[#This Row],[Transaction_Date]],2)</f>
        <v>6</v>
      </c>
      <c r="M1294">
        <f>IF(Table1[[#This Row],[Sale_Type]]="Buffet",1,0)</f>
        <v>0</v>
      </c>
    </row>
    <row r="1295" spans="1:13" x14ac:dyDescent="0.2">
      <c r="A1295" t="s">
        <v>1566</v>
      </c>
      <c r="B1295" t="s">
        <v>170</v>
      </c>
      <c r="C1295" s="1">
        <v>45990</v>
      </c>
      <c r="D1295" t="s">
        <v>127</v>
      </c>
      <c r="E1295" t="s">
        <v>14</v>
      </c>
      <c r="F1295" t="s">
        <v>40</v>
      </c>
      <c r="G1295" t="s">
        <v>16</v>
      </c>
      <c r="H1295">
        <v>1</v>
      </c>
      <c r="I1295">
        <v>24.15</v>
      </c>
      <c r="J1295" t="s">
        <v>17</v>
      </c>
      <c r="K1295" t="s">
        <v>21</v>
      </c>
      <c r="L1295">
        <f>WEEKDAY(Table1[[#This Row],[Transaction_Date]],2)</f>
        <v>6</v>
      </c>
      <c r="M1295">
        <f>IF(Table1[[#This Row],[Sale_Type]]="Buffet",1,0)</f>
        <v>0</v>
      </c>
    </row>
    <row r="1296" spans="1:13" x14ac:dyDescent="0.2">
      <c r="A1296" t="s">
        <v>1567</v>
      </c>
      <c r="B1296" t="s">
        <v>663</v>
      </c>
      <c r="C1296" s="1">
        <v>45990</v>
      </c>
      <c r="D1296" t="s">
        <v>127</v>
      </c>
      <c r="E1296" t="s">
        <v>43</v>
      </c>
      <c r="F1296" t="s">
        <v>50</v>
      </c>
      <c r="G1296" t="s">
        <v>16</v>
      </c>
      <c r="H1296">
        <v>4</v>
      </c>
      <c r="I1296">
        <v>59.7</v>
      </c>
      <c r="J1296" t="s">
        <v>17</v>
      </c>
      <c r="K1296" t="s">
        <v>18</v>
      </c>
      <c r="L1296">
        <f>WEEKDAY(Table1[[#This Row],[Transaction_Date]],2)</f>
        <v>6</v>
      </c>
      <c r="M1296">
        <f>IF(Table1[[#This Row],[Sale_Type]]="Buffet",1,0)</f>
        <v>0</v>
      </c>
    </row>
    <row r="1297" spans="1:13" x14ac:dyDescent="0.2">
      <c r="A1297" t="s">
        <v>1568</v>
      </c>
      <c r="B1297" t="s">
        <v>495</v>
      </c>
      <c r="C1297" s="1">
        <v>45990</v>
      </c>
      <c r="D1297" t="s">
        <v>127</v>
      </c>
      <c r="E1297" t="s">
        <v>43</v>
      </c>
      <c r="F1297" t="s">
        <v>57</v>
      </c>
      <c r="G1297" t="s">
        <v>16</v>
      </c>
      <c r="H1297">
        <v>3</v>
      </c>
      <c r="I1297">
        <v>45.6</v>
      </c>
      <c r="J1297" t="s">
        <v>17</v>
      </c>
      <c r="K1297" t="s">
        <v>21</v>
      </c>
      <c r="L1297">
        <f>WEEKDAY(Table1[[#This Row],[Transaction_Date]],2)</f>
        <v>6</v>
      </c>
      <c r="M1297">
        <f>IF(Table1[[#This Row],[Sale_Type]]="Buffet",1,0)</f>
        <v>0</v>
      </c>
    </row>
    <row r="1298" spans="1:13" x14ac:dyDescent="0.2">
      <c r="A1298" t="s">
        <v>1569</v>
      </c>
      <c r="B1298" t="s">
        <v>115</v>
      </c>
      <c r="C1298" s="1">
        <v>45991</v>
      </c>
      <c r="D1298" t="s">
        <v>171</v>
      </c>
      <c r="E1298" t="s">
        <v>14</v>
      </c>
      <c r="F1298" t="s">
        <v>15</v>
      </c>
      <c r="G1298" t="s">
        <v>16</v>
      </c>
      <c r="H1298">
        <v>1</v>
      </c>
      <c r="I1298">
        <v>52.47</v>
      </c>
      <c r="J1298" t="s">
        <v>28</v>
      </c>
      <c r="K1298" t="s">
        <v>18</v>
      </c>
      <c r="L1298">
        <f>WEEKDAY(Table1[[#This Row],[Transaction_Date]],2)</f>
        <v>7</v>
      </c>
      <c r="M1298">
        <f>IF(Table1[[#This Row],[Sale_Type]]="Buffet",1,0)</f>
        <v>0</v>
      </c>
    </row>
    <row r="1299" spans="1:13" x14ac:dyDescent="0.2">
      <c r="A1299" t="s">
        <v>1570</v>
      </c>
      <c r="B1299" t="s">
        <v>254</v>
      </c>
      <c r="C1299" s="1">
        <v>45991</v>
      </c>
      <c r="D1299" t="s">
        <v>171</v>
      </c>
      <c r="E1299" t="s">
        <v>14</v>
      </c>
      <c r="F1299" t="s">
        <v>15</v>
      </c>
      <c r="G1299" t="s">
        <v>16</v>
      </c>
      <c r="H1299">
        <v>1</v>
      </c>
      <c r="I1299">
        <v>23.57</v>
      </c>
      <c r="J1299" t="s">
        <v>17</v>
      </c>
      <c r="K1299" t="s">
        <v>18</v>
      </c>
      <c r="L1299">
        <f>WEEKDAY(Table1[[#This Row],[Transaction_Date]],2)</f>
        <v>7</v>
      </c>
      <c r="M1299">
        <f>IF(Table1[[#This Row],[Sale_Type]]="Buffet",1,0)</f>
        <v>0</v>
      </c>
    </row>
    <row r="1300" spans="1:13" x14ac:dyDescent="0.2">
      <c r="A1300" t="s">
        <v>1571</v>
      </c>
      <c r="B1300" t="s">
        <v>1017</v>
      </c>
      <c r="C1300" s="1">
        <v>45991</v>
      </c>
      <c r="D1300" t="s">
        <v>171</v>
      </c>
      <c r="E1300" t="s">
        <v>14</v>
      </c>
      <c r="F1300" t="s">
        <v>24</v>
      </c>
      <c r="G1300" t="s">
        <v>16</v>
      </c>
      <c r="H1300">
        <v>4</v>
      </c>
      <c r="I1300">
        <v>157.38</v>
      </c>
      <c r="J1300" t="s">
        <v>28</v>
      </c>
      <c r="K1300" t="s">
        <v>18</v>
      </c>
      <c r="L1300">
        <f>WEEKDAY(Table1[[#This Row],[Transaction_Date]],2)</f>
        <v>7</v>
      </c>
      <c r="M1300">
        <f>IF(Table1[[#This Row],[Sale_Type]]="Buffet",1,0)</f>
        <v>0</v>
      </c>
    </row>
    <row r="1301" spans="1:13" x14ac:dyDescent="0.2">
      <c r="A1301" t="s">
        <v>1572</v>
      </c>
      <c r="B1301" t="s">
        <v>498</v>
      </c>
      <c r="C1301" s="1">
        <v>45991</v>
      </c>
      <c r="D1301" t="s">
        <v>171</v>
      </c>
      <c r="E1301" t="s">
        <v>14</v>
      </c>
      <c r="F1301" t="s">
        <v>24</v>
      </c>
      <c r="G1301" t="s">
        <v>16</v>
      </c>
      <c r="H1301">
        <v>3</v>
      </c>
      <c r="I1301">
        <v>118.48</v>
      </c>
      <c r="J1301" t="s">
        <v>17</v>
      </c>
      <c r="K1301" t="s">
        <v>21</v>
      </c>
      <c r="L1301">
        <f>WEEKDAY(Table1[[#This Row],[Transaction_Date]],2)</f>
        <v>7</v>
      </c>
      <c r="M1301">
        <f>IF(Table1[[#This Row],[Sale_Type]]="Buffet",1,0)</f>
        <v>0</v>
      </c>
    </row>
    <row r="1302" spans="1:13" x14ac:dyDescent="0.2">
      <c r="A1302" t="s">
        <v>1573</v>
      </c>
      <c r="B1302" t="s">
        <v>390</v>
      </c>
      <c r="C1302" s="1">
        <v>45991</v>
      </c>
      <c r="D1302" t="s">
        <v>171</v>
      </c>
      <c r="E1302" t="s">
        <v>14</v>
      </c>
      <c r="F1302" t="s">
        <v>24</v>
      </c>
      <c r="G1302" t="s">
        <v>16</v>
      </c>
      <c r="H1302">
        <v>4</v>
      </c>
      <c r="I1302">
        <v>102.53</v>
      </c>
      <c r="J1302" t="s">
        <v>28</v>
      </c>
      <c r="K1302" t="s">
        <v>18</v>
      </c>
      <c r="L1302">
        <f>WEEKDAY(Table1[[#This Row],[Transaction_Date]],2)</f>
        <v>7</v>
      </c>
      <c r="M1302">
        <f>IF(Table1[[#This Row],[Sale_Type]]="Buffet",1,0)</f>
        <v>0</v>
      </c>
    </row>
    <row r="1303" spans="1:13" x14ac:dyDescent="0.2">
      <c r="A1303" t="s">
        <v>1574</v>
      </c>
      <c r="B1303" t="s">
        <v>37</v>
      </c>
      <c r="C1303" s="1">
        <v>45991</v>
      </c>
      <c r="D1303" t="s">
        <v>171</v>
      </c>
      <c r="E1303" t="s">
        <v>14</v>
      </c>
      <c r="F1303" t="s">
        <v>24</v>
      </c>
      <c r="G1303" t="s">
        <v>16</v>
      </c>
      <c r="H1303">
        <v>3</v>
      </c>
      <c r="I1303">
        <v>195.37</v>
      </c>
      <c r="J1303" t="s">
        <v>34</v>
      </c>
      <c r="K1303" t="s">
        <v>18</v>
      </c>
      <c r="L1303">
        <f>WEEKDAY(Table1[[#This Row],[Transaction_Date]],2)</f>
        <v>7</v>
      </c>
      <c r="M1303">
        <f>IF(Table1[[#This Row],[Sale_Type]]="Buffet",1,0)</f>
        <v>0</v>
      </c>
    </row>
    <row r="1304" spans="1:13" x14ac:dyDescent="0.2">
      <c r="A1304" t="s">
        <v>1575</v>
      </c>
      <c r="B1304" t="s">
        <v>170</v>
      </c>
      <c r="C1304" s="1">
        <v>45991</v>
      </c>
      <c r="D1304" t="s">
        <v>171</v>
      </c>
      <c r="E1304" t="s">
        <v>14</v>
      </c>
      <c r="F1304" t="s">
        <v>24</v>
      </c>
      <c r="G1304" t="s">
        <v>16</v>
      </c>
      <c r="H1304">
        <v>4</v>
      </c>
      <c r="I1304">
        <v>89.09</v>
      </c>
      <c r="J1304" t="s">
        <v>34</v>
      </c>
      <c r="K1304" t="s">
        <v>18</v>
      </c>
      <c r="L1304">
        <f>WEEKDAY(Table1[[#This Row],[Transaction_Date]],2)</f>
        <v>7</v>
      </c>
      <c r="M1304">
        <f>IF(Table1[[#This Row],[Sale_Type]]="Buffet",1,0)</f>
        <v>0</v>
      </c>
    </row>
    <row r="1305" spans="1:13" x14ac:dyDescent="0.2">
      <c r="A1305" t="s">
        <v>1576</v>
      </c>
      <c r="B1305" t="s">
        <v>945</v>
      </c>
      <c r="C1305" s="1">
        <v>45991</v>
      </c>
      <c r="D1305" t="s">
        <v>171</v>
      </c>
      <c r="E1305" t="s">
        <v>14</v>
      </c>
      <c r="F1305" t="s">
        <v>27</v>
      </c>
      <c r="G1305" t="s">
        <v>16</v>
      </c>
      <c r="H1305">
        <v>3</v>
      </c>
      <c r="I1305">
        <v>152.86000000000001</v>
      </c>
      <c r="J1305" t="s">
        <v>17</v>
      </c>
      <c r="K1305" t="s">
        <v>18</v>
      </c>
      <c r="L1305">
        <f>WEEKDAY(Table1[[#This Row],[Transaction_Date]],2)</f>
        <v>7</v>
      </c>
      <c r="M1305">
        <f>IF(Table1[[#This Row],[Sale_Type]]="Buffet",1,0)</f>
        <v>0</v>
      </c>
    </row>
    <row r="1306" spans="1:13" x14ac:dyDescent="0.2">
      <c r="A1306" t="s">
        <v>1577</v>
      </c>
      <c r="B1306" t="s">
        <v>222</v>
      </c>
      <c r="C1306" s="1">
        <v>45991</v>
      </c>
      <c r="D1306" t="s">
        <v>171</v>
      </c>
      <c r="E1306" t="s">
        <v>14</v>
      </c>
      <c r="F1306" t="s">
        <v>27</v>
      </c>
      <c r="G1306" t="s">
        <v>16</v>
      </c>
      <c r="H1306">
        <v>3</v>
      </c>
      <c r="I1306">
        <v>58.6</v>
      </c>
      <c r="J1306" t="s">
        <v>28</v>
      </c>
      <c r="K1306" t="s">
        <v>21</v>
      </c>
      <c r="L1306">
        <f>WEEKDAY(Table1[[#This Row],[Transaction_Date]],2)</f>
        <v>7</v>
      </c>
      <c r="M1306">
        <f>IF(Table1[[#This Row],[Sale_Type]]="Buffet",1,0)</f>
        <v>0</v>
      </c>
    </row>
    <row r="1307" spans="1:13" x14ac:dyDescent="0.2">
      <c r="A1307" t="s">
        <v>1578</v>
      </c>
      <c r="B1307" t="s">
        <v>567</v>
      </c>
      <c r="C1307" s="1">
        <v>45991</v>
      </c>
      <c r="D1307" t="s">
        <v>171</v>
      </c>
      <c r="E1307" t="s">
        <v>14</v>
      </c>
      <c r="F1307" t="s">
        <v>27</v>
      </c>
      <c r="G1307" t="s">
        <v>16</v>
      </c>
      <c r="H1307">
        <v>4</v>
      </c>
      <c r="I1307">
        <v>235.26</v>
      </c>
      <c r="J1307" t="s">
        <v>17</v>
      </c>
      <c r="K1307" t="s">
        <v>18</v>
      </c>
      <c r="L1307">
        <f>WEEKDAY(Table1[[#This Row],[Transaction_Date]],2)</f>
        <v>7</v>
      </c>
      <c r="M1307">
        <f>IF(Table1[[#This Row],[Sale_Type]]="Buffet",1,0)</f>
        <v>0</v>
      </c>
    </row>
    <row r="1308" spans="1:13" x14ac:dyDescent="0.2">
      <c r="A1308" t="s">
        <v>1579</v>
      </c>
      <c r="B1308" t="s">
        <v>295</v>
      </c>
      <c r="C1308" s="1">
        <v>45991</v>
      </c>
      <c r="D1308" t="s">
        <v>171</v>
      </c>
      <c r="E1308" t="s">
        <v>14</v>
      </c>
      <c r="F1308" t="s">
        <v>27</v>
      </c>
      <c r="G1308" t="s">
        <v>16</v>
      </c>
      <c r="H1308">
        <v>4</v>
      </c>
      <c r="I1308">
        <v>170.5</v>
      </c>
      <c r="J1308" t="s">
        <v>17</v>
      </c>
      <c r="K1308" t="s">
        <v>18</v>
      </c>
      <c r="L1308">
        <f>WEEKDAY(Table1[[#This Row],[Transaction_Date]],2)</f>
        <v>7</v>
      </c>
      <c r="M1308">
        <f>IF(Table1[[#This Row],[Sale_Type]]="Buffet",1,0)</f>
        <v>0</v>
      </c>
    </row>
    <row r="1309" spans="1:13" x14ac:dyDescent="0.2">
      <c r="A1309" t="s">
        <v>1580</v>
      </c>
      <c r="B1309" t="s">
        <v>440</v>
      </c>
      <c r="C1309" s="1">
        <v>45991</v>
      </c>
      <c r="D1309" t="s">
        <v>171</v>
      </c>
      <c r="E1309" t="s">
        <v>14</v>
      </c>
      <c r="F1309" t="s">
        <v>27</v>
      </c>
      <c r="G1309" t="s">
        <v>16</v>
      </c>
      <c r="H1309">
        <v>3</v>
      </c>
      <c r="I1309">
        <v>66.34</v>
      </c>
      <c r="J1309" t="s">
        <v>28</v>
      </c>
      <c r="K1309" t="s">
        <v>18</v>
      </c>
      <c r="L1309">
        <f>WEEKDAY(Table1[[#This Row],[Transaction_Date]],2)</f>
        <v>7</v>
      </c>
      <c r="M1309">
        <f>IF(Table1[[#This Row],[Sale_Type]]="Buffet",1,0)</f>
        <v>0</v>
      </c>
    </row>
    <row r="1310" spans="1:13" x14ac:dyDescent="0.2">
      <c r="A1310" t="s">
        <v>1581</v>
      </c>
      <c r="B1310" t="s">
        <v>351</v>
      </c>
      <c r="C1310" s="1">
        <v>45991</v>
      </c>
      <c r="D1310" t="s">
        <v>171</v>
      </c>
      <c r="E1310" t="s">
        <v>14</v>
      </c>
      <c r="F1310" t="s">
        <v>31</v>
      </c>
      <c r="G1310" t="s">
        <v>16</v>
      </c>
      <c r="H1310">
        <v>5</v>
      </c>
      <c r="I1310">
        <v>130.41999999999999</v>
      </c>
      <c r="J1310" t="s">
        <v>17</v>
      </c>
      <c r="K1310" t="s">
        <v>18</v>
      </c>
      <c r="L1310">
        <f>WEEKDAY(Table1[[#This Row],[Transaction_Date]],2)</f>
        <v>7</v>
      </c>
      <c r="M1310">
        <f>IF(Table1[[#This Row],[Sale_Type]]="Buffet",1,0)</f>
        <v>0</v>
      </c>
    </row>
    <row r="1311" spans="1:13" x14ac:dyDescent="0.2">
      <c r="A1311" t="s">
        <v>1582</v>
      </c>
      <c r="B1311" t="s">
        <v>204</v>
      </c>
      <c r="C1311" s="1">
        <v>45991</v>
      </c>
      <c r="D1311" t="s">
        <v>171</v>
      </c>
      <c r="E1311" t="s">
        <v>14</v>
      </c>
      <c r="F1311" t="s">
        <v>31</v>
      </c>
      <c r="G1311" t="s">
        <v>16</v>
      </c>
      <c r="H1311">
        <v>9</v>
      </c>
      <c r="I1311">
        <v>173.43</v>
      </c>
      <c r="J1311" t="s">
        <v>17</v>
      </c>
      <c r="K1311" t="s">
        <v>18</v>
      </c>
      <c r="L1311">
        <f>WEEKDAY(Table1[[#This Row],[Transaction_Date]],2)</f>
        <v>7</v>
      </c>
      <c r="M1311">
        <f>IF(Table1[[#This Row],[Sale_Type]]="Buffet",1,0)</f>
        <v>0</v>
      </c>
    </row>
    <row r="1312" spans="1:13" x14ac:dyDescent="0.2">
      <c r="A1312" t="s">
        <v>1583</v>
      </c>
      <c r="B1312" t="s">
        <v>356</v>
      </c>
      <c r="C1312" s="1">
        <v>45991</v>
      </c>
      <c r="D1312" t="s">
        <v>171</v>
      </c>
      <c r="E1312" t="s">
        <v>14</v>
      </c>
      <c r="F1312" t="s">
        <v>31</v>
      </c>
      <c r="G1312" t="s">
        <v>16</v>
      </c>
      <c r="H1312">
        <v>5</v>
      </c>
      <c r="I1312">
        <v>104.57</v>
      </c>
      <c r="J1312" t="s">
        <v>17</v>
      </c>
      <c r="K1312" t="s">
        <v>18</v>
      </c>
      <c r="L1312">
        <f>WEEKDAY(Table1[[#This Row],[Transaction_Date]],2)</f>
        <v>7</v>
      </c>
      <c r="M1312">
        <f>IF(Table1[[#This Row],[Sale_Type]]="Buffet",1,0)</f>
        <v>0</v>
      </c>
    </row>
    <row r="1313" spans="1:13" x14ac:dyDescent="0.2">
      <c r="A1313" t="s">
        <v>1584</v>
      </c>
      <c r="B1313" t="s">
        <v>142</v>
      </c>
      <c r="C1313" s="1">
        <v>45991</v>
      </c>
      <c r="D1313" t="s">
        <v>171</v>
      </c>
      <c r="E1313" t="s">
        <v>14</v>
      </c>
      <c r="F1313" t="s">
        <v>31</v>
      </c>
      <c r="G1313" t="s">
        <v>16</v>
      </c>
      <c r="H1313">
        <v>6</v>
      </c>
      <c r="I1313">
        <v>127.85</v>
      </c>
      <c r="J1313" t="s">
        <v>34</v>
      </c>
      <c r="K1313" t="s">
        <v>18</v>
      </c>
      <c r="L1313">
        <f>WEEKDAY(Table1[[#This Row],[Transaction_Date]],2)</f>
        <v>7</v>
      </c>
      <c r="M1313">
        <f>IF(Table1[[#This Row],[Sale_Type]]="Buffet",1,0)</f>
        <v>0</v>
      </c>
    </row>
    <row r="1314" spans="1:13" x14ac:dyDescent="0.2">
      <c r="A1314" t="s">
        <v>1585</v>
      </c>
      <c r="B1314" t="s">
        <v>262</v>
      </c>
      <c r="C1314" s="1">
        <v>45991</v>
      </c>
      <c r="D1314" t="s">
        <v>171</v>
      </c>
      <c r="E1314" t="s">
        <v>14</v>
      </c>
      <c r="F1314" t="s">
        <v>31</v>
      </c>
      <c r="G1314" t="s">
        <v>16</v>
      </c>
      <c r="H1314">
        <v>2</v>
      </c>
      <c r="I1314">
        <v>52.12</v>
      </c>
      <c r="J1314" t="s">
        <v>17</v>
      </c>
      <c r="K1314" t="s">
        <v>18</v>
      </c>
      <c r="L1314">
        <f>WEEKDAY(Table1[[#This Row],[Transaction_Date]],2)</f>
        <v>7</v>
      </c>
      <c r="M1314">
        <f>IF(Table1[[#This Row],[Sale_Type]]="Buffet",1,0)</f>
        <v>0</v>
      </c>
    </row>
    <row r="1315" spans="1:13" x14ac:dyDescent="0.2">
      <c r="A1315" t="s">
        <v>1586</v>
      </c>
      <c r="B1315" t="s">
        <v>188</v>
      </c>
      <c r="C1315" s="1">
        <v>45991</v>
      </c>
      <c r="D1315" t="s">
        <v>171</v>
      </c>
      <c r="E1315" t="s">
        <v>14</v>
      </c>
      <c r="F1315" t="s">
        <v>40</v>
      </c>
      <c r="G1315" t="s">
        <v>16</v>
      </c>
      <c r="H1315">
        <v>6</v>
      </c>
      <c r="I1315">
        <v>112.61</v>
      </c>
      <c r="J1315" t="s">
        <v>17</v>
      </c>
      <c r="K1315" t="s">
        <v>18</v>
      </c>
      <c r="L1315">
        <f>WEEKDAY(Table1[[#This Row],[Transaction_Date]],2)</f>
        <v>7</v>
      </c>
      <c r="M1315">
        <f>IF(Table1[[#This Row],[Sale_Type]]="Buffet",1,0)</f>
        <v>0</v>
      </c>
    </row>
    <row r="1316" spans="1:13" x14ac:dyDescent="0.2">
      <c r="A1316" t="s">
        <v>1587</v>
      </c>
      <c r="B1316" t="s">
        <v>394</v>
      </c>
      <c r="C1316" s="1">
        <v>45991</v>
      </c>
      <c r="D1316" t="s">
        <v>171</v>
      </c>
      <c r="E1316" t="s">
        <v>14</v>
      </c>
      <c r="F1316" t="s">
        <v>40</v>
      </c>
      <c r="G1316" t="s">
        <v>16</v>
      </c>
      <c r="H1316">
        <v>2</v>
      </c>
      <c r="I1316">
        <v>64.319999999999993</v>
      </c>
      <c r="J1316" t="s">
        <v>17</v>
      </c>
      <c r="K1316" t="s">
        <v>18</v>
      </c>
      <c r="L1316">
        <f>WEEKDAY(Table1[[#This Row],[Transaction_Date]],2)</f>
        <v>7</v>
      </c>
      <c r="M1316">
        <f>IF(Table1[[#This Row],[Sale_Type]]="Buffet",1,0)</f>
        <v>0</v>
      </c>
    </row>
    <row r="1317" spans="1:13" x14ac:dyDescent="0.2">
      <c r="A1317" t="s">
        <v>1588</v>
      </c>
      <c r="B1317" t="s">
        <v>272</v>
      </c>
      <c r="C1317" s="1">
        <v>45991</v>
      </c>
      <c r="D1317" t="s">
        <v>171</v>
      </c>
      <c r="E1317" t="s">
        <v>14</v>
      </c>
      <c r="F1317" t="s">
        <v>40</v>
      </c>
      <c r="G1317" t="s">
        <v>16</v>
      </c>
      <c r="H1317">
        <v>1</v>
      </c>
      <c r="I1317">
        <v>31.06</v>
      </c>
      <c r="J1317" t="s">
        <v>17</v>
      </c>
      <c r="K1317" t="s">
        <v>18</v>
      </c>
      <c r="L1317">
        <f>WEEKDAY(Table1[[#This Row],[Transaction_Date]],2)</f>
        <v>7</v>
      </c>
      <c r="M1317">
        <f>IF(Table1[[#This Row],[Sale_Type]]="Buffet",1,0)</f>
        <v>0</v>
      </c>
    </row>
    <row r="1318" spans="1:13" x14ac:dyDescent="0.2">
      <c r="A1318" t="s">
        <v>1589</v>
      </c>
      <c r="B1318" t="s">
        <v>144</v>
      </c>
      <c r="C1318" s="1">
        <v>45991</v>
      </c>
      <c r="D1318" t="s">
        <v>171</v>
      </c>
      <c r="E1318" t="s">
        <v>14</v>
      </c>
      <c r="F1318" t="s">
        <v>40</v>
      </c>
      <c r="G1318" t="s">
        <v>16</v>
      </c>
      <c r="H1318">
        <v>5</v>
      </c>
      <c r="I1318">
        <v>98.42</v>
      </c>
      <c r="J1318" t="s">
        <v>17</v>
      </c>
      <c r="K1318" t="s">
        <v>18</v>
      </c>
      <c r="L1318">
        <f>WEEKDAY(Table1[[#This Row],[Transaction_Date]],2)</f>
        <v>7</v>
      </c>
      <c r="M1318">
        <f>IF(Table1[[#This Row],[Sale_Type]]="Buffet",1,0)</f>
        <v>0</v>
      </c>
    </row>
    <row r="1319" spans="1:13" x14ac:dyDescent="0.2">
      <c r="A1319" t="s">
        <v>1590</v>
      </c>
      <c r="B1319" t="s">
        <v>542</v>
      </c>
      <c r="C1319" s="1">
        <v>45991</v>
      </c>
      <c r="D1319" t="s">
        <v>171</v>
      </c>
      <c r="E1319" t="s">
        <v>43</v>
      </c>
      <c r="F1319" t="s">
        <v>44</v>
      </c>
      <c r="G1319" t="s">
        <v>16</v>
      </c>
      <c r="H1319">
        <v>6</v>
      </c>
      <c r="I1319">
        <v>128.46</v>
      </c>
      <c r="J1319" t="s">
        <v>28</v>
      </c>
      <c r="K1319" t="s">
        <v>18</v>
      </c>
      <c r="L1319">
        <f>WEEKDAY(Table1[[#This Row],[Transaction_Date]],2)</f>
        <v>7</v>
      </c>
      <c r="M1319">
        <f>IF(Table1[[#This Row],[Sale_Type]]="Buffet",1,0)</f>
        <v>0</v>
      </c>
    </row>
    <row r="1320" spans="1:13" x14ac:dyDescent="0.2">
      <c r="A1320" t="s">
        <v>1591</v>
      </c>
      <c r="B1320" t="s">
        <v>260</v>
      </c>
      <c r="C1320" s="1">
        <v>45991</v>
      </c>
      <c r="D1320" t="s">
        <v>171</v>
      </c>
      <c r="E1320" t="s">
        <v>43</v>
      </c>
      <c r="F1320" t="s">
        <v>50</v>
      </c>
      <c r="G1320" t="s">
        <v>16</v>
      </c>
      <c r="H1320">
        <v>3</v>
      </c>
      <c r="I1320">
        <v>26.86</v>
      </c>
      <c r="J1320" t="s">
        <v>34</v>
      </c>
      <c r="K1320" t="s">
        <v>18</v>
      </c>
      <c r="L1320">
        <f>WEEKDAY(Table1[[#This Row],[Transaction_Date]],2)</f>
        <v>7</v>
      </c>
      <c r="M1320">
        <f>IF(Table1[[#This Row],[Sale_Type]]="Buffet",1,0)</f>
        <v>0</v>
      </c>
    </row>
    <row r="1321" spans="1:13" x14ac:dyDescent="0.2">
      <c r="A1321" t="s">
        <v>1592</v>
      </c>
      <c r="B1321" t="s">
        <v>725</v>
      </c>
      <c r="C1321" s="1">
        <v>45991</v>
      </c>
      <c r="D1321" t="s">
        <v>171</v>
      </c>
      <c r="E1321" t="s">
        <v>43</v>
      </c>
      <c r="F1321" t="s">
        <v>50</v>
      </c>
      <c r="G1321" t="s">
        <v>16</v>
      </c>
      <c r="H1321">
        <v>2</v>
      </c>
      <c r="I1321">
        <v>44.53</v>
      </c>
      <c r="J1321" t="s">
        <v>17</v>
      </c>
      <c r="K1321" t="s">
        <v>18</v>
      </c>
      <c r="L1321">
        <f>WEEKDAY(Table1[[#This Row],[Transaction_Date]],2)</f>
        <v>7</v>
      </c>
      <c r="M1321">
        <f>IF(Table1[[#This Row],[Sale_Type]]="Buffet",1,0)</f>
        <v>0</v>
      </c>
    </row>
    <row r="1322" spans="1:13" x14ac:dyDescent="0.2">
      <c r="A1322" t="s">
        <v>1593</v>
      </c>
      <c r="B1322" t="s">
        <v>419</v>
      </c>
      <c r="C1322" s="1">
        <v>45991</v>
      </c>
      <c r="D1322" t="s">
        <v>171</v>
      </c>
      <c r="E1322" t="s">
        <v>43</v>
      </c>
      <c r="F1322" t="s">
        <v>50</v>
      </c>
      <c r="G1322" t="s">
        <v>16</v>
      </c>
      <c r="H1322">
        <v>2</v>
      </c>
      <c r="I1322">
        <v>67.88</v>
      </c>
      <c r="J1322" t="s">
        <v>17</v>
      </c>
      <c r="K1322" t="s">
        <v>18</v>
      </c>
      <c r="L1322">
        <f>WEEKDAY(Table1[[#This Row],[Transaction_Date]],2)</f>
        <v>7</v>
      </c>
      <c r="M1322">
        <f>IF(Table1[[#This Row],[Sale_Type]]="Buffet",1,0)</f>
        <v>0</v>
      </c>
    </row>
    <row r="1323" spans="1:13" x14ac:dyDescent="0.2">
      <c r="A1323" t="s">
        <v>1594</v>
      </c>
      <c r="B1323" t="s">
        <v>278</v>
      </c>
      <c r="C1323" s="1">
        <v>45991</v>
      </c>
      <c r="D1323" t="s">
        <v>171</v>
      </c>
      <c r="E1323" t="s">
        <v>43</v>
      </c>
      <c r="F1323" t="s">
        <v>57</v>
      </c>
      <c r="G1323" t="s">
        <v>16</v>
      </c>
      <c r="H1323">
        <v>2</v>
      </c>
      <c r="I1323">
        <v>31.95</v>
      </c>
      <c r="J1323" t="s">
        <v>17</v>
      </c>
      <c r="K1323" t="s">
        <v>21</v>
      </c>
      <c r="L1323">
        <f>WEEKDAY(Table1[[#This Row],[Transaction_Date]],2)</f>
        <v>7</v>
      </c>
      <c r="M1323">
        <f>IF(Table1[[#This Row],[Sale_Type]]="Buffet",1,0)</f>
        <v>0</v>
      </c>
    </row>
    <row r="1324" spans="1:13" x14ac:dyDescent="0.2">
      <c r="A1324" t="s">
        <v>1595</v>
      </c>
      <c r="B1324" t="s">
        <v>737</v>
      </c>
      <c r="C1324" s="1">
        <v>45992</v>
      </c>
      <c r="D1324" t="s">
        <v>213</v>
      </c>
      <c r="E1324" t="s">
        <v>14</v>
      </c>
      <c r="F1324" t="s">
        <v>15</v>
      </c>
      <c r="G1324" t="s">
        <v>16</v>
      </c>
      <c r="H1324">
        <v>6</v>
      </c>
      <c r="I1324">
        <v>208.41</v>
      </c>
      <c r="J1324" t="s">
        <v>34</v>
      </c>
      <c r="K1324" t="s">
        <v>18</v>
      </c>
      <c r="L1324">
        <f>WEEKDAY(Table1[[#This Row],[Transaction_Date]],2)</f>
        <v>1</v>
      </c>
      <c r="M1324">
        <f>IF(Table1[[#This Row],[Sale_Type]]="Buffet",1,0)</f>
        <v>0</v>
      </c>
    </row>
    <row r="1325" spans="1:13" x14ac:dyDescent="0.2">
      <c r="A1325" t="s">
        <v>1596</v>
      </c>
      <c r="B1325" t="s">
        <v>1077</v>
      </c>
      <c r="C1325" s="1">
        <v>45992</v>
      </c>
      <c r="D1325" t="s">
        <v>213</v>
      </c>
      <c r="E1325" t="s">
        <v>14</v>
      </c>
      <c r="F1325" t="s">
        <v>15</v>
      </c>
      <c r="G1325" t="s">
        <v>16</v>
      </c>
      <c r="H1325">
        <v>4</v>
      </c>
      <c r="I1325">
        <v>59.28</v>
      </c>
      <c r="J1325" t="s">
        <v>34</v>
      </c>
      <c r="K1325" t="s">
        <v>18</v>
      </c>
      <c r="L1325">
        <f>WEEKDAY(Table1[[#This Row],[Transaction_Date]],2)</f>
        <v>1</v>
      </c>
      <c r="M1325">
        <f>IF(Table1[[#This Row],[Sale_Type]]="Buffet",1,0)</f>
        <v>0</v>
      </c>
    </row>
    <row r="1326" spans="1:13" x14ac:dyDescent="0.2">
      <c r="A1326" t="s">
        <v>1597</v>
      </c>
      <c r="B1326" t="s">
        <v>72</v>
      </c>
      <c r="C1326" s="1">
        <v>45992</v>
      </c>
      <c r="D1326" t="s">
        <v>213</v>
      </c>
      <c r="E1326" t="s">
        <v>14</v>
      </c>
      <c r="F1326" t="s">
        <v>15</v>
      </c>
      <c r="G1326" t="s">
        <v>16</v>
      </c>
      <c r="H1326">
        <v>4</v>
      </c>
      <c r="I1326">
        <v>117.49</v>
      </c>
      <c r="J1326" t="s">
        <v>17</v>
      </c>
      <c r="K1326" t="s">
        <v>18</v>
      </c>
      <c r="L1326">
        <f>WEEKDAY(Table1[[#This Row],[Transaction_Date]],2)</f>
        <v>1</v>
      </c>
      <c r="M1326">
        <f>IF(Table1[[#This Row],[Sale_Type]]="Buffet",1,0)</f>
        <v>0</v>
      </c>
    </row>
    <row r="1327" spans="1:13" x14ac:dyDescent="0.2">
      <c r="A1327" t="s">
        <v>1598</v>
      </c>
      <c r="B1327" t="s">
        <v>740</v>
      </c>
      <c r="C1327" s="1">
        <v>45992</v>
      </c>
      <c r="D1327" t="s">
        <v>213</v>
      </c>
      <c r="E1327" t="s">
        <v>14</v>
      </c>
      <c r="F1327" t="s">
        <v>24</v>
      </c>
      <c r="G1327" t="s">
        <v>16</v>
      </c>
      <c r="H1327">
        <v>5</v>
      </c>
      <c r="I1327">
        <v>116.47</v>
      </c>
      <c r="J1327" t="s">
        <v>34</v>
      </c>
      <c r="K1327" t="s">
        <v>18</v>
      </c>
      <c r="L1327">
        <f>WEEKDAY(Table1[[#This Row],[Transaction_Date]],2)</f>
        <v>1</v>
      </c>
      <c r="M1327">
        <f>IF(Table1[[#This Row],[Sale_Type]]="Buffet",1,0)</f>
        <v>0</v>
      </c>
    </row>
    <row r="1328" spans="1:13" x14ac:dyDescent="0.2">
      <c r="A1328" t="s">
        <v>1599</v>
      </c>
      <c r="B1328" t="s">
        <v>998</v>
      </c>
      <c r="C1328" s="1">
        <v>45992</v>
      </c>
      <c r="D1328" t="s">
        <v>213</v>
      </c>
      <c r="E1328" t="s">
        <v>14</v>
      </c>
      <c r="F1328" t="s">
        <v>27</v>
      </c>
      <c r="G1328" t="s">
        <v>16</v>
      </c>
      <c r="H1328">
        <v>5</v>
      </c>
      <c r="I1328">
        <v>81.02</v>
      </c>
      <c r="J1328" t="s">
        <v>34</v>
      </c>
      <c r="K1328" t="s">
        <v>18</v>
      </c>
      <c r="L1328">
        <f>WEEKDAY(Table1[[#This Row],[Transaction_Date]],2)</f>
        <v>1</v>
      </c>
      <c r="M1328">
        <f>IF(Table1[[#This Row],[Sale_Type]]="Buffet",1,0)</f>
        <v>0</v>
      </c>
    </row>
    <row r="1329" spans="1:13" x14ac:dyDescent="0.2">
      <c r="A1329" t="s">
        <v>1600</v>
      </c>
      <c r="B1329" t="s">
        <v>264</v>
      </c>
      <c r="C1329" s="1">
        <v>45992</v>
      </c>
      <c r="D1329" t="s">
        <v>213</v>
      </c>
      <c r="E1329" t="s">
        <v>14</v>
      </c>
      <c r="F1329" t="s">
        <v>27</v>
      </c>
      <c r="G1329" t="s">
        <v>16</v>
      </c>
      <c r="H1329">
        <v>4</v>
      </c>
      <c r="I1329">
        <v>84.34</v>
      </c>
      <c r="J1329" t="s">
        <v>28</v>
      </c>
      <c r="K1329" t="s">
        <v>18</v>
      </c>
      <c r="L1329">
        <f>WEEKDAY(Table1[[#This Row],[Transaction_Date]],2)</f>
        <v>1</v>
      </c>
      <c r="M1329">
        <f>IF(Table1[[#This Row],[Sale_Type]]="Buffet",1,0)</f>
        <v>0</v>
      </c>
    </row>
    <row r="1330" spans="1:13" x14ac:dyDescent="0.2">
      <c r="A1330" t="s">
        <v>1601</v>
      </c>
      <c r="B1330" t="s">
        <v>545</v>
      </c>
      <c r="C1330" s="1">
        <v>45992</v>
      </c>
      <c r="D1330" t="s">
        <v>213</v>
      </c>
      <c r="E1330" t="s">
        <v>14</v>
      </c>
      <c r="F1330" t="s">
        <v>27</v>
      </c>
      <c r="G1330" t="s">
        <v>16</v>
      </c>
      <c r="H1330">
        <v>4</v>
      </c>
      <c r="I1330">
        <v>136.12</v>
      </c>
      <c r="J1330" t="s">
        <v>34</v>
      </c>
      <c r="K1330" t="s">
        <v>18</v>
      </c>
      <c r="L1330">
        <f>WEEKDAY(Table1[[#This Row],[Transaction_Date]],2)</f>
        <v>1</v>
      </c>
      <c r="M1330">
        <f>IF(Table1[[#This Row],[Sale_Type]]="Buffet",1,0)</f>
        <v>0</v>
      </c>
    </row>
    <row r="1331" spans="1:13" x14ac:dyDescent="0.2">
      <c r="A1331" t="s">
        <v>1602</v>
      </c>
      <c r="B1331" t="s">
        <v>438</v>
      </c>
      <c r="C1331" s="1">
        <v>45992</v>
      </c>
      <c r="D1331" t="s">
        <v>213</v>
      </c>
      <c r="E1331" t="s">
        <v>14</v>
      </c>
      <c r="F1331" t="s">
        <v>27</v>
      </c>
      <c r="G1331" t="s">
        <v>16</v>
      </c>
      <c r="H1331">
        <v>4</v>
      </c>
      <c r="I1331">
        <v>107.28</v>
      </c>
      <c r="J1331" t="s">
        <v>17</v>
      </c>
      <c r="K1331" t="s">
        <v>18</v>
      </c>
      <c r="L1331">
        <f>WEEKDAY(Table1[[#This Row],[Transaction_Date]],2)</f>
        <v>1</v>
      </c>
      <c r="M1331">
        <f>IF(Table1[[#This Row],[Sale_Type]]="Buffet",1,0)</f>
        <v>0</v>
      </c>
    </row>
    <row r="1332" spans="1:13" x14ac:dyDescent="0.2">
      <c r="A1332" t="s">
        <v>1603</v>
      </c>
      <c r="B1332" t="s">
        <v>192</v>
      </c>
      <c r="C1332" s="1">
        <v>45992</v>
      </c>
      <c r="D1332" t="s">
        <v>213</v>
      </c>
      <c r="E1332" t="s">
        <v>14</v>
      </c>
      <c r="F1332" t="s">
        <v>31</v>
      </c>
      <c r="G1332" t="s">
        <v>16</v>
      </c>
      <c r="H1332">
        <v>3</v>
      </c>
      <c r="I1332">
        <v>77.64</v>
      </c>
      <c r="J1332" t="s">
        <v>34</v>
      </c>
      <c r="K1332" t="s">
        <v>18</v>
      </c>
      <c r="L1332">
        <f>WEEKDAY(Table1[[#This Row],[Transaction_Date]],2)</f>
        <v>1</v>
      </c>
      <c r="M1332">
        <f>IF(Table1[[#This Row],[Sale_Type]]="Buffet",1,0)</f>
        <v>0</v>
      </c>
    </row>
    <row r="1333" spans="1:13" x14ac:dyDescent="0.2">
      <c r="A1333" t="s">
        <v>1604</v>
      </c>
      <c r="B1333" t="s">
        <v>262</v>
      </c>
      <c r="C1333" s="1">
        <v>45992</v>
      </c>
      <c r="D1333" t="s">
        <v>213</v>
      </c>
      <c r="E1333" t="s">
        <v>14</v>
      </c>
      <c r="F1333" t="s">
        <v>31</v>
      </c>
      <c r="G1333" t="s">
        <v>16</v>
      </c>
      <c r="H1333">
        <v>2</v>
      </c>
      <c r="I1333">
        <v>80.27</v>
      </c>
      <c r="J1333" t="s">
        <v>17</v>
      </c>
      <c r="K1333" t="s">
        <v>18</v>
      </c>
      <c r="L1333">
        <f>WEEKDAY(Table1[[#This Row],[Transaction_Date]],2)</f>
        <v>1</v>
      </c>
      <c r="M1333">
        <f>IF(Table1[[#This Row],[Sale_Type]]="Buffet",1,0)</f>
        <v>0</v>
      </c>
    </row>
    <row r="1334" spans="1:13" x14ac:dyDescent="0.2">
      <c r="A1334" t="s">
        <v>1605</v>
      </c>
      <c r="B1334" t="s">
        <v>537</v>
      </c>
      <c r="C1334" s="1">
        <v>45992</v>
      </c>
      <c r="D1334" t="s">
        <v>213</v>
      </c>
      <c r="E1334" t="s">
        <v>14</v>
      </c>
      <c r="F1334" t="s">
        <v>40</v>
      </c>
      <c r="G1334" t="s">
        <v>16</v>
      </c>
      <c r="H1334">
        <v>5</v>
      </c>
      <c r="I1334">
        <v>179.83</v>
      </c>
      <c r="J1334" t="s">
        <v>28</v>
      </c>
      <c r="K1334" t="s">
        <v>18</v>
      </c>
      <c r="L1334">
        <f>WEEKDAY(Table1[[#This Row],[Transaction_Date]],2)</f>
        <v>1</v>
      </c>
      <c r="M1334">
        <f>IF(Table1[[#This Row],[Sale_Type]]="Buffet",1,0)</f>
        <v>0</v>
      </c>
    </row>
    <row r="1335" spans="1:13" x14ac:dyDescent="0.2">
      <c r="A1335" t="s">
        <v>1606</v>
      </c>
      <c r="B1335" t="s">
        <v>567</v>
      </c>
      <c r="C1335" s="1">
        <v>45992</v>
      </c>
      <c r="D1335" t="s">
        <v>213</v>
      </c>
      <c r="E1335" t="s">
        <v>43</v>
      </c>
      <c r="F1335" t="s">
        <v>44</v>
      </c>
      <c r="G1335" t="s">
        <v>16</v>
      </c>
      <c r="H1335">
        <v>4</v>
      </c>
      <c r="I1335">
        <v>82.88</v>
      </c>
      <c r="J1335" t="s">
        <v>34</v>
      </c>
      <c r="K1335" t="s">
        <v>18</v>
      </c>
      <c r="L1335">
        <f>WEEKDAY(Table1[[#This Row],[Transaction_Date]],2)</f>
        <v>1</v>
      </c>
      <c r="M1335">
        <f>IF(Table1[[#This Row],[Sale_Type]]="Buffet",1,0)</f>
        <v>0</v>
      </c>
    </row>
    <row r="1336" spans="1:13" x14ac:dyDescent="0.2">
      <c r="A1336" t="s">
        <v>1607</v>
      </c>
      <c r="B1336" t="s">
        <v>300</v>
      </c>
      <c r="C1336" s="1">
        <v>45992</v>
      </c>
      <c r="D1336" t="s">
        <v>213</v>
      </c>
      <c r="E1336" t="s">
        <v>43</v>
      </c>
      <c r="F1336" t="s">
        <v>44</v>
      </c>
      <c r="G1336" t="s">
        <v>16</v>
      </c>
      <c r="H1336">
        <v>4</v>
      </c>
      <c r="I1336">
        <v>123.52</v>
      </c>
      <c r="J1336" t="s">
        <v>17</v>
      </c>
      <c r="K1336" t="s">
        <v>21</v>
      </c>
      <c r="L1336">
        <f>WEEKDAY(Table1[[#This Row],[Transaction_Date]],2)</f>
        <v>1</v>
      </c>
      <c r="M1336">
        <f>IF(Table1[[#This Row],[Sale_Type]]="Buffet",1,0)</f>
        <v>0</v>
      </c>
    </row>
    <row r="1337" spans="1:13" x14ac:dyDescent="0.2">
      <c r="A1337" t="s">
        <v>1608</v>
      </c>
      <c r="B1337" t="s">
        <v>258</v>
      </c>
      <c r="C1337" s="1">
        <v>45992</v>
      </c>
      <c r="D1337" t="s">
        <v>213</v>
      </c>
      <c r="E1337" t="s">
        <v>43</v>
      </c>
      <c r="F1337" t="s">
        <v>44</v>
      </c>
      <c r="G1337" t="s">
        <v>16</v>
      </c>
      <c r="H1337">
        <v>2</v>
      </c>
      <c r="I1337">
        <v>26.47</v>
      </c>
      <c r="J1337" t="s">
        <v>34</v>
      </c>
      <c r="K1337" t="s">
        <v>18</v>
      </c>
      <c r="L1337">
        <f>WEEKDAY(Table1[[#This Row],[Transaction_Date]],2)</f>
        <v>1</v>
      </c>
      <c r="M1337">
        <f>IF(Table1[[#This Row],[Sale_Type]]="Buffet",1,0)</f>
        <v>0</v>
      </c>
    </row>
    <row r="1338" spans="1:13" x14ac:dyDescent="0.2">
      <c r="A1338" t="s">
        <v>1609</v>
      </c>
      <c r="B1338" t="s">
        <v>81</v>
      </c>
      <c r="C1338" s="1">
        <v>45992</v>
      </c>
      <c r="D1338" t="s">
        <v>213</v>
      </c>
      <c r="E1338" t="s">
        <v>43</v>
      </c>
      <c r="F1338" t="s">
        <v>57</v>
      </c>
      <c r="G1338" t="s">
        <v>16</v>
      </c>
      <c r="H1338">
        <v>3</v>
      </c>
      <c r="I1338">
        <v>67.8</v>
      </c>
      <c r="J1338" t="s">
        <v>17</v>
      </c>
      <c r="K1338" t="s">
        <v>18</v>
      </c>
      <c r="L1338">
        <f>WEEKDAY(Table1[[#This Row],[Transaction_Date]],2)</f>
        <v>1</v>
      </c>
      <c r="M1338">
        <f>IF(Table1[[#This Row],[Sale_Type]]="Buffet",1,0)</f>
        <v>0</v>
      </c>
    </row>
    <row r="1339" spans="1:13" x14ac:dyDescent="0.2">
      <c r="A1339" t="s">
        <v>1610</v>
      </c>
      <c r="B1339" t="s">
        <v>249</v>
      </c>
      <c r="C1339" s="1">
        <v>45993</v>
      </c>
      <c r="D1339" t="s">
        <v>250</v>
      </c>
      <c r="E1339" t="s">
        <v>14</v>
      </c>
      <c r="F1339" t="s">
        <v>15</v>
      </c>
      <c r="G1339" t="s">
        <v>16</v>
      </c>
      <c r="H1339">
        <v>2</v>
      </c>
      <c r="I1339">
        <v>46.86</v>
      </c>
      <c r="J1339" t="s">
        <v>17</v>
      </c>
      <c r="K1339" t="s">
        <v>21</v>
      </c>
      <c r="L1339">
        <f>WEEKDAY(Table1[[#This Row],[Transaction_Date]],2)</f>
        <v>2</v>
      </c>
      <c r="M1339">
        <f>IF(Table1[[#This Row],[Sale_Type]]="Buffet",1,0)</f>
        <v>0</v>
      </c>
    </row>
    <row r="1340" spans="1:13" x14ac:dyDescent="0.2">
      <c r="A1340" t="s">
        <v>1611</v>
      </c>
      <c r="B1340" t="s">
        <v>124</v>
      </c>
      <c r="C1340" s="1">
        <v>45993</v>
      </c>
      <c r="D1340" t="s">
        <v>250</v>
      </c>
      <c r="E1340" t="s">
        <v>14</v>
      </c>
      <c r="F1340" t="s">
        <v>15</v>
      </c>
      <c r="G1340" t="s">
        <v>16</v>
      </c>
      <c r="H1340">
        <v>1</v>
      </c>
      <c r="I1340">
        <v>20.309999999999999</v>
      </c>
      <c r="J1340" t="s">
        <v>17</v>
      </c>
      <c r="K1340" t="s">
        <v>21</v>
      </c>
      <c r="L1340">
        <f>WEEKDAY(Table1[[#This Row],[Transaction_Date]],2)</f>
        <v>2</v>
      </c>
      <c r="M1340">
        <f>IF(Table1[[#This Row],[Sale_Type]]="Buffet",1,0)</f>
        <v>0</v>
      </c>
    </row>
    <row r="1341" spans="1:13" x14ac:dyDescent="0.2">
      <c r="A1341" t="s">
        <v>1612</v>
      </c>
      <c r="B1341" t="s">
        <v>737</v>
      </c>
      <c r="C1341" s="1">
        <v>45993</v>
      </c>
      <c r="D1341" t="s">
        <v>250</v>
      </c>
      <c r="E1341" t="s">
        <v>14</v>
      </c>
      <c r="F1341" t="s">
        <v>15</v>
      </c>
      <c r="G1341" t="s">
        <v>16</v>
      </c>
      <c r="H1341">
        <v>1</v>
      </c>
      <c r="I1341">
        <v>37.630000000000003</v>
      </c>
      <c r="J1341" t="s">
        <v>34</v>
      </c>
      <c r="K1341" t="s">
        <v>18</v>
      </c>
      <c r="L1341">
        <f>WEEKDAY(Table1[[#This Row],[Transaction_Date]],2)</f>
        <v>2</v>
      </c>
      <c r="M1341">
        <f>IF(Table1[[#This Row],[Sale_Type]]="Buffet",1,0)</f>
        <v>0</v>
      </c>
    </row>
    <row r="1342" spans="1:13" x14ac:dyDescent="0.2">
      <c r="A1342" t="s">
        <v>1613</v>
      </c>
      <c r="B1342" t="s">
        <v>1179</v>
      </c>
      <c r="C1342" s="1">
        <v>45993</v>
      </c>
      <c r="D1342" t="s">
        <v>250</v>
      </c>
      <c r="E1342" t="s">
        <v>14</v>
      </c>
      <c r="F1342" t="s">
        <v>15</v>
      </c>
      <c r="G1342" t="s">
        <v>16</v>
      </c>
      <c r="H1342">
        <v>2</v>
      </c>
      <c r="I1342">
        <v>81.16</v>
      </c>
      <c r="J1342" t="s">
        <v>34</v>
      </c>
      <c r="K1342" t="s">
        <v>21</v>
      </c>
      <c r="L1342">
        <f>WEEKDAY(Table1[[#This Row],[Transaction_Date]],2)</f>
        <v>2</v>
      </c>
      <c r="M1342">
        <f>IF(Table1[[#This Row],[Sale_Type]]="Buffet",1,0)</f>
        <v>0</v>
      </c>
    </row>
    <row r="1343" spans="1:13" x14ac:dyDescent="0.2">
      <c r="A1343" t="s">
        <v>1614</v>
      </c>
      <c r="B1343" t="s">
        <v>278</v>
      </c>
      <c r="C1343" s="1">
        <v>45993</v>
      </c>
      <c r="D1343" t="s">
        <v>250</v>
      </c>
      <c r="E1343" t="s">
        <v>14</v>
      </c>
      <c r="F1343" t="s">
        <v>15</v>
      </c>
      <c r="G1343" t="s">
        <v>16</v>
      </c>
      <c r="H1343">
        <v>6</v>
      </c>
      <c r="I1343">
        <v>153.58000000000001</v>
      </c>
      <c r="J1343" t="s">
        <v>17</v>
      </c>
      <c r="K1343" t="s">
        <v>18</v>
      </c>
      <c r="L1343">
        <f>WEEKDAY(Table1[[#This Row],[Transaction_Date]],2)</f>
        <v>2</v>
      </c>
      <c r="M1343">
        <f>IF(Table1[[#This Row],[Sale_Type]]="Buffet",1,0)</f>
        <v>0</v>
      </c>
    </row>
    <row r="1344" spans="1:13" x14ac:dyDescent="0.2">
      <c r="A1344" t="s">
        <v>1615</v>
      </c>
      <c r="B1344" t="s">
        <v>537</v>
      </c>
      <c r="C1344" s="1">
        <v>45993</v>
      </c>
      <c r="D1344" t="s">
        <v>250</v>
      </c>
      <c r="E1344" t="s">
        <v>14</v>
      </c>
      <c r="F1344" t="s">
        <v>24</v>
      </c>
      <c r="G1344" t="s">
        <v>16</v>
      </c>
      <c r="H1344">
        <v>2</v>
      </c>
      <c r="I1344">
        <v>89.68</v>
      </c>
      <c r="J1344" t="s">
        <v>34</v>
      </c>
      <c r="K1344" t="s">
        <v>18</v>
      </c>
      <c r="L1344">
        <f>WEEKDAY(Table1[[#This Row],[Transaction_Date]],2)</f>
        <v>2</v>
      </c>
      <c r="M1344">
        <f>IF(Table1[[#This Row],[Sale_Type]]="Buffet",1,0)</f>
        <v>0</v>
      </c>
    </row>
    <row r="1345" spans="1:13" x14ac:dyDescent="0.2">
      <c r="A1345" t="s">
        <v>1616</v>
      </c>
      <c r="B1345" t="s">
        <v>630</v>
      </c>
      <c r="C1345" s="1">
        <v>45993</v>
      </c>
      <c r="D1345" t="s">
        <v>250</v>
      </c>
      <c r="E1345" t="s">
        <v>14</v>
      </c>
      <c r="F1345" t="s">
        <v>24</v>
      </c>
      <c r="G1345" t="s">
        <v>16</v>
      </c>
      <c r="H1345">
        <v>1</v>
      </c>
      <c r="I1345">
        <v>45.66</v>
      </c>
      <c r="J1345" t="s">
        <v>34</v>
      </c>
      <c r="K1345" t="s">
        <v>21</v>
      </c>
      <c r="L1345">
        <f>WEEKDAY(Table1[[#This Row],[Transaction_Date]],2)</f>
        <v>2</v>
      </c>
      <c r="M1345">
        <f>IF(Table1[[#This Row],[Sale_Type]]="Buffet",1,0)</f>
        <v>0</v>
      </c>
    </row>
    <row r="1346" spans="1:13" x14ac:dyDescent="0.2">
      <c r="A1346" t="s">
        <v>1617</v>
      </c>
      <c r="B1346" t="s">
        <v>59</v>
      </c>
      <c r="C1346" s="1">
        <v>45993</v>
      </c>
      <c r="D1346" t="s">
        <v>250</v>
      </c>
      <c r="E1346" t="s">
        <v>14</v>
      </c>
      <c r="F1346" t="s">
        <v>24</v>
      </c>
      <c r="G1346" t="s">
        <v>16</v>
      </c>
      <c r="H1346">
        <v>1</v>
      </c>
      <c r="I1346">
        <v>29.61</v>
      </c>
      <c r="J1346" t="s">
        <v>34</v>
      </c>
      <c r="K1346" t="s">
        <v>18</v>
      </c>
      <c r="L1346">
        <f>WEEKDAY(Table1[[#This Row],[Transaction_Date]],2)</f>
        <v>2</v>
      </c>
      <c r="M1346">
        <f>IF(Table1[[#This Row],[Sale_Type]]="Buffet",1,0)</f>
        <v>0</v>
      </c>
    </row>
    <row r="1347" spans="1:13" x14ac:dyDescent="0.2">
      <c r="A1347" t="s">
        <v>1618</v>
      </c>
      <c r="B1347" t="s">
        <v>180</v>
      </c>
      <c r="C1347" s="1">
        <v>45993</v>
      </c>
      <c r="D1347" t="s">
        <v>250</v>
      </c>
      <c r="E1347" t="s">
        <v>14</v>
      </c>
      <c r="F1347" t="s">
        <v>24</v>
      </c>
      <c r="G1347" t="s">
        <v>16</v>
      </c>
      <c r="H1347">
        <v>3</v>
      </c>
      <c r="I1347">
        <v>65.53</v>
      </c>
      <c r="J1347" t="s">
        <v>17</v>
      </c>
      <c r="K1347" t="s">
        <v>18</v>
      </c>
      <c r="L1347">
        <f>WEEKDAY(Table1[[#This Row],[Transaction_Date]],2)</f>
        <v>2</v>
      </c>
      <c r="M1347">
        <f>IF(Table1[[#This Row],[Sale_Type]]="Buffet",1,0)</f>
        <v>0</v>
      </c>
    </row>
    <row r="1348" spans="1:13" x14ac:dyDescent="0.2">
      <c r="A1348" t="s">
        <v>1619</v>
      </c>
      <c r="B1348" t="s">
        <v>1179</v>
      </c>
      <c r="C1348" s="1">
        <v>45993</v>
      </c>
      <c r="D1348" t="s">
        <v>250</v>
      </c>
      <c r="E1348" t="s">
        <v>14</v>
      </c>
      <c r="F1348" t="s">
        <v>24</v>
      </c>
      <c r="G1348" t="s">
        <v>16</v>
      </c>
      <c r="H1348">
        <v>4</v>
      </c>
      <c r="I1348">
        <v>161.68</v>
      </c>
      <c r="J1348" t="s">
        <v>17</v>
      </c>
      <c r="K1348" t="s">
        <v>18</v>
      </c>
      <c r="L1348">
        <f>WEEKDAY(Table1[[#This Row],[Transaction_Date]],2)</f>
        <v>2</v>
      </c>
      <c r="M1348">
        <f>IF(Table1[[#This Row],[Sale_Type]]="Buffet",1,0)</f>
        <v>0</v>
      </c>
    </row>
    <row r="1349" spans="1:13" x14ac:dyDescent="0.2">
      <c r="A1349" t="s">
        <v>1620</v>
      </c>
      <c r="B1349" t="s">
        <v>156</v>
      </c>
      <c r="C1349" s="1">
        <v>45993</v>
      </c>
      <c r="D1349" t="s">
        <v>250</v>
      </c>
      <c r="E1349" t="s">
        <v>14</v>
      </c>
      <c r="F1349" t="s">
        <v>24</v>
      </c>
      <c r="G1349" t="s">
        <v>16</v>
      </c>
      <c r="H1349">
        <v>2</v>
      </c>
      <c r="I1349">
        <v>54.36</v>
      </c>
      <c r="J1349" t="s">
        <v>17</v>
      </c>
      <c r="K1349" t="s">
        <v>18</v>
      </c>
      <c r="L1349">
        <f>WEEKDAY(Table1[[#This Row],[Transaction_Date]],2)</f>
        <v>2</v>
      </c>
      <c r="M1349">
        <f>IF(Table1[[#This Row],[Sale_Type]]="Buffet",1,0)</f>
        <v>0</v>
      </c>
    </row>
    <row r="1350" spans="1:13" x14ac:dyDescent="0.2">
      <c r="A1350" t="s">
        <v>1621</v>
      </c>
      <c r="B1350" t="s">
        <v>952</v>
      </c>
      <c r="C1350" s="1">
        <v>45993</v>
      </c>
      <c r="D1350" t="s">
        <v>250</v>
      </c>
      <c r="E1350" t="s">
        <v>14</v>
      </c>
      <c r="F1350" t="s">
        <v>27</v>
      </c>
      <c r="G1350" t="s">
        <v>16</v>
      </c>
      <c r="H1350">
        <v>4</v>
      </c>
      <c r="I1350">
        <v>146.12</v>
      </c>
      <c r="J1350" t="s">
        <v>17</v>
      </c>
      <c r="K1350" t="s">
        <v>18</v>
      </c>
      <c r="L1350">
        <f>WEEKDAY(Table1[[#This Row],[Transaction_Date]],2)</f>
        <v>2</v>
      </c>
      <c r="M1350">
        <f>IF(Table1[[#This Row],[Sale_Type]]="Buffet",1,0)</f>
        <v>0</v>
      </c>
    </row>
    <row r="1351" spans="1:13" x14ac:dyDescent="0.2">
      <c r="A1351" t="s">
        <v>1622</v>
      </c>
      <c r="B1351" t="s">
        <v>226</v>
      </c>
      <c r="C1351" s="1">
        <v>45993</v>
      </c>
      <c r="D1351" t="s">
        <v>250</v>
      </c>
      <c r="E1351" t="s">
        <v>14</v>
      </c>
      <c r="F1351" t="s">
        <v>27</v>
      </c>
      <c r="G1351" t="s">
        <v>16</v>
      </c>
      <c r="H1351">
        <v>3</v>
      </c>
      <c r="I1351">
        <v>57</v>
      </c>
      <c r="J1351" t="s">
        <v>28</v>
      </c>
      <c r="K1351" t="s">
        <v>21</v>
      </c>
      <c r="L1351">
        <f>WEEKDAY(Table1[[#This Row],[Transaction_Date]],2)</f>
        <v>2</v>
      </c>
      <c r="M1351">
        <f>IF(Table1[[#This Row],[Sale_Type]]="Buffet",1,0)</f>
        <v>0</v>
      </c>
    </row>
    <row r="1352" spans="1:13" x14ac:dyDescent="0.2">
      <c r="A1352" t="s">
        <v>1623</v>
      </c>
      <c r="B1352" t="s">
        <v>495</v>
      </c>
      <c r="C1352" s="1">
        <v>45993</v>
      </c>
      <c r="D1352" t="s">
        <v>250</v>
      </c>
      <c r="E1352" t="s">
        <v>14</v>
      </c>
      <c r="F1352" t="s">
        <v>27</v>
      </c>
      <c r="G1352" t="s">
        <v>16</v>
      </c>
      <c r="H1352">
        <v>2</v>
      </c>
      <c r="I1352">
        <v>40.93</v>
      </c>
      <c r="J1352" t="s">
        <v>17</v>
      </c>
      <c r="K1352" t="s">
        <v>18</v>
      </c>
      <c r="L1352">
        <f>WEEKDAY(Table1[[#This Row],[Transaction_Date]],2)</f>
        <v>2</v>
      </c>
      <c r="M1352">
        <f>IF(Table1[[#This Row],[Sale_Type]]="Buffet",1,0)</f>
        <v>0</v>
      </c>
    </row>
    <row r="1353" spans="1:13" x14ac:dyDescent="0.2">
      <c r="A1353" t="s">
        <v>1624</v>
      </c>
      <c r="B1353" t="s">
        <v>743</v>
      </c>
      <c r="C1353" s="1">
        <v>45993</v>
      </c>
      <c r="D1353" t="s">
        <v>250</v>
      </c>
      <c r="E1353" t="s">
        <v>14</v>
      </c>
      <c r="F1353" t="s">
        <v>27</v>
      </c>
      <c r="G1353" t="s">
        <v>16</v>
      </c>
      <c r="H1353">
        <v>6</v>
      </c>
      <c r="I1353">
        <v>107.76</v>
      </c>
      <c r="J1353" t="s">
        <v>28</v>
      </c>
      <c r="K1353" t="s">
        <v>18</v>
      </c>
      <c r="L1353">
        <f>WEEKDAY(Table1[[#This Row],[Transaction_Date]],2)</f>
        <v>2</v>
      </c>
      <c r="M1353">
        <f>IF(Table1[[#This Row],[Sale_Type]]="Buffet",1,0)</f>
        <v>0</v>
      </c>
    </row>
    <row r="1354" spans="1:13" x14ac:dyDescent="0.2">
      <c r="A1354" t="s">
        <v>1625</v>
      </c>
      <c r="B1354" t="s">
        <v>37</v>
      </c>
      <c r="C1354" s="1">
        <v>45993</v>
      </c>
      <c r="D1354" t="s">
        <v>250</v>
      </c>
      <c r="E1354" t="s">
        <v>14</v>
      </c>
      <c r="F1354" t="s">
        <v>27</v>
      </c>
      <c r="G1354" t="s">
        <v>16</v>
      </c>
      <c r="H1354">
        <v>3</v>
      </c>
      <c r="I1354">
        <v>92.8</v>
      </c>
      <c r="J1354" t="s">
        <v>34</v>
      </c>
      <c r="K1354" t="s">
        <v>18</v>
      </c>
      <c r="L1354">
        <f>WEEKDAY(Table1[[#This Row],[Transaction_Date]],2)</f>
        <v>2</v>
      </c>
      <c r="M1354">
        <f>IF(Table1[[#This Row],[Sale_Type]]="Buffet",1,0)</f>
        <v>0</v>
      </c>
    </row>
    <row r="1355" spans="1:13" x14ac:dyDescent="0.2">
      <c r="A1355" t="s">
        <v>1626</v>
      </c>
      <c r="B1355" t="s">
        <v>138</v>
      </c>
      <c r="C1355" s="1">
        <v>45993</v>
      </c>
      <c r="D1355" t="s">
        <v>250</v>
      </c>
      <c r="E1355" t="s">
        <v>14</v>
      </c>
      <c r="F1355" t="s">
        <v>31</v>
      </c>
      <c r="G1355" t="s">
        <v>16</v>
      </c>
      <c r="H1355">
        <v>6</v>
      </c>
      <c r="I1355">
        <v>257.70999999999998</v>
      </c>
      <c r="J1355" t="s">
        <v>17</v>
      </c>
      <c r="K1355" t="s">
        <v>18</v>
      </c>
      <c r="L1355">
        <f>WEEKDAY(Table1[[#This Row],[Transaction_Date]],2)</f>
        <v>2</v>
      </c>
      <c r="M1355">
        <f>IF(Table1[[#This Row],[Sale_Type]]="Buffet",1,0)</f>
        <v>0</v>
      </c>
    </row>
    <row r="1356" spans="1:13" x14ac:dyDescent="0.2">
      <c r="A1356" t="s">
        <v>1627</v>
      </c>
      <c r="B1356" t="s">
        <v>178</v>
      </c>
      <c r="C1356" s="1">
        <v>45993</v>
      </c>
      <c r="D1356" t="s">
        <v>250</v>
      </c>
      <c r="E1356" t="s">
        <v>14</v>
      </c>
      <c r="F1356" t="s">
        <v>31</v>
      </c>
      <c r="G1356" t="s">
        <v>16</v>
      </c>
      <c r="H1356">
        <v>2</v>
      </c>
      <c r="I1356">
        <v>58.1</v>
      </c>
      <c r="J1356" t="s">
        <v>28</v>
      </c>
      <c r="K1356" t="s">
        <v>18</v>
      </c>
      <c r="L1356">
        <f>WEEKDAY(Table1[[#This Row],[Transaction_Date]],2)</f>
        <v>2</v>
      </c>
      <c r="M1356">
        <f>IF(Table1[[#This Row],[Sale_Type]]="Buffet",1,0)</f>
        <v>0</v>
      </c>
    </row>
    <row r="1357" spans="1:13" x14ac:dyDescent="0.2">
      <c r="A1357" t="s">
        <v>1628</v>
      </c>
      <c r="B1357" t="s">
        <v>252</v>
      </c>
      <c r="C1357" s="1">
        <v>45993</v>
      </c>
      <c r="D1357" t="s">
        <v>250</v>
      </c>
      <c r="E1357" t="s">
        <v>14</v>
      </c>
      <c r="F1357" t="s">
        <v>31</v>
      </c>
      <c r="G1357" t="s">
        <v>16</v>
      </c>
      <c r="H1357">
        <v>3</v>
      </c>
      <c r="I1357">
        <v>43.31</v>
      </c>
      <c r="J1357" t="s">
        <v>17</v>
      </c>
      <c r="K1357" t="s">
        <v>18</v>
      </c>
      <c r="L1357">
        <f>WEEKDAY(Table1[[#This Row],[Transaction_Date]],2)</f>
        <v>2</v>
      </c>
      <c r="M1357">
        <f>IF(Table1[[#This Row],[Sale_Type]]="Buffet",1,0)</f>
        <v>0</v>
      </c>
    </row>
    <row r="1358" spans="1:13" x14ac:dyDescent="0.2">
      <c r="A1358" t="s">
        <v>1629</v>
      </c>
      <c r="B1358" t="s">
        <v>252</v>
      </c>
      <c r="C1358" s="1">
        <v>45993</v>
      </c>
      <c r="D1358" t="s">
        <v>250</v>
      </c>
      <c r="E1358" t="s">
        <v>14</v>
      </c>
      <c r="F1358" t="s">
        <v>40</v>
      </c>
      <c r="G1358" t="s">
        <v>16</v>
      </c>
      <c r="H1358">
        <v>1</v>
      </c>
      <c r="I1358">
        <v>20.45</v>
      </c>
      <c r="J1358" t="s">
        <v>17</v>
      </c>
      <c r="K1358" t="s">
        <v>21</v>
      </c>
      <c r="L1358">
        <f>WEEKDAY(Table1[[#This Row],[Transaction_Date]],2)</f>
        <v>2</v>
      </c>
      <c r="M1358">
        <f>IF(Table1[[#This Row],[Sale_Type]]="Buffet",1,0)</f>
        <v>0</v>
      </c>
    </row>
    <row r="1359" spans="1:13" x14ac:dyDescent="0.2">
      <c r="A1359" t="s">
        <v>1630</v>
      </c>
      <c r="B1359" t="s">
        <v>180</v>
      </c>
      <c r="C1359" s="1">
        <v>45993</v>
      </c>
      <c r="D1359" t="s">
        <v>250</v>
      </c>
      <c r="E1359" t="s">
        <v>14</v>
      </c>
      <c r="F1359" t="s">
        <v>40</v>
      </c>
      <c r="G1359" t="s">
        <v>16</v>
      </c>
      <c r="H1359">
        <v>1</v>
      </c>
      <c r="I1359">
        <v>22.42</v>
      </c>
      <c r="J1359" t="s">
        <v>28</v>
      </c>
      <c r="K1359" t="s">
        <v>18</v>
      </c>
      <c r="L1359">
        <f>WEEKDAY(Table1[[#This Row],[Transaction_Date]],2)</f>
        <v>2</v>
      </c>
      <c r="M1359">
        <f>IF(Table1[[#This Row],[Sale_Type]]="Buffet",1,0)</f>
        <v>0</v>
      </c>
    </row>
    <row r="1360" spans="1:13" x14ac:dyDescent="0.2">
      <c r="A1360" t="s">
        <v>1631</v>
      </c>
      <c r="B1360" t="s">
        <v>423</v>
      </c>
      <c r="C1360" s="1">
        <v>45993</v>
      </c>
      <c r="D1360" t="s">
        <v>250</v>
      </c>
      <c r="E1360" t="s">
        <v>14</v>
      </c>
      <c r="F1360" t="s">
        <v>40</v>
      </c>
      <c r="G1360" t="s">
        <v>16</v>
      </c>
      <c r="H1360">
        <v>2</v>
      </c>
      <c r="I1360">
        <v>39.950000000000003</v>
      </c>
      <c r="J1360" t="s">
        <v>34</v>
      </c>
      <c r="K1360" t="s">
        <v>18</v>
      </c>
      <c r="L1360">
        <f>WEEKDAY(Table1[[#This Row],[Transaction_Date]],2)</f>
        <v>2</v>
      </c>
      <c r="M1360">
        <f>IF(Table1[[#This Row],[Sale_Type]]="Buffet",1,0)</f>
        <v>0</v>
      </c>
    </row>
    <row r="1361" spans="1:13" x14ac:dyDescent="0.2">
      <c r="A1361" t="s">
        <v>1632</v>
      </c>
      <c r="B1361" t="s">
        <v>377</v>
      </c>
      <c r="C1361" s="1">
        <v>45993</v>
      </c>
      <c r="D1361" t="s">
        <v>250</v>
      </c>
      <c r="E1361" t="s">
        <v>14</v>
      </c>
      <c r="F1361" t="s">
        <v>40</v>
      </c>
      <c r="G1361" t="s">
        <v>16</v>
      </c>
      <c r="H1361">
        <v>2</v>
      </c>
      <c r="I1361">
        <v>64.66</v>
      </c>
      <c r="J1361" t="s">
        <v>34</v>
      </c>
      <c r="K1361" t="s">
        <v>21</v>
      </c>
      <c r="L1361">
        <f>WEEKDAY(Table1[[#This Row],[Transaction_Date]],2)</f>
        <v>2</v>
      </c>
      <c r="M1361">
        <f>IF(Table1[[#This Row],[Sale_Type]]="Buffet",1,0)</f>
        <v>0</v>
      </c>
    </row>
    <row r="1362" spans="1:13" x14ac:dyDescent="0.2">
      <c r="A1362" t="s">
        <v>1633</v>
      </c>
      <c r="B1362" t="s">
        <v>79</v>
      </c>
      <c r="C1362" s="1">
        <v>45993</v>
      </c>
      <c r="D1362" t="s">
        <v>250</v>
      </c>
      <c r="E1362" t="s">
        <v>43</v>
      </c>
      <c r="F1362" t="s">
        <v>44</v>
      </c>
      <c r="G1362" t="s">
        <v>16</v>
      </c>
      <c r="H1362">
        <v>1</v>
      </c>
      <c r="I1362">
        <v>22.47</v>
      </c>
      <c r="J1362" t="s">
        <v>28</v>
      </c>
      <c r="K1362" t="s">
        <v>18</v>
      </c>
      <c r="L1362">
        <f>WEEKDAY(Table1[[#This Row],[Transaction_Date]],2)</f>
        <v>2</v>
      </c>
      <c r="M1362">
        <f>IF(Table1[[#This Row],[Sale_Type]]="Buffet",1,0)</f>
        <v>0</v>
      </c>
    </row>
    <row r="1363" spans="1:13" x14ac:dyDescent="0.2">
      <c r="A1363" t="s">
        <v>1634</v>
      </c>
      <c r="B1363" t="s">
        <v>361</v>
      </c>
      <c r="C1363" s="1">
        <v>45993</v>
      </c>
      <c r="D1363" t="s">
        <v>250</v>
      </c>
      <c r="E1363" t="s">
        <v>43</v>
      </c>
      <c r="F1363" t="s">
        <v>44</v>
      </c>
      <c r="G1363" t="s">
        <v>16</v>
      </c>
      <c r="H1363">
        <v>2</v>
      </c>
      <c r="I1363">
        <v>34.6</v>
      </c>
      <c r="J1363" t="s">
        <v>17</v>
      </c>
      <c r="K1363" t="s">
        <v>18</v>
      </c>
      <c r="L1363">
        <f>WEEKDAY(Table1[[#This Row],[Transaction_Date]],2)</f>
        <v>2</v>
      </c>
      <c r="M1363">
        <f>IF(Table1[[#This Row],[Sale_Type]]="Buffet",1,0)</f>
        <v>0</v>
      </c>
    </row>
    <row r="1364" spans="1:13" x14ac:dyDescent="0.2">
      <c r="A1364" t="s">
        <v>1635</v>
      </c>
      <c r="B1364" t="s">
        <v>361</v>
      </c>
      <c r="C1364" s="1">
        <v>45993</v>
      </c>
      <c r="D1364" t="s">
        <v>250</v>
      </c>
      <c r="E1364" t="s">
        <v>43</v>
      </c>
      <c r="F1364" t="s">
        <v>50</v>
      </c>
      <c r="G1364" t="s">
        <v>16</v>
      </c>
      <c r="H1364">
        <v>5</v>
      </c>
      <c r="I1364">
        <v>43.35</v>
      </c>
      <c r="J1364" t="s">
        <v>17</v>
      </c>
      <c r="K1364" t="s">
        <v>21</v>
      </c>
      <c r="L1364">
        <f>WEEKDAY(Table1[[#This Row],[Transaction_Date]],2)</f>
        <v>2</v>
      </c>
      <c r="M1364">
        <f>IF(Table1[[#This Row],[Sale_Type]]="Buffet",1,0)</f>
        <v>0</v>
      </c>
    </row>
    <row r="1365" spans="1:13" x14ac:dyDescent="0.2">
      <c r="A1365" t="s">
        <v>1636</v>
      </c>
      <c r="B1365" t="s">
        <v>288</v>
      </c>
      <c r="C1365" s="1">
        <v>45993</v>
      </c>
      <c r="D1365" t="s">
        <v>250</v>
      </c>
      <c r="E1365" t="s">
        <v>43</v>
      </c>
      <c r="F1365" t="s">
        <v>50</v>
      </c>
      <c r="G1365" t="s">
        <v>16</v>
      </c>
      <c r="H1365">
        <v>3</v>
      </c>
      <c r="I1365">
        <v>41.37</v>
      </c>
      <c r="J1365" t="s">
        <v>34</v>
      </c>
      <c r="K1365" t="s">
        <v>18</v>
      </c>
      <c r="L1365">
        <f>WEEKDAY(Table1[[#This Row],[Transaction_Date]],2)</f>
        <v>2</v>
      </c>
      <c r="M1365">
        <f>IF(Table1[[#This Row],[Sale_Type]]="Buffet",1,0)</f>
        <v>0</v>
      </c>
    </row>
    <row r="1366" spans="1:13" x14ac:dyDescent="0.2">
      <c r="A1366" t="s">
        <v>1637</v>
      </c>
      <c r="B1366" t="s">
        <v>318</v>
      </c>
      <c r="C1366" s="1">
        <v>45993</v>
      </c>
      <c r="D1366" t="s">
        <v>250</v>
      </c>
      <c r="E1366" t="s">
        <v>43</v>
      </c>
      <c r="F1366" t="s">
        <v>57</v>
      </c>
      <c r="G1366" t="s">
        <v>16</v>
      </c>
      <c r="H1366">
        <v>2</v>
      </c>
      <c r="I1366">
        <v>50.65</v>
      </c>
      <c r="J1366" t="s">
        <v>28</v>
      </c>
      <c r="K1366" t="s">
        <v>18</v>
      </c>
      <c r="L1366">
        <f>WEEKDAY(Table1[[#This Row],[Transaction_Date]],2)</f>
        <v>2</v>
      </c>
      <c r="M1366">
        <f>IF(Table1[[#This Row],[Sale_Type]]="Buffet",1,0)</f>
        <v>0</v>
      </c>
    </row>
    <row r="1367" spans="1:13" x14ac:dyDescent="0.2">
      <c r="A1367" t="s">
        <v>1638</v>
      </c>
      <c r="B1367" t="s">
        <v>326</v>
      </c>
      <c r="C1367" s="1">
        <v>45994</v>
      </c>
      <c r="D1367" t="s">
        <v>13</v>
      </c>
      <c r="E1367" t="s">
        <v>14</v>
      </c>
      <c r="F1367" t="s">
        <v>15</v>
      </c>
      <c r="G1367" t="s">
        <v>16</v>
      </c>
      <c r="H1367">
        <v>2</v>
      </c>
      <c r="I1367">
        <v>56.51</v>
      </c>
      <c r="J1367" t="s">
        <v>17</v>
      </c>
      <c r="K1367" t="s">
        <v>18</v>
      </c>
      <c r="L1367">
        <f>WEEKDAY(Table1[[#This Row],[Transaction_Date]],2)</f>
        <v>3</v>
      </c>
      <c r="M1367">
        <f>IF(Table1[[#This Row],[Sale_Type]]="Buffet",1,0)</f>
        <v>0</v>
      </c>
    </row>
    <row r="1368" spans="1:13" x14ac:dyDescent="0.2">
      <c r="A1368" t="s">
        <v>1639</v>
      </c>
      <c r="B1368" t="s">
        <v>637</v>
      </c>
      <c r="C1368" s="1">
        <v>45994</v>
      </c>
      <c r="D1368" t="s">
        <v>13</v>
      </c>
      <c r="E1368" t="s">
        <v>14</v>
      </c>
      <c r="F1368" t="s">
        <v>15</v>
      </c>
      <c r="G1368" t="s">
        <v>16</v>
      </c>
      <c r="H1368">
        <v>3</v>
      </c>
      <c r="I1368">
        <v>107.66</v>
      </c>
      <c r="J1368" t="s">
        <v>34</v>
      </c>
      <c r="K1368" t="s">
        <v>18</v>
      </c>
      <c r="L1368">
        <f>WEEKDAY(Table1[[#This Row],[Transaction_Date]],2)</f>
        <v>3</v>
      </c>
      <c r="M1368">
        <f>IF(Table1[[#This Row],[Sale_Type]]="Buffet",1,0)</f>
        <v>0</v>
      </c>
    </row>
    <row r="1369" spans="1:13" x14ac:dyDescent="0.2">
      <c r="A1369" t="s">
        <v>1640</v>
      </c>
      <c r="B1369" t="s">
        <v>288</v>
      </c>
      <c r="C1369" s="1">
        <v>45994</v>
      </c>
      <c r="D1369" t="s">
        <v>13</v>
      </c>
      <c r="E1369" t="s">
        <v>14</v>
      </c>
      <c r="F1369" t="s">
        <v>24</v>
      </c>
      <c r="G1369" t="s">
        <v>16</v>
      </c>
      <c r="H1369">
        <v>2</v>
      </c>
      <c r="I1369">
        <v>54.8</v>
      </c>
      <c r="J1369" t="s">
        <v>28</v>
      </c>
      <c r="K1369" t="s">
        <v>18</v>
      </c>
      <c r="L1369">
        <f>WEEKDAY(Table1[[#This Row],[Transaction_Date]],2)</f>
        <v>3</v>
      </c>
      <c r="M1369">
        <f>IF(Table1[[#This Row],[Sale_Type]]="Buffet",1,0)</f>
        <v>0</v>
      </c>
    </row>
    <row r="1370" spans="1:13" x14ac:dyDescent="0.2">
      <c r="A1370" t="s">
        <v>1641</v>
      </c>
      <c r="B1370" t="s">
        <v>66</v>
      </c>
      <c r="C1370" s="1">
        <v>45994</v>
      </c>
      <c r="D1370" t="s">
        <v>13</v>
      </c>
      <c r="E1370" t="s">
        <v>14</v>
      </c>
      <c r="F1370" t="s">
        <v>24</v>
      </c>
      <c r="G1370" t="s">
        <v>16</v>
      </c>
      <c r="H1370">
        <v>3</v>
      </c>
      <c r="I1370">
        <v>89.65</v>
      </c>
      <c r="J1370" t="s">
        <v>17</v>
      </c>
      <c r="K1370" t="s">
        <v>21</v>
      </c>
      <c r="L1370">
        <f>WEEKDAY(Table1[[#This Row],[Transaction_Date]],2)</f>
        <v>3</v>
      </c>
      <c r="M1370">
        <f>IF(Table1[[#This Row],[Sale_Type]]="Buffet",1,0)</f>
        <v>0</v>
      </c>
    </row>
    <row r="1371" spans="1:13" x14ac:dyDescent="0.2">
      <c r="A1371" t="s">
        <v>1642</v>
      </c>
      <c r="B1371" t="s">
        <v>390</v>
      </c>
      <c r="C1371" s="1">
        <v>45994</v>
      </c>
      <c r="D1371" t="s">
        <v>13</v>
      </c>
      <c r="E1371" t="s">
        <v>14</v>
      </c>
      <c r="F1371" t="s">
        <v>24</v>
      </c>
      <c r="G1371" t="s">
        <v>16</v>
      </c>
      <c r="H1371">
        <v>6</v>
      </c>
      <c r="I1371">
        <v>277.54000000000002</v>
      </c>
      <c r="J1371" t="s">
        <v>17</v>
      </c>
      <c r="K1371" t="s">
        <v>18</v>
      </c>
      <c r="L1371">
        <f>WEEKDAY(Table1[[#This Row],[Transaction_Date]],2)</f>
        <v>3</v>
      </c>
      <c r="M1371">
        <f>IF(Table1[[#This Row],[Sale_Type]]="Buffet",1,0)</f>
        <v>0</v>
      </c>
    </row>
    <row r="1372" spans="1:13" x14ac:dyDescent="0.2">
      <c r="A1372" t="s">
        <v>1643</v>
      </c>
      <c r="B1372" t="s">
        <v>68</v>
      </c>
      <c r="C1372" s="1">
        <v>45994</v>
      </c>
      <c r="D1372" t="s">
        <v>13</v>
      </c>
      <c r="E1372" t="s">
        <v>14</v>
      </c>
      <c r="F1372" t="s">
        <v>31</v>
      </c>
      <c r="G1372" t="s">
        <v>16</v>
      </c>
      <c r="H1372">
        <v>6</v>
      </c>
      <c r="I1372">
        <v>69.25</v>
      </c>
      <c r="J1372" t="s">
        <v>17</v>
      </c>
      <c r="K1372" t="s">
        <v>21</v>
      </c>
      <c r="L1372">
        <f>WEEKDAY(Table1[[#This Row],[Transaction_Date]],2)</f>
        <v>3</v>
      </c>
      <c r="M1372">
        <f>IF(Table1[[#This Row],[Sale_Type]]="Buffet",1,0)</f>
        <v>0</v>
      </c>
    </row>
    <row r="1373" spans="1:13" x14ac:dyDescent="0.2">
      <c r="A1373" t="s">
        <v>1644</v>
      </c>
      <c r="B1373" t="s">
        <v>989</v>
      </c>
      <c r="C1373" s="1">
        <v>45994</v>
      </c>
      <c r="D1373" t="s">
        <v>13</v>
      </c>
      <c r="E1373" t="s">
        <v>14</v>
      </c>
      <c r="F1373" t="s">
        <v>31</v>
      </c>
      <c r="G1373" t="s">
        <v>16</v>
      </c>
      <c r="H1373">
        <v>2</v>
      </c>
      <c r="I1373">
        <v>87.64</v>
      </c>
      <c r="J1373" t="s">
        <v>34</v>
      </c>
      <c r="K1373" t="s">
        <v>18</v>
      </c>
      <c r="L1373">
        <f>WEEKDAY(Table1[[#This Row],[Transaction_Date]],2)</f>
        <v>3</v>
      </c>
      <c r="M1373">
        <f>IF(Table1[[#This Row],[Sale_Type]]="Buffet",1,0)</f>
        <v>0</v>
      </c>
    </row>
    <row r="1374" spans="1:13" x14ac:dyDescent="0.2">
      <c r="A1374" t="s">
        <v>1645</v>
      </c>
      <c r="B1374" t="s">
        <v>937</v>
      </c>
      <c r="C1374" s="1">
        <v>45994</v>
      </c>
      <c r="D1374" t="s">
        <v>13</v>
      </c>
      <c r="E1374" t="s">
        <v>14</v>
      </c>
      <c r="F1374" t="s">
        <v>40</v>
      </c>
      <c r="G1374" t="s">
        <v>16</v>
      </c>
      <c r="H1374">
        <v>3</v>
      </c>
      <c r="I1374">
        <v>158.86000000000001</v>
      </c>
      <c r="J1374" t="s">
        <v>17</v>
      </c>
      <c r="K1374" t="s">
        <v>21</v>
      </c>
      <c r="L1374">
        <f>WEEKDAY(Table1[[#This Row],[Transaction_Date]],2)</f>
        <v>3</v>
      </c>
      <c r="M1374">
        <f>IF(Table1[[#This Row],[Sale_Type]]="Buffet",1,0)</f>
        <v>0</v>
      </c>
    </row>
    <row r="1375" spans="1:13" x14ac:dyDescent="0.2">
      <c r="A1375" t="s">
        <v>1646</v>
      </c>
      <c r="B1375" t="s">
        <v>144</v>
      </c>
      <c r="C1375" s="1">
        <v>45994</v>
      </c>
      <c r="D1375" t="s">
        <v>13</v>
      </c>
      <c r="E1375" t="s">
        <v>14</v>
      </c>
      <c r="F1375" t="s">
        <v>40</v>
      </c>
      <c r="G1375" t="s">
        <v>16</v>
      </c>
      <c r="H1375">
        <v>2</v>
      </c>
      <c r="I1375">
        <v>99.31</v>
      </c>
      <c r="J1375" t="s">
        <v>17</v>
      </c>
      <c r="K1375" t="s">
        <v>18</v>
      </c>
      <c r="L1375">
        <f>WEEKDAY(Table1[[#This Row],[Transaction_Date]],2)</f>
        <v>3</v>
      </c>
      <c r="M1375">
        <f>IF(Table1[[#This Row],[Sale_Type]]="Buffet",1,0)</f>
        <v>0</v>
      </c>
    </row>
    <row r="1376" spans="1:13" x14ac:dyDescent="0.2">
      <c r="A1376" t="s">
        <v>1647</v>
      </c>
      <c r="B1376" t="s">
        <v>503</v>
      </c>
      <c r="C1376" s="1">
        <v>45994</v>
      </c>
      <c r="D1376" t="s">
        <v>13</v>
      </c>
      <c r="E1376" t="s">
        <v>43</v>
      </c>
      <c r="F1376" t="s">
        <v>44</v>
      </c>
      <c r="G1376" t="s">
        <v>45</v>
      </c>
      <c r="H1376">
        <v>2</v>
      </c>
      <c r="I1376">
        <v>40</v>
      </c>
      <c r="J1376" t="s">
        <v>28</v>
      </c>
      <c r="K1376" t="s">
        <v>18</v>
      </c>
      <c r="L1376">
        <f>WEEKDAY(Table1[[#This Row],[Transaction_Date]],2)</f>
        <v>3</v>
      </c>
      <c r="M1376">
        <f>IF(Table1[[#This Row],[Sale_Type]]="Buffet",1,0)</f>
        <v>1</v>
      </c>
    </row>
    <row r="1377" spans="1:13" x14ac:dyDescent="0.2">
      <c r="A1377" t="s">
        <v>1648</v>
      </c>
      <c r="B1377" t="s">
        <v>843</v>
      </c>
      <c r="C1377" s="1">
        <v>45994</v>
      </c>
      <c r="D1377" t="s">
        <v>13</v>
      </c>
      <c r="E1377" t="s">
        <v>43</v>
      </c>
      <c r="F1377" t="s">
        <v>44</v>
      </c>
      <c r="G1377" t="s">
        <v>16</v>
      </c>
      <c r="H1377">
        <v>5</v>
      </c>
      <c r="I1377">
        <v>123.1</v>
      </c>
      <c r="J1377" t="s">
        <v>17</v>
      </c>
      <c r="K1377" t="s">
        <v>18</v>
      </c>
      <c r="L1377">
        <f>WEEKDAY(Table1[[#This Row],[Transaction_Date]],2)</f>
        <v>3</v>
      </c>
      <c r="M1377">
        <f>IF(Table1[[#This Row],[Sale_Type]]="Buffet",1,0)</f>
        <v>0</v>
      </c>
    </row>
    <row r="1378" spans="1:13" x14ac:dyDescent="0.2">
      <c r="A1378" t="s">
        <v>1649</v>
      </c>
      <c r="B1378" t="s">
        <v>652</v>
      </c>
      <c r="C1378" s="1">
        <v>45994</v>
      </c>
      <c r="D1378" t="s">
        <v>13</v>
      </c>
      <c r="E1378" t="s">
        <v>43</v>
      </c>
      <c r="F1378" t="s">
        <v>44</v>
      </c>
      <c r="G1378" t="s">
        <v>45</v>
      </c>
      <c r="H1378">
        <v>3</v>
      </c>
      <c r="I1378">
        <v>64.5</v>
      </c>
      <c r="J1378" t="s">
        <v>28</v>
      </c>
      <c r="K1378" t="s">
        <v>18</v>
      </c>
      <c r="L1378">
        <f>WEEKDAY(Table1[[#This Row],[Transaction_Date]],2)</f>
        <v>3</v>
      </c>
      <c r="M1378">
        <f>IF(Table1[[#This Row],[Sale_Type]]="Buffet",1,0)</f>
        <v>1</v>
      </c>
    </row>
    <row r="1379" spans="1:13" x14ac:dyDescent="0.2">
      <c r="A1379" t="s">
        <v>1650</v>
      </c>
      <c r="B1379" t="s">
        <v>341</v>
      </c>
      <c r="C1379" s="1">
        <v>45994</v>
      </c>
      <c r="D1379" t="s">
        <v>13</v>
      </c>
      <c r="E1379" t="s">
        <v>43</v>
      </c>
      <c r="F1379" t="s">
        <v>44</v>
      </c>
      <c r="G1379" t="s">
        <v>45</v>
      </c>
      <c r="H1379">
        <v>4</v>
      </c>
      <c r="I1379">
        <v>89</v>
      </c>
      <c r="J1379" t="s">
        <v>17</v>
      </c>
      <c r="K1379" t="s">
        <v>18</v>
      </c>
      <c r="L1379">
        <f>WEEKDAY(Table1[[#This Row],[Transaction_Date]],2)</f>
        <v>3</v>
      </c>
      <c r="M1379">
        <f>IF(Table1[[#This Row],[Sale_Type]]="Buffet",1,0)</f>
        <v>1</v>
      </c>
    </row>
    <row r="1380" spans="1:13" x14ac:dyDescent="0.2">
      <c r="A1380" t="s">
        <v>1651</v>
      </c>
      <c r="B1380" t="s">
        <v>122</v>
      </c>
      <c r="C1380" s="1">
        <v>45994</v>
      </c>
      <c r="D1380" t="s">
        <v>13</v>
      </c>
      <c r="E1380" t="s">
        <v>43</v>
      </c>
      <c r="F1380" t="s">
        <v>44</v>
      </c>
      <c r="G1380" t="s">
        <v>45</v>
      </c>
      <c r="H1380">
        <v>4</v>
      </c>
      <c r="I1380">
        <v>89</v>
      </c>
      <c r="J1380" t="s">
        <v>28</v>
      </c>
      <c r="K1380" t="s">
        <v>18</v>
      </c>
      <c r="L1380">
        <f>WEEKDAY(Table1[[#This Row],[Transaction_Date]],2)</f>
        <v>3</v>
      </c>
      <c r="M1380">
        <f>IF(Table1[[#This Row],[Sale_Type]]="Buffet",1,0)</f>
        <v>1</v>
      </c>
    </row>
    <row r="1381" spans="1:13" x14ac:dyDescent="0.2">
      <c r="A1381" t="s">
        <v>1652</v>
      </c>
      <c r="B1381" t="s">
        <v>238</v>
      </c>
      <c r="C1381" s="1">
        <v>45994</v>
      </c>
      <c r="D1381" t="s">
        <v>13</v>
      </c>
      <c r="E1381" t="s">
        <v>43</v>
      </c>
      <c r="F1381" t="s">
        <v>44</v>
      </c>
      <c r="G1381" t="s">
        <v>16</v>
      </c>
      <c r="H1381">
        <v>2</v>
      </c>
      <c r="I1381">
        <v>66.209999999999994</v>
      </c>
      <c r="J1381" t="s">
        <v>17</v>
      </c>
      <c r="K1381" t="s">
        <v>18</v>
      </c>
      <c r="L1381">
        <f>WEEKDAY(Table1[[#This Row],[Transaction_Date]],2)</f>
        <v>3</v>
      </c>
      <c r="M1381">
        <f>IF(Table1[[#This Row],[Sale_Type]]="Buffet",1,0)</f>
        <v>0</v>
      </c>
    </row>
    <row r="1382" spans="1:13" x14ac:dyDescent="0.2">
      <c r="A1382" t="s">
        <v>1653</v>
      </c>
      <c r="B1382" t="s">
        <v>52</v>
      </c>
      <c r="C1382" s="1">
        <v>45994</v>
      </c>
      <c r="D1382" t="s">
        <v>13</v>
      </c>
      <c r="E1382" t="s">
        <v>43</v>
      </c>
      <c r="F1382" t="s">
        <v>50</v>
      </c>
      <c r="G1382" t="s">
        <v>16</v>
      </c>
      <c r="H1382">
        <v>6</v>
      </c>
      <c r="I1382">
        <v>50.51</v>
      </c>
      <c r="J1382" t="s">
        <v>17</v>
      </c>
      <c r="K1382" t="s">
        <v>21</v>
      </c>
      <c r="L1382">
        <f>WEEKDAY(Table1[[#This Row],[Transaction_Date]],2)</f>
        <v>3</v>
      </c>
      <c r="M1382">
        <f>IF(Table1[[#This Row],[Sale_Type]]="Buffet",1,0)</f>
        <v>0</v>
      </c>
    </row>
    <row r="1383" spans="1:13" x14ac:dyDescent="0.2">
      <c r="A1383" t="s">
        <v>1654</v>
      </c>
      <c r="B1383" t="s">
        <v>527</v>
      </c>
      <c r="C1383" s="1">
        <v>45994</v>
      </c>
      <c r="D1383" t="s">
        <v>13</v>
      </c>
      <c r="E1383" t="s">
        <v>43</v>
      </c>
      <c r="F1383" t="s">
        <v>50</v>
      </c>
      <c r="G1383" t="s">
        <v>16</v>
      </c>
      <c r="H1383">
        <v>1</v>
      </c>
      <c r="I1383">
        <v>11.73</v>
      </c>
      <c r="J1383" t="s">
        <v>34</v>
      </c>
      <c r="K1383" t="s">
        <v>18</v>
      </c>
      <c r="L1383">
        <f>WEEKDAY(Table1[[#This Row],[Transaction_Date]],2)</f>
        <v>3</v>
      </c>
      <c r="M1383">
        <f>IF(Table1[[#This Row],[Sale_Type]]="Buffet",1,0)</f>
        <v>0</v>
      </c>
    </row>
    <row r="1384" spans="1:13" x14ac:dyDescent="0.2">
      <c r="A1384" t="s">
        <v>1655</v>
      </c>
      <c r="B1384" t="s">
        <v>42</v>
      </c>
      <c r="C1384" s="1">
        <v>45994</v>
      </c>
      <c r="D1384" t="s">
        <v>13</v>
      </c>
      <c r="E1384" t="s">
        <v>43</v>
      </c>
      <c r="F1384" t="s">
        <v>53</v>
      </c>
      <c r="G1384" t="s">
        <v>45</v>
      </c>
      <c r="H1384">
        <v>2</v>
      </c>
      <c r="I1384">
        <v>40</v>
      </c>
      <c r="J1384" t="s">
        <v>17</v>
      </c>
      <c r="K1384" t="s">
        <v>21</v>
      </c>
      <c r="L1384">
        <f>WEEKDAY(Table1[[#This Row],[Transaction_Date]],2)</f>
        <v>3</v>
      </c>
      <c r="M1384">
        <f>IF(Table1[[#This Row],[Sale_Type]]="Buffet",1,0)</f>
        <v>1</v>
      </c>
    </row>
    <row r="1385" spans="1:13" x14ac:dyDescent="0.2">
      <c r="A1385" t="s">
        <v>1656</v>
      </c>
      <c r="B1385" t="s">
        <v>196</v>
      </c>
      <c r="C1385" s="1">
        <v>45995</v>
      </c>
      <c r="D1385" t="s">
        <v>62</v>
      </c>
      <c r="E1385" t="s">
        <v>14</v>
      </c>
      <c r="F1385" t="s">
        <v>15</v>
      </c>
      <c r="G1385" t="s">
        <v>16</v>
      </c>
      <c r="H1385">
        <v>4</v>
      </c>
      <c r="I1385">
        <v>78.86</v>
      </c>
      <c r="J1385" t="s">
        <v>17</v>
      </c>
      <c r="K1385" t="s">
        <v>18</v>
      </c>
      <c r="L1385">
        <f>WEEKDAY(Table1[[#This Row],[Transaction_Date]],2)</f>
        <v>4</v>
      </c>
      <c r="M1385">
        <f>IF(Table1[[#This Row],[Sale_Type]]="Buffet",1,0)</f>
        <v>0</v>
      </c>
    </row>
    <row r="1386" spans="1:13" x14ac:dyDescent="0.2">
      <c r="A1386" t="s">
        <v>1657</v>
      </c>
      <c r="B1386" t="s">
        <v>260</v>
      </c>
      <c r="C1386" s="1">
        <v>45995</v>
      </c>
      <c r="D1386" t="s">
        <v>62</v>
      </c>
      <c r="E1386" t="s">
        <v>14</v>
      </c>
      <c r="F1386" t="s">
        <v>24</v>
      </c>
      <c r="G1386" t="s">
        <v>16</v>
      </c>
      <c r="H1386">
        <v>2</v>
      </c>
      <c r="I1386">
        <v>23.44</v>
      </c>
      <c r="J1386" t="s">
        <v>17</v>
      </c>
      <c r="K1386" t="s">
        <v>18</v>
      </c>
      <c r="L1386">
        <f>WEEKDAY(Table1[[#This Row],[Transaction_Date]],2)</f>
        <v>4</v>
      </c>
      <c r="M1386">
        <f>IF(Table1[[#This Row],[Sale_Type]]="Buffet",1,0)</f>
        <v>0</v>
      </c>
    </row>
    <row r="1387" spans="1:13" x14ac:dyDescent="0.2">
      <c r="A1387" t="s">
        <v>1658</v>
      </c>
      <c r="B1387" t="s">
        <v>211</v>
      </c>
      <c r="C1387" s="1">
        <v>45995</v>
      </c>
      <c r="D1387" t="s">
        <v>62</v>
      </c>
      <c r="E1387" t="s">
        <v>14</v>
      </c>
      <c r="F1387" t="s">
        <v>24</v>
      </c>
      <c r="G1387" t="s">
        <v>16</v>
      </c>
      <c r="H1387">
        <v>5</v>
      </c>
      <c r="I1387">
        <v>155.31</v>
      </c>
      <c r="J1387" t="s">
        <v>34</v>
      </c>
      <c r="K1387" t="s">
        <v>18</v>
      </c>
      <c r="L1387">
        <f>WEEKDAY(Table1[[#This Row],[Transaction_Date]],2)</f>
        <v>4</v>
      </c>
      <c r="M1387">
        <f>IF(Table1[[#This Row],[Sale_Type]]="Buffet",1,0)</f>
        <v>0</v>
      </c>
    </row>
    <row r="1388" spans="1:13" x14ac:dyDescent="0.2">
      <c r="A1388" t="s">
        <v>1659</v>
      </c>
      <c r="B1388" t="s">
        <v>369</v>
      </c>
      <c r="C1388" s="1">
        <v>45995</v>
      </c>
      <c r="D1388" t="s">
        <v>62</v>
      </c>
      <c r="E1388" t="s">
        <v>14</v>
      </c>
      <c r="F1388" t="s">
        <v>27</v>
      </c>
      <c r="G1388" t="s">
        <v>16</v>
      </c>
      <c r="H1388">
        <v>3</v>
      </c>
      <c r="I1388">
        <v>82.22</v>
      </c>
      <c r="J1388" t="s">
        <v>34</v>
      </c>
      <c r="K1388" t="s">
        <v>21</v>
      </c>
      <c r="L1388">
        <f>WEEKDAY(Table1[[#This Row],[Transaction_Date]],2)</f>
        <v>4</v>
      </c>
      <c r="M1388">
        <f>IF(Table1[[#This Row],[Sale_Type]]="Buffet",1,0)</f>
        <v>0</v>
      </c>
    </row>
    <row r="1389" spans="1:13" x14ac:dyDescent="0.2">
      <c r="A1389" t="s">
        <v>1660</v>
      </c>
      <c r="B1389" t="s">
        <v>262</v>
      </c>
      <c r="C1389" s="1">
        <v>45995</v>
      </c>
      <c r="D1389" t="s">
        <v>62</v>
      </c>
      <c r="E1389" t="s">
        <v>14</v>
      </c>
      <c r="F1389" t="s">
        <v>27</v>
      </c>
      <c r="G1389" t="s">
        <v>16</v>
      </c>
      <c r="H1389">
        <v>2</v>
      </c>
      <c r="I1389">
        <v>31.53</v>
      </c>
      <c r="J1389" t="s">
        <v>34</v>
      </c>
      <c r="K1389" t="s">
        <v>18</v>
      </c>
      <c r="L1389">
        <f>WEEKDAY(Table1[[#This Row],[Transaction_Date]],2)</f>
        <v>4</v>
      </c>
      <c r="M1389">
        <f>IF(Table1[[#This Row],[Sale_Type]]="Buffet",1,0)</f>
        <v>0</v>
      </c>
    </row>
    <row r="1390" spans="1:13" x14ac:dyDescent="0.2">
      <c r="A1390" t="s">
        <v>1661</v>
      </c>
      <c r="B1390" t="s">
        <v>174</v>
      </c>
      <c r="C1390" s="1">
        <v>45995</v>
      </c>
      <c r="D1390" t="s">
        <v>62</v>
      </c>
      <c r="E1390" t="s">
        <v>14</v>
      </c>
      <c r="F1390" t="s">
        <v>31</v>
      </c>
      <c r="G1390" t="s">
        <v>16</v>
      </c>
      <c r="H1390">
        <v>4</v>
      </c>
      <c r="I1390">
        <v>131.22</v>
      </c>
      <c r="J1390" t="s">
        <v>34</v>
      </c>
      <c r="K1390" t="s">
        <v>18</v>
      </c>
      <c r="L1390">
        <f>WEEKDAY(Table1[[#This Row],[Transaction_Date]],2)</f>
        <v>4</v>
      </c>
      <c r="M1390">
        <f>IF(Table1[[#This Row],[Sale_Type]]="Buffet",1,0)</f>
        <v>0</v>
      </c>
    </row>
    <row r="1391" spans="1:13" x14ac:dyDescent="0.2">
      <c r="A1391" t="s">
        <v>1662</v>
      </c>
      <c r="B1391" t="s">
        <v>419</v>
      </c>
      <c r="C1391" s="1">
        <v>45995</v>
      </c>
      <c r="D1391" t="s">
        <v>62</v>
      </c>
      <c r="E1391" t="s">
        <v>14</v>
      </c>
      <c r="F1391" t="s">
        <v>31</v>
      </c>
      <c r="G1391" t="s">
        <v>16</v>
      </c>
      <c r="H1391">
        <v>3</v>
      </c>
      <c r="I1391">
        <v>88.6</v>
      </c>
      <c r="J1391" t="s">
        <v>17</v>
      </c>
      <c r="K1391" t="s">
        <v>21</v>
      </c>
      <c r="L1391">
        <f>WEEKDAY(Table1[[#This Row],[Transaction_Date]],2)</f>
        <v>4</v>
      </c>
      <c r="M1391">
        <f>IF(Table1[[#This Row],[Sale_Type]]="Buffet",1,0)</f>
        <v>0</v>
      </c>
    </row>
    <row r="1392" spans="1:13" x14ac:dyDescent="0.2">
      <c r="A1392" t="s">
        <v>1663</v>
      </c>
      <c r="B1392" t="s">
        <v>20</v>
      </c>
      <c r="C1392" s="1">
        <v>45995</v>
      </c>
      <c r="D1392" t="s">
        <v>62</v>
      </c>
      <c r="E1392" t="s">
        <v>14</v>
      </c>
      <c r="F1392" t="s">
        <v>31</v>
      </c>
      <c r="G1392" t="s">
        <v>16</v>
      </c>
      <c r="H1392">
        <v>1</v>
      </c>
      <c r="I1392">
        <v>28.4</v>
      </c>
      <c r="J1392" t="s">
        <v>17</v>
      </c>
      <c r="K1392" t="s">
        <v>18</v>
      </c>
      <c r="L1392">
        <f>WEEKDAY(Table1[[#This Row],[Transaction_Date]],2)</f>
        <v>4</v>
      </c>
      <c r="M1392">
        <f>IF(Table1[[#This Row],[Sale_Type]]="Buffet",1,0)</f>
        <v>0</v>
      </c>
    </row>
    <row r="1393" spans="1:13" x14ac:dyDescent="0.2">
      <c r="A1393" t="s">
        <v>1664</v>
      </c>
      <c r="B1393" t="s">
        <v>1077</v>
      </c>
      <c r="C1393" s="1">
        <v>45995</v>
      </c>
      <c r="D1393" t="s">
        <v>62</v>
      </c>
      <c r="E1393" t="s">
        <v>14</v>
      </c>
      <c r="F1393" t="s">
        <v>31</v>
      </c>
      <c r="G1393" t="s">
        <v>16</v>
      </c>
      <c r="H1393">
        <v>4</v>
      </c>
      <c r="I1393">
        <v>102.87</v>
      </c>
      <c r="J1393" t="s">
        <v>17</v>
      </c>
      <c r="K1393" t="s">
        <v>21</v>
      </c>
      <c r="L1393">
        <f>WEEKDAY(Table1[[#This Row],[Transaction_Date]],2)</f>
        <v>4</v>
      </c>
      <c r="M1393">
        <f>IF(Table1[[#This Row],[Sale_Type]]="Buffet",1,0)</f>
        <v>0</v>
      </c>
    </row>
    <row r="1394" spans="1:13" x14ac:dyDescent="0.2">
      <c r="A1394" t="s">
        <v>1665</v>
      </c>
      <c r="B1394" t="s">
        <v>313</v>
      </c>
      <c r="C1394" s="1">
        <v>45995</v>
      </c>
      <c r="D1394" t="s">
        <v>62</v>
      </c>
      <c r="E1394" t="s">
        <v>14</v>
      </c>
      <c r="F1394" t="s">
        <v>40</v>
      </c>
      <c r="G1394" t="s">
        <v>16</v>
      </c>
      <c r="H1394">
        <v>3</v>
      </c>
      <c r="I1394">
        <v>114.61</v>
      </c>
      <c r="J1394" t="s">
        <v>17</v>
      </c>
      <c r="K1394" t="s">
        <v>18</v>
      </c>
      <c r="L1394">
        <f>WEEKDAY(Table1[[#This Row],[Transaction_Date]],2)</f>
        <v>4</v>
      </c>
      <c r="M1394">
        <f>IF(Table1[[#This Row],[Sale_Type]]="Buffet",1,0)</f>
        <v>0</v>
      </c>
    </row>
    <row r="1395" spans="1:13" x14ac:dyDescent="0.2">
      <c r="A1395" t="s">
        <v>1666</v>
      </c>
      <c r="B1395" t="s">
        <v>192</v>
      </c>
      <c r="C1395" s="1">
        <v>45995</v>
      </c>
      <c r="D1395" t="s">
        <v>62</v>
      </c>
      <c r="E1395" t="s">
        <v>14</v>
      </c>
      <c r="F1395" t="s">
        <v>40</v>
      </c>
      <c r="G1395" t="s">
        <v>16</v>
      </c>
      <c r="H1395">
        <v>3</v>
      </c>
      <c r="I1395">
        <v>83.26</v>
      </c>
      <c r="J1395" t="s">
        <v>17</v>
      </c>
      <c r="K1395" t="s">
        <v>21</v>
      </c>
      <c r="L1395">
        <f>WEEKDAY(Table1[[#This Row],[Transaction_Date]],2)</f>
        <v>4</v>
      </c>
      <c r="M1395">
        <f>IF(Table1[[#This Row],[Sale_Type]]="Buffet",1,0)</f>
        <v>0</v>
      </c>
    </row>
    <row r="1396" spans="1:13" x14ac:dyDescent="0.2">
      <c r="A1396" t="s">
        <v>1667</v>
      </c>
      <c r="B1396" t="s">
        <v>100</v>
      </c>
      <c r="C1396" s="1">
        <v>45995</v>
      </c>
      <c r="D1396" t="s">
        <v>62</v>
      </c>
      <c r="E1396" t="s">
        <v>43</v>
      </c>
      <c r="F1396" t="s">
        <v>44</v>
      </c>
      <c r="G1396" t="s">
        <v>16</v>
      </c>
      <c r="H1396">
        <v>3</v>
      </c>
      <c r="I1396">
        <v>35.799999999999997</v>
      </c>
      <c r="J1396" t="s">
        <v>17</v>
      </c>
      <c r="K1396" t="s">
        <v>21</v>
      </c>
      <c r="L1396">
        <f>WEEKDAY(Table1[[#This Row],[Transaction_Date]],2)</f>
        <v>4</v>
      </c>
      <c r="M1396">
        <f>IF(Table1[[#This Row],[Sale_Type]]="Buffet",1,0)</f>
        <v>0</v>
      </c>
    </row>
    <row r="1397" spans="1:13" x14ac:dyDescent="0.2">
      <c r="A1397" t="s">
        <v>1668</v>
      </c>
      <c r="B1397" t="s">
        <v>1231</v>
      </c>
      <c r="C1397" s="1">
        <v>45995</v>
      </c>
      <c r="D1397" t="s">
        <v>62</v>
      </c>
      <c r="E1397" t="s">
        <v>43</v>
      </c>
      <c r="F1397" t="s">
        <v>44</v>
      </c>
      <c r="G1397" t="s">
        <v>45</v>
      </c>
      <c r="H1397">
        <v>3</v>
      </c>
      <c r="I1397">
        <v>64.5</v>
      </c>
      <c r="J1397" t="s">
        <v>17</v>
      </c>
      <c r="K1397" t="s">
        <v>18</v>
      </c>
      <c r="L1397">
        <f>WEEKDAY(Table1[[#This Row],[Transaction_Date]],2)</f>
        <v>4</v>
      </c>
      <c r="M1397">
        <f>IF(Table1[[#This Row],[Sale_Type]]="Buffet",1,0)</f>
        <v>1</v>
      </c>
    </row>
    <row r="1398" spans="1:13" x14ac:dyDescent="0.2">
      <c r="A1398" t="s">
        <v>1669</v>
      </c>
      <c r="B1398" t="s">
        <v>1077</v>
      </c>
      <c r="C1398" s="1">
        <v>45995</v>
      </c>
      <c r="D1398" t="s">
        <v>62</v>
      </c>
      <c r="E1398" t="s">
        <v>43</v>
      </c>
      <c r="F1398" t="s">
        <v>50</v>
      </c>
      <c r="G1398" t="s">
        <v>45</v>
      </c>
      <c r="H1398">
        <v>4</v>
      </c>
      <c r="I1398">
        <v>80</v>
      </c>
      <c r="J1398" t="s">
        <v>17</v>
      </c>
      <c r="K1398" t="s">
        <v>18</v>
      </c>
      <c r="L1398">
        <f>WEEKDAY(Table1[[#This Row],[Transaction_Date]],2)</f>
        <v>4</v>
      </c>
      <c r="M1398">
        <f>IF(Table1[[#This Row],[Sale_Type]]="Buffet",1,0)</f>
        <v>1</v>
      </c>
    </row>
    <row r="1399" spans="1:13" x14ac:dyDescent="0.2">
      <c r="A1399" t="s">
        <v>1670</v>
      </c>
      <c r="B1399" t="s">
        <v>56</v>
      </c>
      <c r="C1399" s="1">
        <v>45995</v>
      </c>
      <c r="D1399" t="s">
        <v>62</v>
      </c>
      <c r="E1399" t="s">
        <v>43</v>
      </c>
      <c r="F1399" t="s">
        <v>50</v>
      </c>
      <c r="G1399" t="s">
        <v>16</v>
      </c>
      <c r="H1399">
        <v>1</v>
      </c>
      <c r="I1399">
        <v>22.91</v>
      </c>
      <c r="J1399" t="s">
        <v>17</v>
      </c>
      <c r="K1399" t="s">
        <v>18</v>
      </c>
      <c r="L1399">
        <f>WEEKDAY(Table1[[#This Row],[Transaction_Date]],2)</f>
        <v>4</v>
      </c>
      <c r="M1399">
        <f>IF(Table1[[#This Row],[Sale_Type]]="Buffet",1,0)</f>
        <v>0</v>
      </c>
    </row>
    <row r="1400" spans="1:13" x14ac:dyDescent="0.2">
      <c r="A1400" t="s">
        <v>1671</v>
      </c>
      <c r="B1400" t="s">
        <v>952</v>
      </c>
      <c r="C1400" s="1">
        <v>45995</v>
      </c>
      <c r="D1400" t="s">
        <v>62</v>
      </c>
      <c r="E1400" t="s">
        <v>43</v>
      </c>
      <c r="F1400" t="s">
        <v>50</v>
      </c>
      <c r="G1400" t="s">
        <v>45</v>
      </c>
      <c r="H1400">
        <v>3</v>
      </c>
      <c r="I1400">
        <v>69</v>
      </c>
      <c r="J1400" t="s">
        <v>34</v>
      </c>
      <c r="K1400" t="s">
        <v>18</v>
      </c>
      <c r="L1400">
        <f>WEEKDAY(Table1[[#This Row],[Transaction_Date]],2)</f>
        <v>4</v>
      </c>
      <c r="M1400">
        <f>IF(Table1[[#This Row],[Sale_Type]]="Buffet",1,0)</f>
        <v>1</v>
      </c>
    </row>
    <row r="1401" spans="1:13" x14ac:dyDescent="0.2">
      <c r="A1401" t="s">
        <v>1672</v>
      </c>
      <c r="B1401" t="s">
        <v>337</v>
      </c>
      <c r="C1401" s="1">
        <v>45995</v>
      </c>
      <c r="D1401" t="s">
        <v>62</v>
      </c>
      <c r="E1401" t="s">
        <v>43</v>
      </c>
      <c r="F1401" t="s">
        <v>53</v>
      </c>
      <c r="G1401" t="s">
        <v>45</v>
      </c>
      <c r="H1401">
        <v>8</v>
      </c>
      <c r="I1401">
        <v>178</v>
      </c>
      <c r="J1401" t="s">
        <v>17</v>
      </c>
      <c r="K1401" t="s">
        <v>18</v>
      </c>
      <c r="L1401">
        <f>WEEKDAY(Table1[[#This Row],[Transaction_Date]],2)</f>
        <v>4</v>
      </c>
      <c r="M1401">
        <f>IF(Table1[[#This Row],[Sale_Type]]="Buffet",1,0)</f>
        <v>1</v>
      </c>
    </row>
    <row r="1402" spans="1:13" x14ac:dyDescent="0.2">
      <c r="A1402" t="s">
        <v>1673</v>
      </c>
      <c r="B1402" t="s">
        <v>351</v>
      </c>
      <c r="C1402" s="1">
        <v>45995</v>
      </c>
      <c r="D1402" t="s">
        <v>62</v>
      </c>
      <c r="E1402" t="s">
        <v>43</v>
      </c>
      <c r="F1402" t="s">
        <v>53</v>
      </c>
      <c r="G1402" t="s">
        <v>16</v>
      </c>
      <c r="H1402">
        <v>4</v>
      </c>
      <c r="I1402">
        <v>49.77</v>
      </c>
      <c r="J1402" t="s">
        <v>17</v>
      </c>
      <c r="K1402" t="s">
        <v>18</v>
      </c>
      <c r="L1402">
        <f>WEEKDAY(Table1[[#This Row],[Transaction_Date]],2)</f>
        <v>4</v>
      </c>
      <c r="M1402">
        <f>IF(Table1[[#This Row],[Sale_Type]]="Buffet",1,0)</f>
        <v>0</v>
      </c>
    </row>
    <row r="1403" spans="1:13" x14ac:dyDescent="0.2">
      <c r="A1403" t="s">
        <v>1674</v>
      </c>
      <c r="B1403" t="s">
        <v>427</v>
      </c>
      <c r="C1403" s="1">
        <v>45995</v>
      </c>
      <c r="D1403" t="s">
        <v>62</v>
      </c>
      <c r="E1403" t="s">
        <v>43</v>
      </c>
      <c r="F1403" t="s">
        <v>53</v>
      </c>
      <c r="G1403" t="s">
        <v>16</v>
      </c>
      <c r="H1403">
        <v>1</v>
      </c>
      <c r="I1403">
        <v>15.2</v>
      </c>
      <c r="J1403" t="s">
        <v>17</v>
      </c>
      <c r="K1403" t="s">
        <v>18</v>
      </c>
      <c r="L1403">
        <f>WEEKDAY(Table1[[#This Row],[Transaction_Date]],2)</f>
        <v>4</v>
      </c>
      <c r="M1403">
        <f>IF(Table1[[#This Row],[Sale_Type]]="Buffet",1,0)</f>
        <v>0</v>
      </c>
    </row>
    <row r="1404" spans="1:13" x14ac:dyDescent="0.2">
      <c r="A1404" t="s">
        <v>1675</v>
      </c>
      <c r="B1404" t="s">
        <v>866</v>
      </c>
      <c r="C1404" s="1">
        <v>45995</v>
      </c>
      <c r="D1404" t="s">
        <v>62</v>
      </c>
      <c r="E1404" t="s">
        <v>43</v>
      </c>
      <c r="F1404" t="s">
        <v>57</v>
      </c>
      <c r="G1404" t="s">
        <v>45</v>
      </c>
      <c r="H1404">
        <v>4</v>
      </c>
      <c r="I1404">
        <v>89</v>
      </c>
      <c r="J1404" t="s">
        <v>28</v>
      </c>
      <c r="K1404" t="s">
        <v>18</v>
      </c>
      <c r="L1404">
        <f>WEEKDAY(Table1[[#This Row],[Transaction_Date]],2)</f>
        <v>4</v>
      </c>
      <c r="M1404">
        <f>IF(Table1[[#This Row],[Sale_Type]]="Buffet",1,0)</f>
        <v>1</v>
      </c>
    </row>
    <row r="1405" spans="1:13" x14ac:dyDescent="0.2">
      <c r="A1405" t="s">
        <v>1676</v>
      </c>
      <c r="B1405" t="s">
        <v>278</v>
      </c>
      <c r="C1405" s="1">
        <v>45996</v>
      </c>
      <c r="D1405" t="s">
        <v>96</v>
      </c>
      <c r="E1405" t="s">
        <v>14</v>
      </c>
      <c r="F1405" t="s">
        <v>15</v>
      </c>
      <c r="G1405" t="s">
        <v>16</v>
      </c>
      <c r="H1405">
        <v>3</v>
      </c>
      <c r="I1405">
        <v>72.819999999999993</v>
      </c>
      <c r="J1405" t="s">
        <v>17</v>
      </c>
      <c r="K1405" t="s">
        <v>21</v>
      </c>
      <c r="L1405">
        <f>WEEKDAY(Table1[[#This Row],[Transaction_Date]],2)</f>
        <v>5</v>
      </c>
      <c r="M1405">
        <f>IF(Table1[[#This Row],[Sale_Type]]="Buffet",1,0)</f>
        <v>0</v>
      </c>
    </row>
    <row r="1406" spans="1:13" x14ac:dyDescent="0.2">
      <c r="A1406" t="s">
        <v>1677</v>
      </c>
      <c r="B1406" t="s">
        <v>998</v>
      </c>
      <c r="C1406" s="1">
        <v>45996</v>
      </c>
      <c r="D1406" t="s">
        <v>96</v>
      </c>
      <c r="E1406" t="s">
        <v>14</v>
      </c>
      <c r="F1406" t="s">
        <v>24</v>
      </c>
      <c r="G1406" t="s">
        <v>16</v>
      </c>
      <c r="H1406">
        <v>4</v>
      </c>
      <c r="I1406">
        <v>99.86</v>
      </c>
      <c r="J1406" t="s">
        <v>17</v>
      </c>
      <c r="K1406" t="s">
        <v>18</v>
      </c>
      <c r="L1406">
        <f>WEEKDAY(Table1[[#This Row],[Transaction_Date]],2)</f>
        <v>5</v>
      </c>
      <c r="M1406">
        <f>IF(Table1[[#This Row],[Sale_Type]]="Buffet",1,0)</f>
        <v>0</v>
      </c>
    </row>
    <row r="1407" spans="1:13" x14ac:dyDescent="0.2">
      <c r="A1407" t="s">
        <v>1678</v>
      </c>
      <c r="B1407" t="s">
        <v>864</v>
      </c>
      <c r="C1407" s="1">
        <v>45996</v>
      </c>
      <c r="D1407" t="s">
        <v>96</v>
      </c>
      <c r="E1407" t="s">
        <v>14</v>
      </c>
      <c r="F1407" t="s">
        <v>27</v>
      </c>
      <c r="G1407" t="s">
        <v>16</v>
      </c>
      <c r="H1407">
        <v>4</v>
      </c>
      <c r="I1407">
        <v>106.94</v>
      </c>
      <c r="J1407" t="s">
        <v>34</v>
      </c>
      <c r="K1407" t="s">
        <v>18</v>
      </c>
      <c r="L1407">
        <f>WEEKDAY(Table1[[#This Row],[Transaction_Date]],2)</f>
        <v>5</v>
      </c>
      <c r="M1407">
        <f>IF(Table1[[#This Row],[Sale_Type]]="Buffet",1,0)</f>
        <v>0</v>
      </c>
    </row>
    <row r="1408" spans="1:13" x14ac:dyDescent="0.2">
      <c r="A1408" t="s">
        <v>1679</v>
      </c>
      <c r="B1408" t="s">
        <v>120</v>
      </c>
      <c r="C1408" s="1">
        <v>45996</v>
      </c>
      <c r="D1408" t="s">
        <v>96</v>
      </c>
      <c r="E1408" t="s">
        <v>14</v>
      </c>
      <c r="F1408" t="s">
        <v>31</v>
      </c>
      <c r="G1408" t="s">
        <v>16</v>
      </c>
      <c r="H1408">
        <v>2</v>
      </c>
      <c r="I1408">
        <v>56.56</v>
      </c>
      <c r="J1408" t="s">
        <v>17</v>
      </c>
      <c r="K1408" t="s">
        <v>21</v>
      </c>
      <c r="L1408">
        <f>WEEKDAY(Table1[[#This Row],[Transaction_Date]],2)</f>
        <v>5</v>
      </c>
      <c r="M1408">
        <f>IF(Table1[[#This Row],[Sale_Type]]="Buffet",1,0)</f>
        <v>0</v>
      </c>
    </row>
    <row r="1409" spans="1:13" x14ac:dyDescent="0.2">
      <c r="A1409" t="s">
        <v>1680</v>
      </c>
      <c r="B1409" t="s">
        <v>254</v>
      </c>
      <c r="C1409" s="1">
        <v>45996</v>
      </c>
      <c r="D1409" t="s">
        <v>96</v>
      </c>
      <c r="E1409" t="s">
        <v>14</v>
      </c>
      <c r="F1409" t="s">
        <v>40</v>
      </c>
      <c r="G1409" t="s">
        <v>16</v>
      </c>
      <c r="H1409">
        <v>5</v>
      </c>
      <c r="I1409">
        <v>118.75</v>
      </c>
      <c r="J1409" t="s">
        <v>17</v>
      </c>
      <c r="K1409" t="s">
        <v>21</v>
      </c>
      <c r="L1409">
        <f>WEEKDAY(Table1[[#This Row],[Transaction_Date]],2)</f>
        <v>5</v>
      </c>
      <c r="M1409">
        <f>IF(Table1[[#This Row],[Sale_Type]]="Buffet",1,0)</f>
        <v>0</v>
      </c>
    </row>
    <row r="1410" spans="1:13" x14ac:dyDescent="0.2">
      <c r="A1410" t="s">
        <v>1681</v>
      </c>
      <c r="B1410" t="s">
        <v>624</v>
      </c>
      <c r="C1410" s="1">
        <v>45996</v>
      </c>
      <c r="D1410" t="s">
        <v>96</v>
      </c>
      <c r="E1410" t="s">
        <v>43</v>
      </c>
      <c r="F1410" t="s">
        <v>44</v>
      </c>
      <c r="G1410" t="s">
        <v>45</v>
      </c>
      <c r="H1410">
        <v>5</v>
      </c>
      <c r="I1410">
        <v>109</v>
      </c>
      <c r="J1410" t="s">
        <v>34</v>
      </c>
      <c r="K1410" t="s">
        <v>21</v>
      </c>
      <c r="L1410">
        <f>WEEKDAY(Table1[[#This Row],[Transaction_Date]],2)</f>
        <v>5</v>
      </c>
      <c r="M1410">
        <f>IF(Table1[[#This Row],[Sale_Type]]="Buffet",1,0)</f>
        <v>1</v>
      </c>
    </row>
    <row r="1411" spans="1:13" x14ac:dyDescent="0.2">
      <c r="A1411" t="s">
        <v>1682</v>
      </c>
      <c r="B1411" t="s">
        <v>180</v>
      </c>
      <c r="C1411" s="1">
        <v>45996</v>
      </c>
      <c r="D1411" t="s">
        <v>96</v>
      </c>
      <c r="E1411" t="s">
        <v>43</v>
      </c>
      <c r="F1411" t="s">
        <v>44</v>
      </c>
      <c r="G1411" t="s">
        <v>45</v>
      </c>
      <c r="H1411">
        <v>1</v>
      </c>
      <c r="I1411">
        <v>20</v>
      </c>
      <c r="J1411" t="s">
        <v>17</v>
      </c>
      <c r="K1411" t="s">
        <v>18</v>
      </c>
      <c r="L1411">
        <f>WEEKDAY(Table1[[#This Row],[Transaction_Date]],2)</f>
        <v>5</v>
      </c>
      <c r="M1411">
        <f>IF(Table1[[#This Row],[Sale_Type]]="Buffet",1,0)</f>
        <v>1</v>
      </c>
    </row>
    <row r="1412" spans="1:13" x14ac:dyDescent="0.2">
      <c r="A1412" t="s">
        <v>1683</v>
      </c>
      <c r="B1412" t="s">
        <v>952</v>
      </c>
      <c r="C1412" s="1">
        <v>45996</v>
      </c>
      <c r="D1412" t="s">
        <v>96</v>
      </c>
      <c r="E1412" t="s">
        <v>43</v>
      </c>
      <c r="F1412" t="s">
        <v>44</v>
      </c>
      <c r="G1412" t="s">
        <v>16</v>
      </c>
      <c r="H1412">
        <v>4</v>
      </c>
      <c r="I1412">
        <v>92.6</v>
      </c>
      <c r="J1412" t="s">
        <v>17</v>
      </c>
      <c r="K1412" t="s">
        <v>18</v>
      </c>
      <c r="L1412">
        <f>WEEKDAY(Table1[[#This Row],[Transaction_Date]],2)</f>
        <v>5</v>
      </c>
      <c r="M1412">
        <f>IF(Table1[[#This Row],[Sale_Type]]="Buffet",1,0)</f>
        <v>0</v>
      </c>
    </row>
    <row r="1413" spans="1:13" x14ac:dyDescent="0.2">
      <c r="A1413" t="s">
        <v>1684</v>
      </c>
      <c r="B1413" t="s">
        <v>268</v>
      </c>
      <c r="C1413" s="1">
        <v>45996</v>
      </c>
      <c r="D1413" t="s">
        <v>96</v>
      </c>
      <c r="E1413" t="s">
        <v>43</v>
      </c>
      <c r="F1413" t="s">
        <v>44</v>
      </c>
      <c r="G1413" t="s">
        <v>45</v>
      </c>
      <c r="H1413">
        <v>5</v>
      </c>
      <c r="I1413">
        <v>113.5</v>
      </c>
      <c r="J1413" t="s">
        <v>17</v>
      </c>
      <c r="K1413" t="s">
        <v>18</v>
      </c>
      <c r="L1413">
        <f>WEEKDAY(Table1[[#This Row],[Transaction_Date]],2)</f>
        <v>5</v>
      </c>
      <c r="M1413">
        <f>IF(Table1[[#This Row],[Sale_Type]]="Buffet",1,0)</f>
        <v>1</v>
      </c>
    </row>
    <row r="1414" spans="1:13" x14ac:dyDescent="0.2">
      <c r="A1414" t="s">
        <v>1685</v>
      </c>
      <c r="B1414" t="s">
        <v>663</v>
      </c>
      <c r="C1414" s="1">
        <v>45996</v>
      </c>
      <c r="D1414" t="s">
        <v>96</v>
      </c>
      <c r="E1414" t="s">
        <v>43</v>
      </c>
      <c r="F1414" t="s">
        <v>44</v>
      </c>
      <c r="G1414" t="s">
        <v>45</v>
      </c>
      <c r="H1414">
        <v>1</v>
      </c>
      <c r="I1414">
        <v>20</v>
      </c>
      <c r="J1414" t="s">
        <v>28</v>
      </c>
      <c r="K1414" t="s">
        <v>18</v>
      </c>
      <c r="L1414">
        <f>WEEKDAY(Table1[[#This Row],[Transaction_Date]],2)</f>
        <v>5</v>
      </c>
      <c r="M1414">
        <f>IF(Table1[[#This Row],[Sale_Type]]="Buffet",1,0)</f>
        <v>1</v>
      </c>
    </row>
    <row r="1415" spans="1:13" x14ac:dyDescent="0.2">
      <c r="A1415" t="s">
        <v>1686</v>
      </c>
      <c r="B1415" t="s">
        <v>30</v>
      </c>
      <c r="C1415" s="1">
        <v>45996</v>
      </c>
      <c r="D1415" t="s">
        <v>96</v>
      </c>
      <c r="E1415" t="s">
        <v>43</v>
      </c>
      <c r="F1415" t="s">
        <v>44</v>
      </c>
      <c r="G1415" t="s">
        <v>45</v>
      </c>
      <c r="H1415">
        <v>1</v>
      </c>
      <c r="I1415">
        <v>24.5</v>
      </c>
      <c r="J1415" t="s">
        <v>34</v>
      </c>
      <c r="K1415" t="s">
        <v>21</v>
      </c>
      <c r="L1415">
        <f>WEEKDAY(Table1[[#This Row],[Transaction_Date]],2)</f>
        <v>5</v>
      </c>
      <c r="M1415">
        <f>IF(Table1[[#This Row],[Sale_Type]]="Buffet",1,0)</f>
        <v>1</v>
      </c>
    </row>
    <row r="1416" spans="1:13" x14ac:dyDescent="0.2">
      <c r="A1416" t="s">
        <v>1687</v>
      </c>
      <c r="B1416" t="s">
        <v>242</v>
      </c>
      <c r="C1416" s="1">
        <v>45996</v>
      </c>
      <c r="D1416" t="s">
        <v>96</v>
      </c>
      <c r="E1416" t="s">
        <v>43</v>
      </c>
      <c r="F1416" t="s">
        <v>44</v>
      </c>
      <c r="G1416" t="s">
        <v>16</v>
      </c>
      <c r="H1416">
        <v>4</v>
      </c>
      <c r="I1416">
        <v>84.64</v>
      </c>
      <c r="J1416" t="s">
        <v>17</v>
      </c>
      <c r="K1416" t="s">
        <v>21</v>
      </c>
      <c r="L1416">
        <f>WEEKDAY(Table1[[#This Row],[Transaction_Date]],2)</f>
        <v>5</v>
      </c>
      <c r="M1416">
        <f>IF(Table1[[#This Row],[Sale_Type]]="Buffet",1,0)</f>
        <v>0</v>
      </c>
    </row>
    <row r="1417" spans="1:13" x14ac:dyDescent="0.2">
      <c r="A1417" t="s">
        <v>1688</v>
      </c>
      <c r="B1417" t="s">
        <v>363</v>
      </c>
      <c r="C1417" s="1">
        <v>45996</v>
      </c>
      <c r="D1417" t="s">
        <v>96</v>
      </c>
      <c r="E1417" t="s">
        <v>43</v>
      </c>
      <c r="F1417" t="s">
        <v>50</v>
      </c>
      <c r="G1417" t="s">
        <v>16</v>
      </c>
      <c r="H1417">
        <v>3</v>
      </c>
      <c r="I1417">
        <v>60.71</v>
      </c>
      <c r="J1417" t="s">
        <v>17</v>
      </c>
      <c r="K1417" t="s">
        <v>21</v>
      </c>
      <c r="L1417">
        <f>WEEKDAY(Table1[[#This Row],[Transaction_Date]],2)</f>
        <v>5</v>
      </c>
      <c r="M1417">
        <f>IF(Table1[[#This Row],[Sale_Type]]="Buffet",1,0)</f>
        <v>0</v>
      </c>
    </row>
    <row r="1418" spans="1:13" x14ac:dyDescent="0.2">
      <c r="A1418" t="s">
        <v>1689</v>
      </c>
      <c r="B1418" t="s">
        <v>361</v>
      </c>
      <c r="C1418" s="1">
        <v>45996</v>
      </c>
      <c r="D1418" t="s">
        <v>96</v>
      </c>
      <c r="E1418" t="s">
        <v>43</v>
      </c>
      <c r="F1418" t="s">
        <v>50</v>
      </c>
      <c r="G1418" t="s">
        <v>16</v>
      </c>
      <c r="H1418">
        <v>1</v>
      </c>
      <c r="I1418">
        <v>15.81</v>
      </c>
      <c r="J1418" t="s">
        <v>17</v>
      </c>
      <c r="K1418" t="s">
        <v>18</v>
      </c>
      <c r="L1418">
        <f>WEEKDAY(Table1[[#This Row],[Transaction_Date]],2)</f>
        <v>5</v>
      </c>
      <c r="M1418">
        <f>IF(Table1[[#This Row],[Sale_Type]]="Buffet",1,0)</f>
        <v>0</v>
      </c>
    </row>
    <row r="1419" spans="1:13" x14ac:dyDescent="0.2">
      <c r="A1419" t="s">
        <v>1690</v>
      </c>
      <c r="B1419" t="s">
        <v>304</v>
      </c>
      <c r="C1419" s="1">
        <v>45996</v>
      </c>
      <c r="D1419" t="s">
        <v>96</v>
      </c>
      <c r="E1419" t="s">
        <v>43</v>
      </c>
      <c r="F1419" t="s">
        <v>50</v>
      </c>
      <c r="G1419" t="s">
        <v>16</v>
      </c>
      <c r="H1419">
        <v>3</v>
      </c>
      <c r="I1419">
        <v>27.23</v>
      </c>
      <c r="J1419" t="s">
        <v>34</v>
      </c>
      <c r="K1419" t="s">
        <v>18</v>
      </c>
      <c r="L1419">
        <f>WEEKDAY(Table1[[#This Row],[Transaction_Date]],2)</f>
        <v>5</v>
      </c>
      <c r="M1419">
        <f>IF(Table1[[#This Row],[Sale_Type]]="Buffet",1,0)</f>
        <v>0</v>
      </c>
    </row>
    <row r="1420" spans="1:13" x14ac:dyDescent="0.2">
      <c r="A1420" t="s">
        <v>1691</v>
      </c>
      <c r="B1420" t="s">
        <v>1692</v>
      </c>
      <c r="C1420" s="1">
        <v>45996</v>
      </c>
      <c r="D1420" t="s">
        <v>96</v>
      </c>
      <c r="E1420" t="s">
        <v>43</v>
      </c>
      <c r="F1420" t="s">
        <v>53</v>
      </c>
      <c r="G1420" t="s">
        <v>16</v>
      </c>
      <c r="H1420">
        <v>2</v>
      </c>
      <c r="I1420">
        <v>33.14</v>
      </c>
      <c r="J1420" t="s">
        <v>17</v>
      </c>
      <c r="K1420" t="s">
        <v>18</v>
      </c>
      <c r="L1420">
        <f>WEEKDAY(Table1[[#This Row],[Transaction_Date]],2)</f>
        <v>5</v>
      </c>
      <c r="M1420">
        <f>IF(Table1[[#This Row],[Sale_Type]]="Buffet",1,0)</f>
        <v>0</v>
      </c>
    </row>
    <row r="1421" spans="1:13" x14ac:dyDescent="0.2">
      <c r="A1421" t="s">
        <v>1693</v>
      </c>
      <c r="B1421" t="s">
        <v>268</v>
      </c>
      <c r="C1421" s="1">
        <v>45996</v>
      </c>
      <c r="D1421" t="s">
        <v>96</v>
      </c>
      <c r="E1421" t="s">
        <v>43</v>
      </c>
      <c r="F1421" t="s">
        <v>57</v>
      </c>
      <c r="G1421" t="s">
        <v>16</v>
      </c>
      <c r="H1421">
        <v>7</v>
      </c>
      <c r="I1421">
        <v>88.51</v>
      </c>
      <c r="J1421" t="s">
        <v>17</v>
      </c>
      <c r="K1421" t="s">
        <v>18</v>
      </c>
      <c r="L1421">
        <f>WEEKDAY(Table1[[#This Row],[Transaction_Date]],2)</f>
        <v>5</v>
      </c>
      <c r="M1421">
        <f>IF(Table1[[#This Row],[Sale_Type]]="Buffet",1,0)</f>
        <v>0</v>
      </c>
    </row>
    <row r="1422" spans="1:13" x14ac:dyDescent="0.2">
      <c r="A1422" t="s">
        <v>1694</v>
      </c>
      <c r="B1422" t="s">
        <v>1692</v>
      </c>
      <c r="C1422" s="1">
        <v>45996</v>
      </c>
      <c r="D1422" t="s">
        <v>96</v>
      </c>
      <c r="E1422" t="s">
        <v>43</v>
      </c>
      <c r="F1422" t="s">
        <v>57</v>
      </c>
      <c r="G1422" t="s">
        <v>16</v>
      </c>
      <c r="H1422">
        <v>3</v>
      </c>
      <c r="I1422">
        <v>31.79</v>
      </c>
      <c r="J1422" t="s">
        <v>28</v>
      </c>
      <c r="K1422" t="s">
        <v>18</v>
      </c>
      <c r="L1422">
        <f>WEEKDAY(Table1[[#This Row],[Transaction_Date]],2)</f>
        <v>5</v>
      </c>
      <c r="M1422">
        <f>IF(Table1[[#This Row],[Sale_Type]]="Buffet",1,0)</f>
        <v>0</v>
      </c>
    </row>
    <row r="1423" spans="1:13" x14ac:dyDescent="0.2">
      <c r="A1423" t="s">
        <v>1695</v>
      </c>
      <c r="B1423" t="s">
        <v>341</v>
      </c>
      <c r="C1423" s="1">
        <v>45996</v>
      </c>
      <c r="D1423" t="s">
        <v>96</v>
      </c>
      <c r="E1423" t="s">
        <v>43</v>
      </c>
      <c r="F1423" t="s">
        <v>57</v>
      </c>
      <c r="G1423" t="s">
        <v>45</v>
      </c>
      <c r="H1423">
        <v>5</v>
      </c>
      <c r="I1423">
        <v>109</v>
      </c>
      <c r="J1423" t="s">
        <v>34</v>
      </c>
      <c r="K1423" t="s">
        <v>18</v>
      </c>
      <c r="L1423">
        <f>WEEKDAY(Table1[[#This Row],[Transaction_Date]],2)</f>
        <v>5</v>
      </c>
      <c r="M1423">
        <f>IF(Table1[[#This Row],[Sale_Type]]="Buffet",1,0)</f>
        <v>1</v>
      </c>
    </row>
    <row r="1424" spans="1:13" x14ac:dyDescent="0.2">
      <c r="A1424" t="s">
        <v>1696</v>
      </c>
      <c r="B1424" t="s">
        <v>138</v>
      </c>
      <c r="C1424" s="1">
        <v>45997</v>
      </c>
      <c r="D1424" t="s">
        <v>127</v>
      </c>
      <c r="E1424" t="s">
        <v>14</v>
      </c>
      <c r="F1424" t="s">
        <v>15</v>
      </c>
      <c r="G1424" t="s">
        <v>16</v>
      </c>
      <c r="H1424">
        <v>4</v>
      </c>
      <c r="I1424">
        <v>184.4</v>
      </c>
      <c r="J1424" t="s">
        <v>34</v>
      </c>
      <c r="K1424" t="s">
        <v>18</v>
      </c>
      <c r="L1424">
        <f>WEEKDAY(Table1[[#This Row],[Transaction_Date]],2)</f>
        <v>6</v>
      </c>
      <c r="M1424">
        <f>IF(Table1[[#This Row],[Sale_Type]]="Buffet",1,0)</f>
        <v>0</v>
      </c>
    </row>
    <row r="1425" spans="1:13" x14ac:dyDescent="0.2">
      <c r="A1425" t="s">
        <v>1697</v>
      </c>
      <c r="B1425" t="s">
        <v>740</v>
      </c>
      <c r="C1425" s="1">
        <v>45997</v>
      </c>
      <c r="D1425" t="s">
        <v>127</v>
      </c>
      <c r="E1425" t="s">
        <v>14</v>
      </c>
      <c r="F1425" t="s">
        <v>24</v>
      </c>
      <c r="G1425" t="s">
        <v>16</v>
      </c>
      <c r="H1425">
        <v>6</v>
      </c>
      <c r="I1425">
        <v>133.74</v>
      </c>
      <c r="J1425" t="s">
        <v>17</v>
      </c>
      <c r="K1425" t="s">
        <v>18</v>
      </c>
      <c r="L1425">
        <f>WEEKDAY(Table1[[#This Row],[Transaction_Date]],2)</f>
        <v>6</v>
      </c>
      <c r="M1425">
        <f>IF(Table1[[#This Row],[Sale_Type]]="Buffet",1,0)</f>
        <v>0</v>
      </c>
    </row>
    <row r="1426" spans="1:13" x14ac:dyDescent="0.2">
      <c r="A1426" t="s">
        <v>1698</v>
      </c>
      <c r="B1426" t="s">
        <v>150</v>
      </c>
      <c r="C1426" s="1">
        <v>45997</v>
      </c>
      <c r="D1426" t="s">
        <v>127</v>
      </c>
      <c r="E1426" t="s">
        <v>14</v>
      </c>
      <c r="F1426" t="s">
        <v>24</v>
      </c>
      <c r="G1426" t="s">
        <v>16</v>
      </c>
      <c r="H1426">
        <v>3</v>
      </c>
      <c r="I1426">
        <v>78.760000000000005</v>
      </c>
      <c r="J1426" t="s">
        <v>17</v>
      </c>
      <c r="K1426" t="s">
        <v>18</v>
      </c>
      <c r="L1426">
        <f>WEEKDAY(Table1[[#This Row],[Transaction_Date]],2)</f>
        <v>6</v>
      </c>
      <c r="M1426">
        <f>IF(Table1[[#This Row],[Sale_Type]]="Buffet",1,0)</f>
        <v>0</v>
      </c>
    </row>
    <row r="1427" spans="1:13" x14ac:dyDescent="0.2">
      <c r="A1427" t="s">
        <v>1699</v>
      </c>
      <c r="B1427" t="s">
        <v>440</v>
      </c>
      <c r="C1427" s="1">
        <v>45997</v>
      </c>
      <c r="D1427" t="s">
        <v>127</v>
      </c>
      <c r="E1427" t="s">
        <v>14</v>
      </c>
      <c r="F1427" t="s">
        <v>24</v>
      </c>
      <c r="G1427" t="s">
        <v>16</v>
      </c>
      <c r="H1427">
        <v>4</v>
      </c>
      <c r="I1427">
        <v>129.5</v>
      </c>
      <c r="J1427" t="s">
        <v>17</v>
      </c>
      <c r="K1427" t="s">
        <v>18</v>
      </c>
      <c r="L1427">
        <f>WEEKDAY(Table1[[#This Row],[Transaction_Date]],2)</f>
        <v>6</v>
      </c>
      <c r="M1427">
        <f>IF(Table1[[#This Row],[Sale_Type]]="Buffet",1,0)</f>
        <v>0</v>
      </c>
    </row>
    <row r="1428" spans="1:13" x14ac:dyDescent="0.2">
      <c r="A1428" t="s">
        <v>1700</v>
      </c>
      <c r="B1428" t="s">
        <v>584</v>
      </c>
      <c r="C1428" s="1">
        <v>45997</v>
      </c>
      <c r="D1428" t="s">
        <v>127</v>
      </c>
      <c r="E1428" t="s">
        <v>14</v>
      </c>
      <c r="F1428" t="s">
        <v>24</v>
      </c>
      <c r="G1428" t="s">
        <v>16</v>
      </c>
      <c r="H1428">
        <v>4</v>
      </c>
      <c r="I1428">
        <v>92.75</v>
      </c>
      <c r="J1428" t="s">
        <v>28</v>
      </c>
      <c r="K1428" t="s">
        <v>18</v>
      </c>
      <c r="L1428">
        <f>WEEKDAY(Table1[[#This Row],[Transaction_Date]],2)</f>
        <v>6</v>
      </c>
      <c r="M1428">
        <f>IF(Table1[[#This Row],[Sale_Type]]="Buffet",1,0)</f>
        <v>0</v>
      </c>
    </row>
    <row r="1429" spans="1:13" x14ac:dyDescent="0.2">
      <c r="A1429" t="s">
        <v>1701</v>
      </c>
      <c r="B1429" t="s">
        <v>423</v>
      </c>
      <c r="C1429" s="1">
        <v>45997</v>
      </c>
      <c r="D1429" t="s">
        <v>127</v>
      </c>
      <c r="E1429" t="s">
        <v>14</v>
      </c>
      <c r="F1429" t="s">
        <v>24</v>
      </c>
      <c r="G1429" t="s">
        <v>16</v>
      </c>
      <c r="H1429">
        <v>3</v>
      </c>
      <c r="I1429">
        <v>74.58</v>
      </c>
      <c r="J1429" t="s">
        <v>17</v>
      </c>
      <c r="K1429" t="s">
        <v>18</v>
      </c>
      <c r="L1429">
        <f>WEEKDAY(Table1[[#This Row],[Transaction_Date]],2)</f>
        <v>6</v>
      </c>
      <c r="M1429">
        <f>IF(Table1[[#This Row],[Sale_Type]]="Buffet",1,0)</f>
        <v>0</v>
      </c>
    </row>
    <row r="1430" spans="1:13" x14ac:dyDescent="0.2">
      <c r="A1430" t="s">
        <v>1702</v>
      </c>
      <c r="B1430" t="s">
        <v>351</v>
      </c>
      <c r="C1430" s="1">
        <v>45997</v>
      </c>
      <c r="D1430" t="s">
        <v>127</v>
      </c>
      <c r="E1430" t="s">
        <v>14</v>
      </c>
      <c r="F1430" t="s">
        <v>27</v>
      </c>
      <c r="G1430" t="s">
        <v>16</v>
      </c>
      <c r="H1430">
        <v>4</v>
      </c>
      <c r="I1430">
        <v>136.68</v>
      </c>
      <c r="J1430" t="s">
        <v>17</v>
      </c>
      <c r="K1430" t="s">
        <v>18</v>
      </c>
      <c r="L1430">
        <f>WEEKDAY(Table1[[#This Row],[Transaction_Date]],2)</f>
        <v>6</v>
      </c>
      <c r="M1430">
        <f>IF(Table1[[#This Row],[Sale_Type]]="Buffet",1,0)</f>
        <v>0</v>
      </c>
    </row>
    <row r="1431" spans="1:13" x14ac:dyDescent="0.2">
      <c r="A1431" t="s">
        <v>1703</v>
      </c>
      <c r="B1431" t="s">
        <v>238</v>
      </c>
      <c r="C1431" s="1">
        <v>45997</v>
      </c>
      <c r="D1431" t="s">
        <v>127</v>
      </c>
      <c r="E1431" t="s">
        <v>14</v>
      </c>
      <c r="F1431" t="s">
        <v>27</v>
      </c>
      <c r="G1431" t="s">
        <v>16</v>
      </c>
      <c r="H1431">
        <v>2</v>
      </c>
      <c r="I1431">
        <v>60.45</v>
      </c>
      <c r="J1431" t="s">
        <v>17</v>
      </c>
      <c r="K1431" t="s">
        <v>21</v>
      </c>
      <c r="L1431">
        <f>WEEKDAY(Table1[[#This Row],[Transaction_Date]],2)</f>
        <v>6</v>
      </c>
      <c r="M1431">
        <f>IF(Table1[[#This Row],[Sale_Type]]="Buffet",1,0)</f>
        <v>0</v>
      </c>
    </row>
    <row r="1432" spans="1:13" x14ac:dyDescent="0.2">
      <c r="A1432" t="s">
        <v>1704</v>
      </c>
      <c r="B1432" t="s">
        <v>256</v>
      </c>
      <c r="C1432" s="1">
        <v>45997</v>
      </c>
      <c r="D1432" t="s">
        <v>127</v>
      </c>
      <c r="E1432" t="s">
        <v>14</v>
      </c>
      <c r="F1432" t="s">
        <v>27</v>
      </c>
      <c r="G1432" t="s">
        <v>16</v>
      </c>
      <c r="H1432">
        <v>4</v>
      </c>
      <c r="I1432">
        <v>138.86000000000001</v>
      </c>
      <c r="J1432" t="s">
        <v>28</v>
      </c>
      <c r="K1432" t="s">
        <v>18</v>
      </c>
      <c r="L1432">
        <f>WEEKDAY(Table1[[#This Row],[Transaction_Date]],2)</f>
        <v>6</v>
      </c>
      <c r="M1432">
        <f>IF(Table1[[#This Row],[Sale_Type]]="Buffet",1,0)</f>
        <v>0</v>
      </c>
    </row>
    <row r="1433" spans="1:13" x14ac:dyDescent="0.2">
      <c r="A1433" t="s">
        <v>1705</v>
      </c>
      <c r="B1433" t="s">
        <v>131</v>
      </c>
      <c r="C1433" s="1">
        <v>45997</v>
      </c>
      <c r="D1433" t="s">
        <v>127</v>
      </c>
      <c r="E1433" t="s">
        <v>14</v>
      </c>
      <c r="F1433" t="s">
        <v>31</v>
      </c>
      <c r="G1433" t="s">
        <v>16</v>
      </c>
      <c r="H1433">
        <v>2</v>
      </c>
      <c r="I1433">
        <v>87.59</v>
      </c>
      <c r="J1433" t="s">
        <v>17</v>
      </c>
      <c r="K1433" t="s">
        <v>18</v>
      </c>
      <c r="L1433">
        <f>WEEKDAY(Table1[[#This Row],[Transaction_Date]],2)</f>
        <v>6</v>
      </c>
      <c r="M1433">
        <f>IF(Table1[[#This Row],[Sale_Type]]="Buffet",1,0)</f>
        <v>0</v>
      </c>
    </row>
    <row r="1434" spans="1:13" x14ac:dyDescent="0.2">
      <c r="A1434" t="s">
        <v>1706</v>
      </c>
      <c r="B1434" t="s">
        <v>208</v>
      </c>
      <c r="C1434" s="1">
        <v>45997</v>
      </c>
      <c r="D1434" t="s">
        <v>127</v>
      </c>
      <c r="E1434" t="s">
        <v>14</v>
      </c>
      <c r="F1434" t="s">
        <v>31</v>
      </c>
      <c r="G1434" t="s">
        <v>16</v>
      </c>
      <c r="H1434">
        <v>4</v>
      </c>
      <c r="I1434">
        <v>144.16999999999999</v>
      </c>
      <c r="J1434" t="s">
        <v>17</v>
      </c>
      <c r="K1434" t="s">
        <v>18</v>
      </c>
      <c r="L1434">
        <f>WEEKDAY(Table1[[#This Row],[Transaction_Date]],2)</f>
        <v>6</v>
      </c>
      <c r="M1434">
        <f>IF(Table1[[#This Row],[Sale_Type]]="Buffet",1,0)</f>
        <v>0</v>
      </c>
    </row>
    <row r="1435" spans="1:13" x14ac:dyDescent="0.2">
      <c r="A1435" t="s">
        <v>1707</v>
      </c>
      <c r="B1435" t="s">
        <v>440</v>
      </c>
      <c r="C1435" s="1">
        <v>45997</v>
      </c>
      <c r="D1435" t="s">
        <v>127</v>
      </c>
      <c r="E1435" t="s">
        <v>14</v>
      </c>
      <c r="F1435" t="s">
        <v>31</v>
      </c>
      <c r="G1435" t="s">
        <v>16</v>
      </c>
      <c r="H1435">
        <v>2</v>
      </c>
      <c r="I1435">
        <v>44.05</v>
      </c>
      <c r="J1435" t="s">
        <v>28</v>
      </c>
      <c r="K1435" t="s">
        <v>18</v>
      </c>
      <c r="L1435">
        <f>WEEKDAY(Table1[[#This Row],[Transaction_Date]],2)</f>
        <v>6</v>
      </c>
      <c r="M1435">
        <f>IF(Table1[[#This Row],[Sale_Type]]="Buffet",1,0)</f>
        <v>0</v>
      </c>
    </row>
    <row r="1436" spans="1:13" x14ac:dyDescent="0.2">
      <c r="A1436" t="s">
        <v>1708</v>
      </c>
      <c r="B1436" t="s">
        <v>385</v>
      </c>
      <c r="C1436" s="1">
        <v>45997</v>
      </c>
      <c r="D1436" t="s">
        <v>127</v>
      </c>
      <c r="E1436" t="s">
        <v>14</v>
      </c>
      <c r="F1436" t="s">
        <v>31</v>
      </c>
      <c r="G1436" t="s">
        <v>16</v>
      </c>
      <c r="H1436">
        <v>2</v>
      </c>
      <c r="I1436">
        <v>62.45</v>
      </c>
      <c r="J1436" t="s">
        <v>17</v>
      </c>
      <c r="K1436" t="s">
        <v>18</v>
      </c>
      <c r="L1436">
        <f>WEEKDAY(Table1[[#This Row],[Transaction_Date]],2)</f>
        <v>6</v>
      </c>
      <c r="M1436">
        <f>IF(Table1[[#This Row],[Sale_Type]]="Buffet",1,0)</f>
        <v>0</v>
      </c>
    </row>
    <row r="1437" spans="1:13" x14ac:dyDescent="0.2">
      <c r="A1437" t="s">
        <v>1709</v>
      </c>
      <c r="B1437" t="s">
        <v>142</v>
      </c>
      <c r="C1437" s="1">
        <v>45997</v>
      </c>
      <c r="D1437" t="s">
        <v>127</v>
      </c>
      <c r="E1437" t="s">
        <v>14</v>
      </c>
      <c r="F1437" t="s">
        <v>31</v>
      </c>
      <c r="G1437" t="s">
        <v>16</v>
      </c>
      <c r="H1437">
        <v>3</v>
      </c>
      <c r="I1437">
        <v>52.91</v>
      </c>
      <c r="J1437" t="s">
        <v>17</v>
      </c>
      <c r="K1437" t="s">
        <v>21</v>
      </c>
      <c r="L1437">
        <f>WEEKDAY(Table1[[#This Row],[Transaction_Date]],2)</f>
        <v>6</v>
      </c>
      <c r="M1437">
        <f>IF(Table1[[#This Row],[Sale_Type]]="Buffet",1,0)</f>
        <v>0</v>
      </c>
    </row>
    <row r="1438" spans="1:13" x14ac:dyDescent="0.2">
      <c r="A1438" t="s">
        <v>1710</v>
      </c>
      <c r="B1438" t="s">
        <v>567</v>
      </c>
      <c r="C1438" s="1">
        <v>45997</v>
      </c>
      <c r="D1438" t="s">
        <v>127</v>
      </c>
      <c r="E1438" t="s">
        <v>14</v>
      </c>
      <c r="F1438" t="s">
        <v>40</v>
      </c>
      <c r="G1438" t="s">
        <v>16</v>
      </c>
      <c r="H1438">
        <v>1</v>
      </c>
      <c r="I1438">
        <v>21.14</v>
      </c>
      <c r="J1438" t="s">
        <v>34</v>
      </c>
      <c r="K1438" t="s">
        <v>21</v>
      </c>
      <c r="L1438">
        <f>WEEKDAY(Table1[[#This Row],[Transaction_Date]],2)</f>
        <v>6</v>
      </c>
      <c r="M1438">
        <f>IF(Table1[[#This Row],[Sale_Type]]="Buffet",1,0)</f>
        <v>0</v>
      </c>
    </row>
    <row r="1439" spans="1:13" x14ac:dyDescent="0.2">
      <c r="A1439" t="s">
        <v>1711</v>
      </c>
      <c r="B1439" t="s">
        <v>1034</v>
      </c>
      <c r="C1439" s="1">
        <v>45997</v>
      </c>
      <c r="D1439" t="s">
        <v>127</v>
      </c>
      <c r="E1439" t="s">
        <v>14</v>
      </c>
      <c r="F1439" t="s">
        <v>40</v>
      </c>
      <c r="G1439" t="s">
        <v>16</v>
      </c>
      <c r="H1439">
        <v>3</v>
      </c>
      <c r="I1439">
        <v>108.49</v>
      </c>
      <c r="J1439" t="s">
        <v>17</v>
      </c>
      <c r="K1439" t="s">
        <v>21</v>
      </c>
      <c r="L1439">
        <f>WEEKDAY(Table1[[#This Row],[Transaction_Date]],2)</f>
        <v>6</v>
      </c>
      <c r="M1439">
        <f>IF(Table1[[#This Row],[Sale_Type]]="Buffet",1,0)</f>
        <v>0</v>
      </c>
    </row>
    <row r="1440" spans="1:13" x14ac:dyDescent="0.2">
      <c r="A1440" t="s">
        <v>1712</v>
      </c>
      <c r="B1440" t="s">
        <v>454</v>
      </c>
      <c r="C1440" s="1">
        <v>45997</v>
      </c>
      <c r="D1440" t="s">
        <v>127</v>
      </c>
      <c r="E1440" t="s">
        <v>14</v>
      </c>
      <c r="F1440" t="s">
        <v>40</v>
      </c>
      <c r="G1440" t="s">
        <v>16</v>
      </c>
      <c r="H1440">
        <v>4</v>
      </c>
      <c r="I1440">
        <v>113.36</v>
      </c>
      <c r="J1440" t="s">
        <v>28</v>
      </c>
      <c r="K1440" t="s">
        <v>21</v>
      </c>
      <c r="L1440">
        <f>WEEKDAY(Table1[[#This Row],[Transaction_Date]],2)</f>
        <v>6</v>
      </c>
      <c r="M1440">
        <f>IF(Table1[[#This Row],[Sale_Type]]="Buffet",1,0)</f>
        <v>0</v>
      </c>
    </row>
    <row r="1441" spans="1:13" x14ac:dyDescent="0.2">
      <c r="A1441" t="s">
        <v>1713</v>
      </c>
      <c r="B1441" t="s">
        <v>907</v>
      </c>
      <c r="C1441" s="1">
        <v>45997</v>
      </c>
      <c r="D1441" t="s">
        <v>127</v>
      </c>
      <c r="E1441" t="s">
        <v>43</v>
      </c>
      <c r="F1441" t="s">
        <v>50</v>
      </c>
      <c r="G1441" t="s">
        <v>16</v>
      </c>
      <c r="H1441">
        <v>4</v>
      </c>
      <c r="I1441">
        <v>47.63</v>
      </c>
      <c r="J1441" t="s">
        <v>34</v>
      </c>
      <c r="K1441" t="s">
        <v>21</v>
      </c>
      <c r="L1441">
        <f>WEEKDAY(Table1[[#This Row],[Transaction_Date]],2)</f>
        <v>6</v>
      </c>
      <c r="M1441">
        <f>IF(Table1[[#This Row],[Sale_Type]]="Buffet",1,0)</f>
        <v>0</v>
      </c>
    </row>
    <row r="1442" spans="1:13" x14ac:dyDescent="0.2">
      <c r="A1442" t="s">
        <v>1714</v>
      </c>
      <c r="B1442" t="s">
        <v>789</v>
      </c>
      <c r="C1442" s="1">
        <v>45997</v>
      </c>
      <c r="D1442" t="s">
        <v>127</v>
      </c>
      <c r="E1442" t="s">
        <v>43</v>
      </c>
      <c r="F1442" t="s">
        <v>50</v>
      </c>
      <c r="G1442" t="s">
        <v>16</v>
      </c>
      <c r="H1442">
        <v>5</v>
      </c>
      <c r="I1442">
        <v>130.11000000000001</v>
      </c>
      <c r="J1442" t="s">
        <v>17</v>
      </c>
      <c r="K1442" t="s">
        <v>18</v>
      </c>
      <c r="L1442">
        <f>WEEKDAY(Table1[[#This Row],[Transaction_Date]],2)</f>
        <v>6</v>
      </c>
      <c r="M1442">
        <f>IF(Table1[[#This Row],[Sale_Type]]="Buffet",1,0)</f>
        <v>0</v>
      </c>
    </row>
    <row r="1443" spans="1:13" x14ac:dyDescent="0.2">
      <c r="A1443" t="s">
        <v>1715</v>
      </c>
      <c r="B1443" t="s">
        <v>242</v>
      </c>
      <c r="C1443" s="1">
        <v>45998</v>
      </c>
      <c r="D1443" t="s">
        <v>171</v>
      </c>
      <c r="E1443" t="s">
        <v>14</v>
      </c>
      <c r="F1443" t="s">
        <v>15</v>
      </c>
      <c r="G1443" t="s">
        <v>16</v>
      </c>
      <c r="H1443">
        <v>2</v>
      </c>
      <c r="I1443">
        <v>54.55</v>
      </c>
      <c r="J1443" t="s">
        <v>28</v>
      </c>
      <c r="K1443" t="s">
        <v>18</v>
      </c>
      <c r="L1443">
        <f>WEEKDAY(Table1[[#This Row],[Transaction_Date]],2)</f>
        <v>7</v>
      </c>
      <c r="M1443">
        <f>IF(Table1[[#This Row],[Sale_Type]]="Buffet",1,0)</f>
        <v>0</v>
      </c>
    </row>
    <row r="1444" spans="1:13" x14ac:dyDescent="0.2">
      <c r="A1444" t="s">
        <v>1716</v>
      </c>
      <c r="B1444" t="s">
        <v>138</v>
      </c>
      <c r="C1444" s="1">
        <v>45998</v>
      </c>
      <c r="D1444" t="s">
        <v>171</v>
      </c>
      <c r="E1444" t="s">
        <v>14</v>
      </c>
      <c r="F1444" t="s">
        <v>15</v>
      </c>
      <c r="G1444" t="s">
        <v>16</v>
      </c>
      <c r="H1444">
        <v>3</v>
      </c>
      <c r="I1444">
        <v>122.59</v>
      </c>
      <c r="J1444" t="s">
        <v>17</v>
      </c>
      <c r="K1444" t="s">
        <v>21</v>
      </c>
      <c r="L1444">
        <f>WEEKDAY(Table1[[#This Row],[Transaction_Date]],2)</f>
        <v>7</v>
      </c>
      <c r="M1444">
        <f>IF(Table1[[#This Row],[Sale_Type]]="Buffet",1,0)</f>
        <v>0</v>
      </c>
    </row>
    <row r="1445" spans="1:13" x14ac:dyDescent="0.2">
      <c r="A1445" t="s">
        <v>1717</v>
      </c>
      <c r="B1445" t="s">
        <v>293</v>
      </c>
      <c r="C1445" s="1">
        <v>45998</v>
      </c>
      <c r="D1445" t="s">
        <v>171</v>
      </c>
      <c r="E1445" t="s">
        <v>14</v>
      </c>
      <c r="F1445" t="s">
        <v>15</v>
      </c>
      <c r="G1445" t="s">
        <v>16</v>
      </c>
      <c r="H1445">
        <v>6</v>
      </c>
      <c r="I1445">
        <v>202.56</v>
      </c>
      <c r="J1445" t="s">
        <v>34</v>
      </c>
      <c r="K1445" t="s">
        <v>21</v>
      </c>
      <c r="L1445">
        <f>WEEKDAY(Table1[[#This Row],[Transaction_Date]],2)</f>
        <v>7</v>
      </c>
      <c r="M1445">
        <f>IF(Table1[[#This Row],[Sale_Type]]="Buffet",1,0)</f>
        <v>0</v>
      </c>
    </row>
    <row r="1446" spans="1:13" x14ac:dyDescent="0.2">
      <c r="A1446" t="s">
        <v>1718</v>
      </c>
      <c r="B1446" t="s">
        <v>115</v>
      </c>
      <c r="C1446" s="1">
        <v>45998</v>
      </c>
      <c r="D1446" t="s">
        <v>171</v>
      </c>
      <c r="E1446" t="s">
        <v>14</v>
      </c>
      <c r="F1446" t="s">
        <v>24</v>
      </c>
      <c r="G1446" t="s">
        <v>16</v>
      </c>
      <c r="H1446">
        <v>4</v>
      </c>
      <c r="I1446">
        <v>155.78</v>
      </c>
      <c r="J1446" t="s">
        <v>17</v>
      </c>
      <c r="K1446" t="s">
        <v>21</v>
      </c>
      <c r="L1446">
        <f>WEEKDAY(Table1[[#This Row],[Transaction_Date]],2)</f>
        <v>7</v>
      </c>
      <c r="M1446">
        <f>IF(Table1[[#This Row],[Sale_Type]]="Buffet",1,0)</f>
        <v>0</v>
      </c>
    </row>
    <row r="1447" spans="1:13" x14ac:dyDescent="0.2">
      <c r="A1447" t="s">
        <v>1719</v>
      </c>
      <c r="B1447" t="s">
        <v>743</v>
      </c>
      <c r="C1447" s="1">
        <v>45998</v>
      </c>
      <c r="D1447" t="s">
        <v>171</v>
      </c>
      <c r="E1447" t="s">
        <v>14</v>
      </c>
      <c r="F1447" t="s">
        <v>24</v>
      </c>
      <c r="G1447" t="s">
        <v>16</v>
      </c>
      <c r="H1447">
        <v>4</v>
      </c>
      <c r="I1447">
        <v>96.97</v>
      </c>
      <c r="J1447" t="s">
        <v>17</v>
      </c>
      <c r="K1447" t="s">
        <v>18</v>
      </c>
      <c r="L1447">
        <f>WEEKDAY(Table1[[#This Row],[Transaction_Date]],2)</f>
        <v>7</v>
      </c>
      <c r="M1447">
        <f>IF(Table1[[#This Row],[Sale_Type]]="Buffet",1,0)</f>
        <v>0</v>
      </c>
    </row>
    <row r="1448" spans="1:13" x14ac:dyDescent="0.2">
      <c r="A1448" t="s">
        <v>1720</v>
      </c>
      <c r="B1448" t="s">
        <v>76</v>
      </c>
      <c r="C1448" s="1">
        <v>45998</v>
      </c>
      <c r="D1448" t="s">
        <v>171</v>
      </c>
      <c r="E1448" t="s">
        <v>14</v>
      </c>
      <c r="F1448" t="s">
        <v>24</v>
      </c>
      <c r="G1448" t="s">
        <v>16</v>
      </c>
      <c r="H1448">
        <v>5</v>
      </c>
      <c r="I1448">
        <v>104.95</v>
      </c>
      <c r="J1448" t="s">
        <v>34</v>
      </c>
      <c r="K1448" t="s">
        <v>21</v>
      </c>
      <c r="L1448">
        <f>WEEKDAY(Table1[[#This Row],[Transaction_Date]],2)</f>
        <v>7</v>
      </c>
      <c r="M1448">
        <f>IF(Table1[[#This Row],[Sale_Type]]="Buffet",1,0)</f>
        <v>0</v>
      </c>
    </row>
    <row r="1449" spans="1:13" x14ac:dyDescent="0.2">
      <c r="A1449" t="s">
        <v>1721</v>
      </c>
      <c r="B1449" t="s">
        <v>459</v>
      </c>
      <c r="C1449" s="1">
        <v>45998</v>
      </c>
      <c r="D1449" t="s">
        <v>171</v>
      </c>
      <c r="E1449" t="s">
        <v>14</v>
      </c>
      <c r="F1449" t="s">
        <v>27</v>
      </c>
      <c r="G1449" t="s">
        <v>16</v>
      </c>
      <c r="H1449">
        <v>4</v>
      </c>
      <c r="I1449">
        <v>91.65</v>
      </c>
      <c r="J1449" t="s">
        <v>34</v>
      </c>
      <c r="K1449" t="s">
        <v>18</v>
      </c>
      <c r="L1449">
        <f>WEEKDAY(Table1[[#This Row],[Transaction_Date]],2)</f>
        <v>7</v>
      </c>
      <c r="M1449">
        <f>IF(Table1[[#This Row],[Sale_Type]]="Buffet",1,0)</f>
        <v>0</v>
      </c>
    </row>
    <row r="1450" spans="1:13" x14ac:dyDescent="0.2">
      <c r="A1450" t="s">
        <v>1722</v>
      </c>
      <c r="B1450" t="s">
        <v>228</v>
      </c>
      <c r="C1450" s="1">
        <v>45998</v>
      </c>
      <c r="D1450" t="s">
        <v>171</v>
      </c>
      <c r="E1450" t="s">
        <v>14</v>
      </c>
      <c r="F1450" t="s">
        <v>27</v>
      </c>
      <c r="G1450" t="s">
        <v>16</v>
      </c>
      <c r="H1450">
        <v>3</v>
      </c>
      <c r="I1450">
        <v>81.64</v>
      </c>
      <c r="J1450" t="s">
        <v>17</v>
      </c>
      <c r="K1450" t="s">
        <v>21</v>
      </c>
      <c r="L1450">
        <f>WEEKDAY(Table1[[#This Row],[Transaction_Date]],2)</f>
        <v>7</v>
      </c>
      <c r="M1450">
        <f>IF(Table1[[#This Row],[Sale_Type]]="Buffet",1,0)</f>
        <v>0</v>
      </c>
    </row>
    <row r="1451" spans="1:13" x14ac:dyDescent="0.2">
      <c r="A1451" t="s">
        <v>1723</v>
      </c>
      <c r="B1451" t="s">
        <v>154</v>
      </c>
      <c r="C1451" s="1">
        <v>45998</v>
      </c>
      <c r="D1451" t="s">
        <v>171</v>
      </c>
      <c r="E1451" t="s">
        <v>14</v>
      </c>
      <c r="F1451" t="s">
        <v>27</v>
      </c>
      <c r="G1451" t="s">
        <v>16</v>
      </c>
      <c r="H1451">
        <v>3</v>
      </c>
      <c r="I1451">
        <v>110.88</v>
      </c>
      <c r="J1451" t="s">
        <v>17</v>
      </c>
      <c r="K1451" t="s">
        <v>18</v>
      </c>
      <c r="L1451">
        <f>WEEKDAY(Table1[[#This Row],[Transaction_Date]],2)</f>
        <v>7</v>
      </c>
      <c r="M1451">
        <f>IF(Table1[[#This Row],[Sale_Type]]="Buffet",1,0)</f>
        <v>0</v>
      </c>
    </row>
    <row r="1452" spans="1:13" x14ac:dyDescent="0.2">
      <c r="A1452" t="s">
        <v>1724</v>
      </c>
      <c r="B1452" t="s">
        <v>192</v>
      </c>
      <c r="C1452" s="1">
        <v>45998</v>
      </c>
      <c r="D1452" t="s">
        <v>171</v>
      </c>
      <c r="E1452" t="s">
        <v>14</v>
      </c>
      <c r="F1452" t="s">
        <v>27</v>
      </c>
      <c r="G1452" t="s">
        <v>16</v>
      </c>
      <c r="H1452">
        <v>2</v>
      </c>
      <c r="I1452">
        <v>85.38</v>
      </c>
      <c r="J1452" t="s">
        <v>17</v>
      </c>
      <c r="K1452" t="s">
        <v>18</v>
      </c>
      <c r="L1452">
        <f>WEEKDAY(Table1[[#This Row],[Transaction_Date]],2)</f>
        <v>7</v>
      </c>
      <c r="M1452">
        <f>IF(Table1[[#This Row],[Sale_Type]]="Buffet",1,0)</f>
        <v>0</v>
      </c>
    </row>
    <row r="1453" spans="1:13" x14ac:dyDescent="0.2">
      <c r="A1453" t="s">
        <v>1725</v>
      </c>
      <c r="B1453" t="s">
        <v>402</v>
      </c>
      <c r="C1453" s="1">
        <v>45998</v>
      </c>
      <c r="D1453" t="s">
        <v>171</v>
      </c>
      <c r="E1453" t="s">
        <v>14</v>
      </c>
      <c r="F1453" t="s">
        <v>27</v>
      </c>
      <c r="G1453" t="s">
        <v>16</v>
      </c>
      <c r="H1453">
        <v>3</v>
      </c>
      <c r="I1453">
        <v>69.03</v>
      </c>
      <c r="J1453" t="s">
        <v>34</v>
      </c>
      <c r="K1453" t="s">
        <v>18</v>
      </c>
      <c r="L1453">
        <f>WEEKDAY(Table1[[#This Row],[Transaction_Date]],2)</f>
        <v>7</v>
      </c>
      <c r="M1453">
        <f>IF(Table1[[#This Row],[Sale_Type]]="Buffet",1,0)</f>
        <v>0</v>
      </c>
    </row>
    <row r="1454" spans="1:13" x14ac:dyDescent="0.2">
      <c r="A1454" t="s">
        <v>1726</v>
      </c>
      <c r="B1454" t="s">
        <v>152</v>
      </c>
      <c r="C1454" s="1">
        <v>45998</v>
      </c>
      <c r="D1454" t="s">
        <v>171</v>
      </c>
      <c r="E1454" t="s">
        <v>14</v>
      </c>
      <c r="F1454" t="s">
        <v>31</v>
      </c>
      <c r="G1454" t="s">
        <v>16</v>
      </c>
      <c r="H1454">
        <v>2</v>
      </c>
      <c r="I1454">
        <v>41.69</v>
      </c>
      <c r="J1454" t="s">
        <v>34</v>
      </c>
      <c r="K1454" t="s">
        <v>18</v>
      </c>
      <c r="L1454">
        <f>WEEKDAY(Table1[[#This Row],[Transaction_Date]],2)</f>
        <v>7</v>
      </c>
      <c r="M1454">
        <f>IF(Table1[[#This Row],[Sale_Type]]="Buffet",1,0)</f>
        <v>0</v>
      </c>
    </row>
    <row r="1455" spans="1:13" x14ac:dyDescent="0.2">
      <c r="A1455" t="s">
        <v>1727</v>
      </c>
      <c r="B1455" t="s">
        <v>1137</v>
      </c>
      <c r="C1455" s="1">
        <v>45998</v>
      </c>
      <c r="D1455" t="s">
        <v>171</v>
      </c>
      <c r="E1455" t="s">
        <v>14</v>
      </c>
      <c r="F1455" t="s">
        <v>31</v>
      </c>
      <c r="G1455" t="s">
        <v>16</v>
      </c>
      <c r="H1455">
        <v>3</v>
      </c>
      <c r="I1455">
        <v>84.16</v>
      </c>
      <c r="J1455" t="s">
        <v>17</v>
      </c>
      <c r="K1455" t="s">
        <v>18</v>
      </c>
      <c r="L1455">
        <f>WEEKDAY(Table1[[#This Row],[Transaction_Date]],2)</f>
        <v>7</v>
      </c>
      <c r="M1455">
        <f>IF(Table1[[#This Row],[Sale_Type]]="Buffet",1,0)</f>
        <v>0</v>
      </c>
    </row>
    <row r="1456" spans="1:13" x14ac:dyDescent="0.2">
      <c r="A1456" t="s">
        <v>1728</v>
      </c>
      <c r="B1456" t="s">
        <v>66</v>
      </c>
      <c r="C1456" s="1">
        <v>45998</v>
      </c>
      <c r="D1456" t="s">
        <v>171</v>
      </c>
      <c r="E1456" t="s">
        <v>14</v>
      </c>
      <c r="F1456" t="s">
        <v>31</v>
      </c>
      <c r="G1456" t="s">
        <v>16</v>
      </c>
      <c r="H1456">
        <v>2</v>
      </c>
      <c r="I1456">
        <v>34.520000000000003</v>
      </c>
      <c r="J1456" t="s">
        <v>34</v>
      </c>
      <c r="K1456" t="s">
        <v>18</v>
      </c>
      <c r="L1456">
        <f>WEEKDAY(Table1[[#This Row],[Transaction_Date]],2)</f>
        <v>7</v>
      </c>
      <c r="M1456">
        <f>IF(Table1[[#This Row],[Sale_Type]]="Buffet",1,0)</f>
        <v>0</v>
      </c>
    </row>
    <row r="1457" spans="1:13" x14ac:dyDescent="0.2">
      <c r="A1457" t="s">
        <v>1729</v>
      </c>
      <c r="B1457" t="s">
        <v>245</v>
      </c>
      <c r="C1457" s="1">
        <v>45998</v>
      </c>
      <c r="D1457" t="s">
        <v>171</v>
      </c>
      <c r="E1457" t="s">
        <v>14</v>
      </c>
      <c r="F1457" t="s">
        <v>31</v>
      </c>
      <c r="G1457" t="s">
        <v>16</v>
      </c>
      <c r="H1457">
        <v>2</v>
      </c>
      <c r="I1457">
        <v>24.14</v>
      </c>
      <c r="J1457" t="s">
        <v>17</v>
      </c>
      <c r="K1457" t="s">
        <v>18</v>
      </c>
      <c r="L1457">
        <f>WEEKDAY(Table1[[#This Row],[Transaction_Date]],2)</f>
        <v>7</v>
      </c>
      <c r="M1457">
        <f>IF(Table1[[#This Row],[Sale_Type]]="Buffet",1,0)</f>
        <v>0</v>
      </c>
    </row>
    <row r="1458" spans="1:13" x14ac:dyDescent="0.2">
      <c r="A1458" t="s">
        <v>1730</v>
      </c>
      <c r="B1458" t="s">
        <v>120</v>
      </c>
      <c r="C1458" s="1">
        <v>45998</v>
      </c>
      <c r="D1458" t="s">
        <v>171</v>
      </c>
      <c r="E1458" t="s">
        <v>14</v>
      </c>
      <c r="F1458" t="s">
        <v>31</v>
      </c>
      <c r="G1458" t="s">
        <v>16</v>
      </c>
      <c r="H1458">
        <v>2</v>
      </c>
      <c r="I1458">
        <v>51.56</v>
      </c>
      <c r="J1458" t="s">
        <v>17</v>
      </c>
      <c r="K1458" t="s">
        <v>18</v>
      </c>
      <c r="L1458">
        <f>WEEKDAY(Table1[[#This Row],[Transaction_Date]],2)</f>
        <v>7</v>
      </c>
      <c r="M1458">
        <f>IF(Table1[[#This Row],[Sale_Type]]="Buffet",1,0)</f>
        <v>0</v>
      </c>
    </row>
    <row r="1459" spans="1:13" x14ac:dyDescent="0.2">
      <c r="A1459" t="s">
        <v>1731</v>
      </c>
      <c r="B1459" t="s">
        <v>160</v>
      </c>
      <c r="C1459" s="1">
        <v>45998</v>
      </c>
      <c r="D1459" t="s">
        <v>171</v>
      </c>
      <c r="E1459" t="s">
        <v>14</v>
      </c>
      <c r="F1459" t="s">
        <v>40</v>
      </c>
      <c r="G1459" t="s">
        <v>16</v>
      </c>
      <c r="H1459">
        <v>4</v>
      </c>
      <c r="I1459">
        <v>60.96</v>
      </c>
      <c r="J1459" t="s">
        <v>17</v>
      </c>
      <c r="K1459" t="s">
        <v>18</v>
      </c>
      <c r="L1459">
        <f>WEEKDAY(Table1[[#This Row],[Transaction_Date]],2)</f>
        <v>7</v>
      </c>
      <c r="M1459">
        <f>IF(Table1[[#This Row],[Sale_Type]]="Buffet",1,0)</f>
        <v>0</v>
      </c>
    </row>
    <row r="1460" spans="1:13" x14ac:dyDescent="0.2">
      <c r="A1460" t="s">
        <v>1732</v>
      </c>
      <c r="B1460" t="s">
        <v>268</v>
      </c>
      <c r="C1460" s="1">
        <v>45998</v>
      </c>
      <c r="D1460" t="s">
        <v>171</v>
      </c>
      <c r="E1460" t="s">
        <v>43</v>
      </c>
      <c r="F1460" t="s">
        <v>44</v>
      </c>
      <c r="G1460" t="s">
        <v>16</v>
      </c>
      <c r="H1460">
        <v>3</v>
      </c>
      <c r="I1460">
        <v>45.38</v>
      </c>
      <c r="J1460" t="s">
        <v>28</v>
      </c>
      <c r="K1460" t="s">
        <v>18</v>
      </c>
      <c r="L1460">
        <f>WEEKDAY(Table1[[#This Row],[Transaction_Date]],2)</f>
        <v>7</v>
      </c>
      <c r="M1460">
        <f>IF(Table1[[#This Row],[Sale_Type]]="Buffet",1,0)</f>
        <v>0</v>
      </c>
    </row>
    <row r="1461" spans="1:13" x14ac:dyDescent="0.2">
      <c r="A1461" t="s">
        <v>1733</v>
      </c>
      <c r="B1461" t="s">
        <v>23</v>
      </c>
      <c r="C1461" s="1">
        <v>45998</v>
      </c>
      <c r="D1461" t="s">
        <v>171</v>
      </c>
      <c r="E1461" t="s">
        <v>43</v>
      </c>
      <c r="F1461" t="s">
        <v>57</v>
      </c>
      <c r="G1461" t="s">
        <v>16</v>
      </c>
      <c r="H1461">
        <v>2</v>
      </c>
      <c r="I1461">
        <v>28.3</v>
      </c>
      <c r="J1461" t="s">
        <v>34</v>
      </c>
      <c r="K1461" t="s">
        <v>18</v>
      </c>
      <c r="L1461">
        <f>WEEKDAY(Table1[[#This Row],[Transaction_Date]],2)</f>
        <v>7</v>
      </c>
      <c r="M1461">
        <f>IF(Table1[[#This Row],[Sale_Type]]="Buffet",1,0)</f>
        <v>0</v>
      </c>
    </row>
    <row r="1462" spans="1:13" x14ac:dyDescent="0.2">
      <c r="A1462" t="s">
        <v>1734</v>
      </c>
      <c r="B1462" t="s">
        <v>445</v>
      </c>
      <c r="C1462" s="1">
        <v>45999</v>
      </c>
      <c r="D1462" t="s">
        <v>213</v>
      </c>
      <c r="E1462" t="s">
        <v>14</v>
      </c>
      <c r="F1462" t="s">
        <v>15</v>
      </c>
      <c r="G1462" t="s">
        <v>16</v>
      </c>
      <c r="H1462">
        <v>3</v>
      </c>
      <c r="I1462">
        <v>135.03</v>
      </c>
      <c r="J1462" t="s">
        <v>34</v>
      </c>
      <c r="K1462" t="s">
        <v>18</v>
      </c>
      <c r="L1462">
        <f>WEEKDAY(Table1[[#This Row],[Transaction_Date]],2)</f>
        <v>1</v>
      </c>
      <c r="M1462">
        <f>IF(Table1[[#This Row],[Sale_Type]]="Buffet",1,0)</f>
        <v>0</v>
      </c>
    </row>
    <row r="1463" spans="1:13" x14ac:dyDescent="0.2">
      <c r="A1463" t="s">
        <v>1735</v>
      </c>
      <c r="B1463" t="s">
        <v>501</v>
      </c>
      <c r="C1463" s="1">
        <v>45999</v>
      </c>
      <c r="D1463" t="s">
        <v>213</v>
      </c>
      <c r="E1463" t="s">
        <v>14</v>
      </c>
      <c r="F1463" t="s">
        <v>15</v>
      </c>
      <c r="G1463" t="s">
        <v>16</v>
      </c>
      <c r="H1463">
        <v>1</v>
      </c>
      <c r="I1463">
        <v>30.08</v>
      </c>
      <c r="J1463" t="s">
        <v>17</v>
      </c>
      <c r="K1463" t="s">
        <v>21</v>
      </c>
      <c r="L1463">
        <f>WEEKDAY(Table1[[#This Row],[Transaction_Date]],2)</f>
        <v>1</v>
      </c>
      <c r="M1463">
        <f>IF(Table1[[#This Row],[Sale_Type]]="Buffet",1,0)</f>
        <v>0</v>
      </c>
    </row>
    <row r="1464" spans="1:13" x14ac:dyDescent="0.2">
      <c r="A1464" t="s">
        <v>1736</v>
      </c>
      <c r="B1464" t="s">
        <v>178</v>
      </c>
      <c r="C1464" s="1">
        <v>45999</v>
      </c>
      <c r="D1464" t="s">
        <v>213</v>
      </c>
      <c r="E1464" t="s">
        <v>14</v>
      </c>
      <c r="F1464" t="s">
        <v>15</v>
      </c>
      <c r="G1464" t="s">
        <v>16</v>
      </c>
      <c r="H1464">
        <v>4</v>
      </c>
      <c r="I1464">
        <v>117.6</v>
      </c>
      <c r="J1464" t="s">
        <v>17</v>
      </c>
      <c r="K1464" t="s">
        <v>18</v>
      </c>
      <c r="L1464">
        <f>WEEKDAY(Table1[[#This Row],[Transaction_Date]],2)</f>
        <v>1</v>
      </c>
      <c r="M1464">
        <f>IF(Table1[[#This Row],[Sale_Type]]="Buffet",1,0)</f>
        <v>0</v>
      </c>
    </row>
    <row r="1465" spans="1:13" x14ac:dyDescent="0.2">
      <c r="A1465" t="s">
        <v>1737</v>
      </c>
      <c r="B1465" t="s">
        <v>12</v>
      </c>
      <c r="C1465" s="1">
        <v>45999</v>
      </c>
      <c r="D1465" t="s">
        <v>213</v>
      </c>
      <c r="E1465" t="s">
        <v>14</v>
      </c>
      <c r="F1465" t="s">
        <v>24</v>
      </c>
      <c r="G1465" t="s">
        <v>16</v>
      </c>
      <c r="H1465">
        <v>4</v>
      </c>
      <c r="I1465">
        <v>89.09</v>
      </c>
      <c r="J1465" t="s">
        <v>17</v>
      </c>
      <c r="K1465" t="s">
        <v>18</v>
      </c>
      <c r="L1465">
        <f>WEEKDAY(Table1[[#This Row],[Transaction_Date]],2)</f>
        <v>1</v>
      </c>
      <c r="M1465">
        <f>IF(Table1[[#This Row],[Sale_Type]]="Buffet",1,0)</f>
        <v>0</v>
      </c>
    </row>
    <row r="1466" spans="1:13" x14ac:dyDescent="0.2">
      <c r="A1466" t="s">
        <v>1738</v>
      </c>
      <c r="B1466" t="s">
        <v>584</v>
      </c>
      <c r="C1466" s="1">
        <v>45999</v>
      </c>
      <c r="D1466" t="s">
        <v>213</v>
      </c>
      <c r="E1466" t="s">
        <v>14</v>
      </c>
      <c r="F1466" t="s">
        <v>24</v>
      </c>
      <c r="G1466" t="s">
        <v>16</v>
      </c>
      <c r="H1466">
        <v>3</v>
      </c>
      <c r="I1466">
        <v>202.32</v>
      </c>
      <c r="J1466" t="s">
        <v>28</v>
      </c>
      <c r="K1466" t="s">
        <v>18</v>
      </c>
      <c r="L1466">
        <f>WEEKDAY(Table1[[#This Row],[Transaction_Date]],2)</f>
        <v>1</v>
      </c>
      <c r="M1466">
        <f>IF(Table1[[#This Row],[Sale_Type]]="Buffet",1,0)</f>
        <v>0</v>
      </c>
    </row>
    <row r="1467" spans="1:13" x14ac:dyDescent="0.2">
      <c r="A1467" t="s">
        <v>1739</v>
      </c>
      <c r="B1467" t="s">
        <v>381</v>
      </c>
      <c r="C1467" s="1">
        <v>45999</v>
      </c>
      <c r="D1467" t="s">
        <v>213</v>
      </c>
      <c r="E1467" t="s">
        <v>14</v>
      </c>
      <c r="F1467" t="s">
        <v>27</v>
      </c>
      <c r="G1467" t="s">
        <v>16</v>
      </c>
      <c r="H1467">
        <v>4</v>
      </c>
      <c r="I1467">
        <v>79.709999999999994</v>
      </c>
      <c r="J1467" t="s">
        <v>17</v>
      </c>
      <c r="K1467" t="s">
        <v>21</v>
      </c>
      <c r="L1467">
        <f>WEEKDAY(Table1[[#This Row],[Transaction_Date]],2)</f>
        <v>1</v>
      </c>
      <c r="M1467">
        <f>IF(Table1[[#This Row],[Sale_Type]]="Buffet",1,0)</f>
        <v>0</v>
      </c>
    </row>
    <row r="1468" spans="1:13" x14ac:dyDescent="0.2">
      <c r="A1468" t="s">
        <v>1740</v>
      </c>
      <c r="B1468" t="s">
        <v>459</v>
      </c>
      <c r="C1468" s="1">
        <v>45999</v>
      </c>
      <c r="D1468" t="s">
        <v>213</v>
      </c>
      <c r="E1468" t="s">
        <v>14</v>
      </c>
      <c r="F1468" t="s">
        <v>27</v>
      </c>
      <c r="G1468" t="s">
        <v>16</v>
      </c>
      <c r="H1468">
        <v>1</v>
      </c>
      <c r="I1468">
        <v>58.18</v>
      </c>
      <c r="J1468" t="s">
        <v>17</v>
      </c>
      <c r="K1468" t="s">
        <v>21</v>
      </c>
      <c r="L1468">
        <f>WEEKDAY(Table1[[#This Row],[Transaction_Date]],2)</f>
        <v>1</v>
      </c>
      <c r="M1468">
        <f>IF(Table1[[#This Row],[Sale_Type]]="Buffet",1,0)</f>
        <v>0</v>
      </c>
    </row>
    <row r="1469" spans="1:13" x14ac:dyDescent="0.2">
      <c r="A1469" t="s">
        <v>1741</v>
      </c>
      <c r="B1469" t="s">
        <v>219</v>
      </c>
      <c r="C1469" s="1">
        <v>45999</v>
      </c>
      <c r="D1469" t="s">
        <v>213</v>
      </c>
      <c r="E1469" t="s">
        <v>14</v>
      </c>
      <c r="F1469" t="s">
        <v>27</v>
      </c>
      <c r="G1469" t="s">
        <v>16</v>
      </c>
      <c r="H1469">
        <v>4</v>
      </c>
      <c r="I1469">
        <v>128.51</v>
      </c>
      <c r="J1469" t="s">
        <v>34</v>
      </c>
      <c r="K1469" t="s">
        <v>18</v>
      </c>
      <c r="L1469">
        <f>WEEKDAY(Table1[[#This Row],[Transaction_Date]],2)</f>
        <v>1</v>
      </c>
      <c r="M1469">
        <f>IF(Table1[[#This Row],[Sale_Type]]="Buffet",1,0)</f>
        <v>0</v>
      </c>
    </row>
    <row r="1470" spans="1:13" x14ac:dyDescent="0.2">
      <c r="A1470" t="s">
        <v>1742</v>
      </c>
      <c r="B1470" t="s">
        <v>245</v>
      </c>
      <c r="C1470" s="1">
        <v>45999</v>
      </c>
      <c r="D1470" t="s">
        <v>213</v>
      </c>
      <c r="E1470" t="s">
        <v>14</v>
      </c>
      <c r="F1470" t="s">
        <v>31</v>
      </c>
      <c r="G1470" t="s">
        <v>16</v>
      </c>
      <c r="H1470">
        <v>1</v>
      </c>
      <c r="I1470">
        <v>21.69</v>
      </c>
      <c r="J1470" t="s">
        <v>17</v>
      </c>
      <c r="K1470" t="s">
        <v>18</v>
      </c>
      <c r="L1470">
        <f>WEEKDAY(Table1[[#This Row],[Transaction_Date]],2)</f>
        <v>1</v>
      </c>
      <c r="M1470">
        <f>IF(Table1[[#This Row],[Sale_Type]]="Buffet",1,0)</f>
        <v>0</v>
      </c>
    </row>
    <row r="1471" spans="1:13" x14ac:dyDescent="0.2">
      <c r="A1471" t="s">
        <v>1743</v>
      </c>
      <c r="B1471" t="s">
        <v>202</v>
      </c>
      <c r="C1471" s="1">
        <v>45999</v>
      </c>
      <c r="D1471" t="s">
        <v>213</v>
      </c>
      <c r="E1471" t="s">
        <v>14</v>
      </c>
      <c r="F1471" t="s">
        <v>40</v>
      </c>
      <c r="G1471" t="s">
        <v>16</v>
      </c>
      <c r="H1471">
        <v>3</v>
      </c>
      <c r="I1471">
        <v>70.13</v>
      </c>
      <c r="J1471" t="s">
        <v>17</v>
      </c>
      <c r="K1471" t="s">
        <v>18</v>
      </c>
      <c r="L1471">
        <f>WEEKDAY(Table1[[#This Row],[Transaction_Date]],2)</f>
        <v>1</v>
      </c>
      <c r="M1471">
        <f>IF(Table1[[#This Row],[Sale_Type]]="Buffet",1,0)</f>
        <v>0</v>
      </c>
    </row>
    <row r="1472" spans="1:13" x14ac:dyDescent="0.2">
      <c r="A1472" t="s">
        <v>1744</v>
      </c>
      <c r="B1472" t="s">
        <v>348</v>
      </c>
      <c r="C1472" s="1">
        <v>45999</v>
      </c>
      <c r="D1472" t="s">
        <v>213</v>
      </c>
      <c r="E1472" t="s">
        <v>14</v>
      </c>
      <c r="F1472" t="s">
        <v>40</v>
      </c>
      <c r="G1472" t="s">
        <v>16</v>
      </c>
      <c r="H1472">
        <v>5</v>
      </c>
      <c r="I1472">
        <v>99.86</v>
      </c>
      <c r="J1472" t="s">
        <v>17</v>
      </c>
      <c r="K1472" t="s">
        <v>18</v>
      </c>
      <c r="L1472">
        <f>WEEKDAY(Table1[[#This Row],[Transaction_Date]],2)</f>
        <v>1</v>
      </c>
      <c r="M1472">
        <f>IF(Table1[[#This Row],[Sale_Type]]="Buffet",1,0)</f>
        <v>0</v>
      </c>
    </row>
    <row r="1473" spans="1:13" x14ac:dyDescent="0.2">
      <c r="A1473" t="s">
        <v>1745</v>
      </c>
      <c r="B1473" t="s">
        <v>518</v>
      </c>
      <c r="C1473" s="1">
        <v>45999</v>
      </c>
      <c r="D1473" t="s">
        <v>213</v>
      </c>
      <c r="E1473" t="s">
        <v>14</v>
      </c>
      <c r="F1473" t="s">
        <v>40</v>
      </c>
      <c r="G1473" t="s">
        <v>16</v>
      </c>
      <c r="H1473">
        <v>4</v>
      </c>
      <c r="I1473">
        <v>64.2</v>
      </c>
      <c r="J1473" t="s">
        <v>34</v>
      </c>
      <c r="K1473" t="s">
        <v>21</v>
      </c>
      <c r="L1473">
        <f>WEEKDAY(Table1[[#This Row],[Transaction_Date]],2)</f>
        <v>1</v>
      </c>
      <c r="M1473">
        <f>IF(Table1[[#This Row],[Sale_Type]]="Buffet",1,0)</f>
        <v>0</v>
      </c>
    </row>
    <row r="1474" spans="1:13" x14ac:dyDescent="0.2">
      <c r="A1474" t="s">
        <v>1746</v>
      </c>
      <c r="B1474" t="s">
        <v>87</v>
      </c>
      <c r="C1474" s="1">
        <v>45999</v>
      </c>
      <c r="D1474" t="s">
        <v>213</v>
      </c>
      <c r="E1474" t="s">
        <v>43</v>
      </c>
      <c r="F1474" t="s">
        <v>44</v>
      </c>
      <c r="G1474" t="s">
        <v>16</v>
      </c>
      <c r="H1474">
        <v>3</v>
      </c>
      <c r="I1474">
        <v>55.75</v>
      </c>
      <c r="J1474" t="s">
        <v>28</v>
      </c>
      <c r="K1474" t="s">
        <v>21</v>
      </c>
      <c r="L1474">
        <f>WEEKDAY(Table1[[#This Row],[Transaction_Date]],2)</f>
        <v>1</v>
      </c>
      <c r="M1474">
        <f>IF(Table1[[#This Row],[Sale_Type]]="Buffet",1,0)</f>
        <v>0</v>
      </c>
    </row>
    <row r="1475" spans="1:13" x14ac:dyDescent="0.2">
      <c r="A1475" t="s">
        <v>1747</v>
      </c>
      <c r="B1475" t="s">
        <v>26</v>
      </c>
      <c r="C1475" s="1">
        <v>45999</v>
      </c>
      <c r="D1475" t="s">
        <v>213</v>
      </c>
      <c r="E1475" t="s">
        <v>43</v>
      </c>
      <c r="F1475" t="s">
        <v>44</v>
      </c>
      <c r="G1475" t="s">
        <v>16</v>
      </c>
      <c r="H1475">
        <v>4</v>
      </c>
      <c r="I1475">
        <v>58.91</v>
      </c>
      <c r="J1475" t="s">
        <v>28</v>
      </c>
      <c r="K1475" t="s">
        <v>18</v>
      </c>
      <c r="L1475">
        <f>WEEKDAY(Table1[[#This Row],[Transaction_Date]],2)</f>
        <v>1</v>
      </c>
      <c r="M1475">
        <f>IF(Table1[[#This Row],[Sale_Type]]="Buffet",1,0)</f>
        <v>0</v>
      </c>
    </row>
    <row r="1476" spans="1:13" x14ac:dyDescent="0.2">
      <c r="A1476" t="s">
        <v>1748</v>
      </c>
      <c r="B1476" t="s">
        <v>242</v>
      </c>
      <c r="C1476" s="1">
        <v>45999</v>
      </c>
      <c r="D1476" t="s">
        <v>213</v>
      </c>
      <c r="E1476" t="s">
        <v>43</v>
      </c>
      <c r="F1476" t="s">
        <v>50</v>
      </c>
      <c r="G1476" t="s">
        <v>16</v>
      </c>
      <c r="H1476">
        <v>2</v>
      </c>
      <c r="I1476">
        <v>34.08</v>
      </c>
      <c r="J1476" t="s">
        <v>34</v>
      </c>
      <c r="K1476" t="s">
        <v>18</v>
      </c>
      <c r="L1476">
        <f>WEEKDAY(Table1[[#This Row],[Transaction_Date]],2)</f>
        <v>1</v>
      </c>
      <c r="M1476">
        <f>IF(Table1[[#This Row],[Sale_Type]]="Buffet",1,0)</f>
        <v>0</v>
      </c>
    </row>
    <row r="1477" spans="1:13" x14ac:dyDescent="0.2">
      <c r="A1477" t="s">
        <v>1749</v>
      </c>
      <c r="B1477" t="s">
        <v>245</v>
      </c>
      <c r="C1477" s="1">
        <v>45999</v>
      </c>
      <c r="D1477" t="s">
        <v>213</v>
      </c>
      <c r="E1477" t="s">
        <v>43</v>
      </c>
      <c r="F1477" t="s">
        <v>50</v>
      </c>
      <c r="G1477" t="s">
        <v>16</v>
      </c>
      <c r="H1477">
        <v>1</v>
      </c>
      <c r="I1477">
        <v>14.75</v>
      </c>
      <c r="J1477" t="s">
        <v>17</v>
      </c>
      <c r="K1477" t="s">
        <v>18</v>
      </c>
      <c r="L1477">
        <f>WEEKDAY(Table1[[#This Row],[Transaction_Date]],2)</f>
        <v>1</v>
      </c>
      <c r="M1477">
        <f>IF(Table1[[#This Row],[Sale_Type]]="Buffet",1,0)</f>
        <v>0</v>
      </c>
    </row>
    <row r="1478" spans="1:13" x14ac:dyDescent="0.2">
      <c r="A1478" t="s">
        <v>1750</v>
      </c>
      <c r="B1478" t="s">
        <v>72</v>
      </c>
      <c r="C1478" s="1">
        <v>45999</v>
      </c>
      <c r="D1478" t="s">
        <v>213</v>
      </c>
      <c r="E1478" t="s">
        <v>43</v>
      </c>
      <c r="F1478" t="s">
        <v>53</v>
      </c>
      <c r="G1478" t="s">
        <v>16</v>
      </c>
      <c r="H1478">
        <v>2</v>
      </c>
      <c r="I1478">
        <v>29.97</v>
      </c>
      <c r="J1478" t="s">
        <v>34</v>
      </c>
      <c r="K1478" t="s">
        <v>18</v>
      </c>
      <c r="L1478">
        <f>WEEKDAY(Table1[[#This Row],[Transaction_Date]],2)</f>
        <v>1</v>
      </c>
      <c r="M1478">
        <f>IF(Table1[[#This Row],[Sale_Type]]="Buffet",1,0)</f>
        <v>0</v>
      </c>
    </row>
    <row r="1479" spans="1:13" x14ac:dyDescent="0.2">
      <c r="A1479" t="s">
        <v>1751</v>
      </c>
      <c r="B1479" t="s">
        <v>341</v>
      </c>
      <c r="C1479" s="1">
        <v>45999</v>
      </c>
      <c r="D1479" t="s">
        <v>213</v>
      </c>
      <c r="E1479" t="s">
        <v>43</v>
      </c>
      <c r="F1479" t="s">
        <v>53</v>
      </c>
      <c r="G1479" t="s">
        <v>16</v>
      </c>
      <c r="H1479">
        <v>2</v>
      </c>
      <c r="I1479">
        <v>36.18</v>
      </c>
      <c r="J1479" t="s">
        <v>17</v>
      </c>
      <c r="K1479" t="s">
        <v>18</v>
      </c>
      <c r="L1479">
        <f>WEEKDAY(Table1[[#This Row],[Transaction_Date]],2)</f>
        <v>1</v>
      </c>
      <c r="M1479">
        <f>IF(Table1[[#This Row],[Sale_Type]]="Buffet",1,0)</f>
        <v>0</v>
      </c>
    </row>
    <row r="1480" spans="1:13" x14ac:dyDescent="0.2">
      <c r="A1480" t="s">
        <v>1752</v>
      </c>
      <c r="B1480" t="s">
        <v>266</v>
      </c>
      <c r="C1480" s="1">
        <v>45999</v>
      </c>
      <c r="D1480" t="s">
        <v>213</v>
      </c>
      <c r="E1480" t="s">
        <v>43</v>
      </c>
      <c r="F1480" t="s">
        <v>53</v>
      </c>
      <c r="G1480" t="s">
        <v>16</v>
      </c>
      <c r="H1480">
        <v>1</v>
      </c>
      <c r="I1480">
        <v>20.09</v>
      </c>
      <c r="J1480" t="s">
        <v>17</v>
      </c>
      <c r="K1480" t="s">
        <v>18</v>
      </c>
      <c r="L1480">
        <f>WEEKDAY(Table1[[#This Row],[Transaction_Date]],2)</f>
        <v>1</v>
      </c>
      <c r="M1480">
        <f>IF(Table1[[#This Row],[Sale_Type]]="Buffet",1,0)</f>
        <v>0</v>
      </c>
    </row>
    <row r="1481" spans="1:13" x14ac:dyDescent="0.2">
      <c r="A1481" t="s">
        <v>1753</v>
      </c>
      <c r="B1481" t="s">
        <v>81</v>
      </c>
      <c r="C1481" s="1">
        <v>45999</v>
      </c>
      <c r="D1481" t="s">
        <v>213</v>
      </c>
      <c r="E1481" t="s">
        <v>43</v>
      </c>
      <c r="F1481" t="s">
        <v>57</v>
      </c>
      <c r="G1481" t="s">
        <v>16</v>
      </c>
      <c r="H1481">
        <v>2</v>
      </c>
      <c r="I1481">
        <v>34.29</v>
      </c>
      <c r="J1481" t="s">
        <v>28</v>
      </c>
      <c r="K1481" t="s">
        <v>21</v>
      </c>
      <c r="L1481">
        <f>WEEKDAY(Table1[[#This Row],[Transaction_Date]],2)</f>
        <v>1</v>
      </c>
      <c r="M1481">
        <f>IF(Table1[[#This Row],[Sale_Type]]="Buffet",1,0)</f>
        <v>0</v>
      </c>
    </row>
    <row r="1482" spans="1:13" x14ac:dyDescent="0.2">
      <c r="A1482" t="s">
        <v>1754</v>
      </c>
      <c r="B1482" t="s">
        <v>369</v>
      </c>
      <c r="C1482" s="1">
        <v>46000</v>
      </c>
      <c r="D1482" t="s">
        <v>250</v>
      </c>
      <c r="E1482" t="s">
        <v>14</v>
      </c>
      <c r="F1482" t="s">
        <v>15</v>
      </c>
      <c r="G1482" t="s">
        <v>16</v>
      </c>
      <c r="H1482">
        <v>3</v>
      </c>
      <c r="I1482">
        <v>117.98</v>
      </c>
      <c r="J1482" t="s">
        <v>17</v>
      </c>
      <c r="K1482" t="s">
        <v>18</v>
      </c>
      <c r="L1482">
        <f>WEEKDAY(Table1[[#This Row],[Transaction_Date]],2)</f>
        <v>2</v>
      </c>
      <c r="M1482">
        <f>IF(Table1[[#This Row],[Sale_Type]]="Buffet",1,0)</f>
        <v>0</v>
      </c>
    </row>
    <row r="1483" spans="1:13" x14ac:dyDescent="0.2">
      <c r="A1483" t="s">
        <v>1755</v>
      </c>
      <c r="B1483" t="s">
        <v>124</v>
      </c>
      <c r="C1483" s="1">
        <v>46000</v>
      </c>
      <c r="D1483" t="s">
        <v>250</v>
      </c>
      <c r="E1483" t="s">
        <v>14</v>
      </c>
      <c r="F1483" t="s">
        <v>15</v>
      </c>
      <c r="G1483" t="s">
        <v>16</v>
      </c>
      <c r="H1483">
        <v>2</v>
      </c>
      <c r="I1483">
        <v>79.61</v>
      </c>
      <c r="J1483" t="s">
        <v>34</v>
      </c>
      <c r="K1483" t="s">
        <v>18</v>
      </c>
      <c r="L1483">
        <f>WEEKDAY(Table1[[#This Row],[Transaction_Date]],2)</f>
        <v>2</v>
      </c>
      <c r="M1483">
        <f>IF(Table1[[#This Row],[Sale_Type]]="Buffet",1,0)</f>
        <v>0</v>
      </c>
    </row>
    <row r="1484" spans="1:13" x14ac:dyDescent="0.2">
      <c r="A1484" t="s">
        <v>1756</v>
      </c>
      <c r="B1484" t="s">
        <v>789</v>
      </c>
      <c r="C1484" s="1">
        <v>46000</v>
      </c>
      <c r="D1484" t="s">
        <v>250</v>
      </c>
      <c r="E1484" t="s">
        <v>14</v>
      </c>
      <c r="F1484" t="s">
        <v>15</v>
      </c>
      <c r="G1484" t="s">
        <v>16</v>
      </c>
      <c r="H1484">
        <v>4</v>
      </c>
      <c r="I1484">
        <v>115.36</v>
      </c>
      <c r="J1484" t="s">
        <v>17</v>
      </c>
      <c r="K1484" t="s">
        <v>21</v>
      </c>
      <c r="L1484">
        <f>WEEKDAY(Table1[[#This Row],[Transaction_Date]],2)</f>
        <v>2</v>
      </c>
      <c r="M1484">
        <f>IF(Table1[[#This Row],[Sale_Type]]="Buffet",1,0)</f>
        <v>0</v>
      </c>
    </row>
    <row r="1485" spans="1:13" x14ac:dyDescent="0.2">
      <c r="A1485" t="s">
        <v>1757</v>
      </c>
      <c r="B1485" t="s">
        <v>233</v>
      </c>
      <c r="C1485" s="1">
        <v>46000</v>
      </c>
      <c r="D1485" t="s">
        <v>250</v>
      </c>
      <c r="E1485" t="s">
        <v>14</v>
      </c>
      <c r="F1485" t="s">
        <v>24</v>
      </c>
      <c r="G1485" t="s">
        <v>16</v>
      </c>
      <c r="H1485">
        <v>3</v>
      </c>
      <c r="I1485">
        <v>79.14</v>
      </c>
      <c r="J1485" t="s">
        <v>17</v>
      </c>
      <c r="K1485" t="s">
        <v>18</v>
      </c>
      <c r="L1485">
        <f>WEEKDAY(Table1[[#This Row],[Transaction_Date]],2)</f>
        <v>2</v>
      </c>
      <c r="M1485">
        <f>IF(Table1[[#This Row],[Sale_Type]]="Buffet",1,0)</f>
        <v>0</v>
      </c>
    </row>
    <row r="1486" spans="1:13" x14ac:dyDescent="0.2">
      <c r="A1486" t="s">
        <v>1758</v>
      </c>
      <c r="B1486" t="s">
        <v>129</v>
      </c>
      <c r="C1486" s="1">
        <v>46000</v>
      </c>
      <c r="D1486" t="s">
        <v>250</v>
      </c>
      <c r="E1486" t="s">
        <v>14</v>
      </c>
      <c r="F1486" t="s">
        <v>24</v>
      </c>
      <c r="G1486" t="s">
        <v>16</v>
      </c>
      <c r="H1486">
        <v>4</v>
      </c>
      <c r="I1486">
        <v>118.11</v>
      </c>
      <c r="J1486" t="s">
        <v>28</v>
      </c>
      <c r="K1486" t="s">
        <v>21</v>
      </c>
      <c r="L1486">
        <f>WEEKDAY(Table1[[#This Row],[Transaction_Date]],2)</f>
        <v>2</v>
      </c>
      <c r="M1486">
        <f>IF(Table1[[#This Row],[Sale_Type]]="Buffet",1,0)</f>
        <v>0</v>
      </c>
    </row>
    <row r="1487" spans="1:13" x14ac:dyDescent="0.2">
      <c r="A1487" t="s">
        <v>1759</v>
      </c>
      <c r="B1487" t="s">
        <v>503</v>
      </c>
      <c r="C1487" s="1">
        <v>46000</v>
      </c>
      <c r="D1487" t="s">
        <v>250</v>
      </c>
      <c r="E1487" t="s">
        <v>14</v>
      </c>
      <c r="F1487" t="s">
        <v>24</v>
      </c>
      <c r="G1487" t="s">
        <v>16</v>
      </c>
      <c r="H1487">
        <v>1</v>
      </c>
      <c r="I1487">
        <v>26.56</v>
      </c>
      <c r="J1487" t="s">
        <v>34</v>
      </c>
      <c r="K1487" t="s">
        <v>18</v>
      </c>
      <c r="L1487">
        <f>WEEKDAY(Table1[[#This Row],[Transaction_Date]],2)</f>
        <v>2</v>
      </c>
      <c r="M1487">
        <f>IF(Table1[[#This Row],[Sale_Type]]="Buffet",1,0)</f>
        <v>0</v>
      </c>
    </row>
    <row r="1488" spans="1:13" x14ac:dyDescent="0.2">
      <c r="A1488" t="s">
        <v>1760</v>
      </c>
      <c r="B1488" t="s">
        <v>33</v>
      </c>
      <c r="C1488" s="1">
        <v>46000</v>
      </c>
      <c r="D1488" t="s">
        <v>250</v>
      </c>
      <c r="E1488" t="s">
        <v>14</v>
      </c>
      <c r="F1488" t="s">
        <v>27</v>
      </c>
      <c r="G1488" t="s">
        <v>16</v>
      </c>
      <c r="H1488">
        <v>5</v>
      </c>
      <c r="I1488">
        <v>259.08999999999997</v>
      </c>
      <c r="J1488" t="s">
        <v>17</v>
      </c>
      <c r="K1488" t="s">
        <v>18</v>
      </c>
      <c r="L1488">
        <f>WEEKDAY(Table1[[#This Row],[Transaction_Date]],2)</f>
        <v>2</v>
      </c>
      <c r="M1488">
        <f>IF(Table1[[#This Row],[Sale_Type]]="Buffet",1,0)</f>
        <v>0</v>
      </c>
    </row>
    <row r="1489" spans="1:13" x14ac:dyDescent="0.2">
      <c r="A1489" t="s">
        <v>1761</v>
      </c>
      <c r="B1489" t="s">
        <v>361</v>
      </c>
      <c r="C1489" s="1">
        <v>46000</v>
      </c>
      <c r="D1489" t="s">
        <v>250</v>
      </c>
      <c r="E1489" t="s">
        <v>14</v>
      </c>
      <c r="F1489" t="s">
        <v>27</v>
      </c>
      <c r="G1489" t="s">
        <v>16</v>
      </c>
      <c r="H1489">
        <v>2</v>
      </c>
      <c r="I1489">
        <v>77.010000000000005</v>
      </c>
      <c r="J1489" t="s">
        <v>34</v>
      </c>
      <c r="K1489" t="s">
        <v>21</v>
      </c>
      <c r="L1489">
        <f>WEEKDAY(Table1[[#This Row],[Transaction_Date]],2)</f>
        <v>2</v>
      </c>
      <c r="M1489">
        <f>IF(Table1[[#This Row],[Sale_Type]]="Buffet",1,0)</f>
        <v>0</v>
      </c>
    </row>
    <row r="1490" spans="1:13" x14ac:dyDescent="0.2">
      <c r="A1490" t="s">
        <v>1762</v>
      </c>
      <c r="B1490" t="s">
        <v>454</v>
      </c>
      <c r="C1490" s="1">
        <v>46000</v>
      </c>
      <c r="D1490" t="s">
        <v>250</v>
      </c>
      <c r="E1490" t="s">
        <v>14</v>
      </c>
      <c r="F1490" t="s">
        <v>31</v>
      </c>
      <c r="G1490" t="s">
        <v>16</v>
      </c>
      <c r="H1490">
        <v>4</v>
      </c>
      <c r="I1490">
        <v>79.55</v>
      </c>
      <c r="J1490" t="s">
        <v>17</v>
      </c>
      <c r="K1490" t="s">
        <v>21</v>
      </c>
      <c r="L1490">
        <f>WEEKDAY(Table1[[#This Row],[Transaction_Date]],2)</f>
        <v>2</v>
      </c>
      <c r="M1490">
        <f>IF(Table1[[#This Row],[Sale_Type]]="Buffet",1,0)</f>
        <v>0</v>
      </c>
    </row>
    <row r="1491" spans="1:13" x14ac:dyDescent="0.2">
      <c r="A1491" t="s">
        <v>1763</v>
      </c>
      <c r="B1491" t="s">
        <v>211</v>
      </c>
      <c r="C1491" s="1">
        <v>46000</v>
      </c>
      <c r="D1491" t="s">
        <v>250</v>
      </c>
      <c r="E1491" t="s">
        <v>14</v>
      </c>
      <c r="F1491" t="s">
        <v>40</v>
      </c>
      <c r="G1491" t="s">
        <v>16</v>
      </c>
      <c r="H1491">
        <v>1</v>
      </c>
      <c r="I1491">
        <v>17.38</v>
      </c>
      <c r="J1491" t="s">
        <v>17</v>
      </c>
      <c r="K1491" t="s">
        <v>21</v>
      </c>
      <c r="L1491">
        <f>WEEKDAY(Table1[[#This Row],[Transaction_Date]],2)</f>
        <v>2</v>
      </c>
      <c r="M1491">
        <f>IF(Table1[[#This Row],[Sale_Type]]="Buffet",1,0)</f>
        <v>0</v>
      </c>
    </row>
    <row r="1492" spans="1:13" x14ac:dyDescent="0.2">
      <c r="A1492" t="s">
        <v>1764</v>
      </c>
      <c r="B1492" t="s">
        <v>518</v>
      </c>
      <c r="C1492" s="1">
        <v>46000</v>
      </c>
      <c r="D1492" t="s">
        <v>250</v>
      </c>
      <c r="E1492" t="s">
        <v>14</v>
      </c>
      <c r="F1492" t="s">
        <v>40</v>
      </c>
      <c r="G1492" t="s">
        <v>16</v>
      </c>
      <c r="H1492">
        <v>2</v>
      </c>
      <c r="I1492">
        <v>61.85</v>
      </c>
      <c r="J1492" t="s">
        <v>34</v>
      </c>
      <c r="K1492" t="s">
        <v>18</v>
      </c>
      <c r="L1492">
        <f>WEEKDAY(Table1[[#This Row],[Transaction_Date]],2)</f>
        <v>2</v>
      </c>
      <c r="M1492">
        <f>IF(Table1[[#This Row],[Sale_Type]]="Buffet",1,0)</f>
        <v>0</v>
      </c>
    </row>
    <row r="1493" spans="1:13" x14ac:dyDescent="0.2">
      <c r="A1493" t="s">
        <v>1765</v>
      </c>
      <c r="B1493" t="s">
        <v>180</v>
      </c>
      <c r="C1493" s="1">
        <v>46000</v>
      </c>
      <c r="D1493" t="s">
        <v>250</v>
      </c>
      <c r="E1493" t="s">
        <v>14</v>
      </c>
      <c r="F1493" t="s">
        <v>40</v>
      </c>
      <c r="G1493" t="s">
        <v>16</v>
      </c>
      <c r="H1493">
        <v>1</v>
      </c>
      <c r="I1493">
        <v>37.659999999999997</v>
      </c>
      <c r="J1493" t="s">
        <v>17</v>
      </c>
      <c r="K1493" t="s">
        <v>18</v>
      </c>
      <c r="L1493">
        <f>WEEKDAY(Table1[[#This Row],[Transaction_Date]],2)</f>
        <v>2</v>
      </c>
      <c r="M1493">
        <f>IF(Table1[[#This Row],[Sale_Type]]="Buffet",1,0)</f>
        <v>0</v>
      </c>
    </row>
    <row r="1494" spans="1:13" x14ac:dyDescent="0.2">
      <c r="A1494" t="s">
        <v>1766</v>
      </c>
      <c r="B1494" t="s">
        <v>392</v>
      </c>
      <c r="C1494" s="1">
        <v>46000</v>
      </c>
      <c r="D1494" t="s">
        <v>250</v>
      </c>
      <c r="E1494" t="s">
        <v>14</v>
      </c>
      <c r="F1494" t="s">
        <v>40</v>
      </c>
      <c r="G1494" t="s">
        <v>16</v>
      </c>
      <c r="H1494">
        <v>4</v>
      </c>
      <c r="I1494">
        <v>123.49</v>
      </c>
      <c r="J1494" t="s">
        <v>34</v>
      </c>
      <c r="K1494" t="s">
        <v>18</v>
      </c>
      <c r="L1494">
        <f>WEEKDAY(Table1[[#This Row],[Transaction_Date]],2)</f>
        <v>2</v>
      </c>
      <c r="M1494">
        <f>IF(Table1[[#This Row],[Sale_Type]]="Buffet",1,0)</f>
        <v>0</v>
      </c>
    </row>
    <row r="1495" spans="1:13" x14ac:dyDescent="0.2">
      <c r="A1495" t="s">
        <v>1767</v>
      </c>
      <c r="B1495" t="s">
        <v>564</v>
      </c>
      <c r="C1495" s="1">
        <v>46000</v>
      </c>
      <c r="D1495" t="s">
        <v>250</v>
      </c>
      <c r="E1495" t="s">
        <v>14</v>
      </c>
      <c r="F1495" t="s">
        <v>40</v>
      </c>
      <c r="G1495" t="s">
        <v>16</v>
      </c>
      <c r="H1495">
        <v>4</v>
      </c>
      <c r="I1495">
        <v>98.64</v>
      </c>
      <c r="J1495" t="s">
        <v>28</v>
      </c>
      <c r="K1495" t="s">
        <v>21</v>
      </c>
      <c r="L1495">
        <f>WEEKDAY(Table1[[#This Row],[Transaction_Date]],2)</f>
        <v>2</v>
      </c>
      <c r="M1495">
        <f>IF(Table1[[#This Row],[Sale_Type]]="Buffet",1,0)</f>
        <v>0</v>
      </c>
    </row>
    <row r="1496" spans="1:13" x14ac:dyDescent="0.2">
      <c r="A1496" t="s">
        <v>1768</v>
      </c>
      <c r="B1496" t="s">
        <v>91</v>
      </c>
      <c r="C1496" s="1">
        <v>46000</v>
      </c>
      <c r="D1496" t="s">
        <v>250</v>
      </c>
      <c r="E1496" t="s">
        <v>43</v>
      </c>
      <c r="F1496" t="s">
        <v>50</v>
      </c>
      <c r="G1496" t="s">
        <v>16</v>
      </c>
      <c r="H1496">
        <v>1</v>
      </c>
      <c r="I1496">
        <v>16.579999999999998</v>
      </c>
      <c r="J1496" t="s">
        <v>34</v>
      </c>
      <c r="K1496" t="s">
        <v>18</v>
      </c>
      <c r="L1496">
        <f>WEEKDAY(Table1[[#This Row],[Transaction_Date]],2)</f>
        <v>2</v>
      </c>
      <c r="M1496">
        <f>IF(Table1[[#This Row],[Sale_Type]]="Buffet",1,0)</f>
        <v>0</v>
      </c>
    </row>
    <row r="1497" spans="1:13" x14ac:dyDescent="0.2">
      <c r="A1497" t="s">
        <v>1769</v>
      </c>
      <c r="B1497" t="s">
        <v>56</v>
      </c>
      <c r="C1497" s="1">
        <v>46000</v>
      </c>
      <c r="D1497" t="s">
        <v>250</v>
      </c>
      <c r="E1497" t="s">
        <v>43</v>
      </c>
      <c r="F1497" t="s">
        <v>50</v>
      </c>
      <c r="G1497" t="s">
        <v>16</v>
      </c>
      <c r="H1497">
        <v>4</v>
      </c>
      <c r="I1497">
        <v>28.62</v>
      </c>
      <c r="J1497" t="s">
        <v>17</v>
      </c>
      <c r="K1497" t="s">
        <v>21</v>
      </c>
      <c r="L1497">
        <f>WEEKDAY(Table1[[#This Row],[Transaction_Date]],2)</f>
        <v>2</v>
      </c>
      <c r="M1497">
        <f>IF(Table1[[#This Row],[Sale_Type]]="Buffet",1,0)</f>
        <v>0</v>
      </c>
    </row>
    <row r="1498" spans="1:13" x14ac:dyDescent="0.2">
      <c r="A1498" t="s">
        <v>1770</v>
      </c>
      <c r="B1498" t="s">
        <v>109</v>
      </c>
      <c r="C1498" s="1">
        <v>46000</v>
      </c>
      <c r="D1498" t="s">
        <v>250</v>
      </c>
      <c r="E1498" t="s">
        <v>43</v>
      </c>
      <c r="F1498" t="s">
        <v>50</v>
      </c>
      <c r="G1498" t="s">
        <v>16</v>
      </c>
      <c r="H1498">
        <v>3</v>
      </c>
      <c r="I1498">
        <v>51.24</v>
      </c>
      <c r="J1498" t="s">
        <v>17</v>
      </c>
      <c r="K1498" t="s">
        <v>21</v>
      </c>
      <c r="L1498">
        <f>WEEKDAY(Table1[[#This Row],[Transaction_Date]],2)</f>
        <v>2</v>
      </c>
      <c r="M1498">
        <f>IF(Table1[[#This Row],[Sale_Type]]="Buffet",1,0)</f>
        <v>0</v>
      </c>
    </row>
    <row r="1499" spans="1:13" x14ac:dyDescent="0.2">
      <c r="A1499" t="s">
        <v>1771</v>
      </c>
      <c r="B1499" t="s">
        <v>222</v>
      </c>
      <c r="C1499" s="1">
        <v>46000</v>
      </c>
      <c r="D1499" t="s">
        <v>250</v>
      </c>
      <c r="E1499" t="s">
        <v>43</v>
      </c>
      <c r="F1499" t="s">
        <v>53</v>
      </c>
      <c r="G1499" t="s">
        <v>16</v>
      </c>
      <c r="H1499">
        <v>2</v>
      </c>
      <c r="I1499">
        <v>28.89</v>
      </c>
      <c r="J1499" t="s">
        <v>17</v>
      </c>
      <c r="K1499" t="s">
        <v>18</v>
      </c>
      <c r="L1499">
        <f>WEEKDAY(Table1[[#This Row],[Transaction_Date]],2)</f>
        <v>2</v>
      </c>
      <c r="M1499">
        <f>IF(Table1[[#This Row],[Sale_Type]]="Buffet",1,0)</f>
        <v>0</v>
      </c>
    </row>
    <row r="1500" spans="1:13" x14ac:dyDescent="0.2">
      <c r="A1500" t="s">
        <v>1772</v>
      </c>
      <c r="B1500" t="s">
        <v>56</v>
      </c>
      <c r="C1500" s="1">
        <v>46000</v>
      </c>
      <c r="D1500" t="s">
        <v>250</v>
      </c>
      <c r="E1500" t="s">
        <v>43</v>
      </c>
      <c r="F1500" t="s">
        <v>53</v>
      </c>
      <c r="G1500" t="s">
        <v>16</v>
      </c>
      <c r="H1500">
        <v>4</v>
      </c>
      <c r="I1500">
        <v>34.24</v>
      </c>
      <c r="J1500" t="s">
        <v>17</v>
      </c>
      <c r="K1500" t="s">
        <v>18</v>
      </c>
      <c r="L1500">
        <f>WEEKDAY(Table1[[#This Row],[Transaction_Date]],2)</f>
        <v>2</v>
      </c>
      <c r="M1500">
        <f>IF(Table1[[#This Row],[Sale_Type]]="Buffet",1,0)</f>
        <v>0</v>
      </c>
    </row>
    <row r="1501" spans="1:13" x14ac:dyDescent="0.2">
      <c r="A1501" t="s">
        <v>1773</v>
      </c>
      <c r="B1501" t="s">
        <v>89</v>
      </c>
      <c r="C1501" s="1">
        <v>46000</v>
      </c>
      <c r="D1501" t="s">
        <v>250</v>
      </c>
      <c r="E1501" t="s">
        <v>43</v>
      </c>
      <c r="F1501" t="s">
        <v>57</v>
      </c>
      <c r="G1501" t="s">
        <v>16</v>
      </c>
      <c r="H1501">
        <v>1</v>
      </c>
      <c r="I1501">
        <v>15.5</v>
      </c>
      <c r="J1501" t="s">
        <v>34</v>
      </c>
      <c r="K1501" t="s">
        <v>18</v>
      </c>
      <c r="L1501">
        <f>WEEKDAY(Table1[[#This Row],[Transaction_Date]],2)</f>
        <v>2</v>
      </c>
      <c r="M1501">
        <f>IF(Table1[[#This Row],[Sale_Type]]="Buffet",1,0)</f>
        <v>0</v>
      </c>
    </row>
    <row r="1502" spans="1:13" x14ac:dyDescent="0.2">
      <c r="A1502" t="s">
        <v>1774</v>
      </c>
      <c r="B1502" t="s">
        <v>117</v>
      </c>
      <c r="C1502" s="1">
        <v>46000</v>
      </c>
      <c r="D1502" t="s">
        <v>250</v>
      </c>
      <c r="E1502" t="s">
        <v>43</v>
      </c>
      <c r="F1502" t="s">
        <v>57</v>
      </c>
      <c r="G1502" t="s">
        <v>16</v>
      </c>
      <c r="H1502">
        <v>1</v>
      </c>
      <c r="I1502">
        <v>16.45</v>
      </c>
      <c r="J1502" t="s">
        <v>28</v>
      </c>
      <c r="K1502" t="s">
        <v>18</v>
      </c>
      <c r="L1502">
        <f>WEEKDAY(Table1[[#This Row],[Transaction_Date]],2)</f>
        <v>2</v>
      </c>
      <c r="M1502">
        <f>IF(Table1[[#This Row],[Sale_Type]]="Buffet",1,0)</f>
        <v>0</v>
      </c>
    </row>
    <row r="1503" spans="1:13" x14ac:dyDescent="0.2">
      <c r="A1503" t="s">
        <v>1775</v>
      </c>
      <c r="B1503" t="s">
        <v>81</v>
      </c>
      <c r="C1503" s="1">
        <v>46000</v>
      </c>
      <c r="D1503" t="s">
        <v>250</v>
      </c>
      <c r="E1503" t="s">
        <v>43</v>
      </c>
      <c r="F1503" t="s">
        <v>57</v>
      </c>
      <c r="G1503" t="s">
        <v>16</v>
      </c>
      <c r="H1503">
        <v>4</v>
      </c>
      <c r="I1503">
        <v>53.19</v>
      </c>
      <c r="J1503" t="s">
        <v>28</v>
      </c>
      <c r="K1503" t="s">
        <v>18</v>
      </c>
      <c r="L1503">
        <f>WEEKDAY(Table1[[#This Row],[Transaction_Date]],2)</f>
        <v>2</v>
      </c>
      <c r="M1503">
        <f>IF(Table1[[#This Row],[Sale_Type]]="Buffet",1,0)</f>
        <v>0</v>
      </c>
    </row>
    <row r="1504" spans="1:13" x14ac:dyDescent="0.2">
      <c r="A1504" t="s">
        <v>1776</v>
      </c>
      <c r="B1504" t="s">
        <v>624</v>
      </c>
      <c r="C1504" s="1">
        <v>46001</v>
      </c>
      <c r="D1504" t="s">
        <v>13</v>
      </c>
      <c r="E1504" t="s">
        <v>14</v>
      </c>
      <c r="F1504" t="s">
        <v>15</v>
      </c>
      <c r="G1504" t="s">
        <v>16</v>
      </c>
      <c r="H1504">
        <v>2</v>
      </c>
      <c r="I1504">
        <v>37.700000000000003</v>
      </c>
      <c r="J1504" t="s">
        <v>28</v>
      </c>
      <c r="K1504" t="s">
        <v>18</v>
      </c>
      <c r="L1504">
        <f>WEEKDAY(Table1[[#This Row],[Transaction_Date]],2)</f>
        <v>3</v>
      </c>
      <c r="M1504">
        <f>IF(Table1[[#This Row],[Sale_Type]]="Buffet",1,0)</f>
        <v>0</v>
      </c>
    </row>
    <row r="1505" spans="1:13" x14ac:dyDescent="0.2">
      <c r="A1505" t="s">
        <v>1777</v>
      </c>
      <c r="B1505" t="s">
        <v>866</v>
      </c>
      <c r="C1505" s="1">
        <v>46001</v>
      </c>
      <c r="D1505" t="s">
        <v>13</v>
      </c>
      <c r="E1505" t="s">
        <v>14</v>
      </c>
      <c r="F1505" t="s">
        <v>24</v>
      </c>
      <c r="G1505" t="s">
        <v>16</v>
      </c>
      <c r="H1505">
        <v>4</v>
      </c>
      <c r="I1505">
        <v>92.5</v>
      </c>
      <c r="J1505" t="s">
        <v>28</v>
      </c>
      <c r="K1505" t="s">
        <v>18</v>
      </c>
      <c r="L1505">
        <f>WEEKDAY(Table1[[#This Row],[Transaction_Date]],2)</f>
        <v>3</v>
      </c>
      <c r="M1505">
        <f>IF(Table1[[#This Row],[Sale_Type]]="Buffet",1,0)</f>
        <v>0</v>
      </c>
    </row>
    <row r="1506" spans="1:13" x14ac:dyDescent="0.2">
      <c r="A1506" t="s">
        <v>1778</v>
      </c>
      <c r="B1506" t="s">
        <v>235</v>
      </c>
      <c r="C1506" s="1">
        <v>46001</v>
      </c>
      <c r="D1506" t="s">
        <v>13</v>
      </c>
      <c r="E1506" t="s">
        <v>14</v>
      </c>
      <c r="F1506" t="s">
        <v>27</v>
      </c>
      <c r="G1506" t="s">
        <v>16</v>
      </c>
      <c r="H1506">
        <v>2</v>
      </c>
      <c r="I1506">
        <v>47.11</v>
      </c>
      <c r="J1506" t="s">
        <v>34</v>
      </c>
      <c r="K1506" t="s">
        <v>18</v>
      </c>
      <c r="L1506">
        <f>WEEKDAY(Table1[[#This Row],[Transaction_Date]],2)</f>
        <v>3</v>
      </c>
      <c r="M1506">
        <f>IF(Table1[[#This Row],[Sale_Type]]="Buffet",1,0)</f>
        <v>0</v>
      </c>
    </row>
    <row r="1507" spans="1:13" x14ac:dyDescent="0.2">
      <c r="A1507" t="s">
        <v>1779</v>
      </c>
      <c r="B1507" t="s">
        <v>652</v>
      </c>
      <c r="C1507" s="1">
        <v>46001</v>
      </c>
      <c r="D1507" t="s">
        <v>13</v>
      </c>
      <c r="E1507" t="s">
        <v>43</v>
      </c>
      <c r="F1507" t="s">
        <v>44</v>
      </c>
      <c r="G1507" t="s">
        <v>45</v>
      </c>
      <c r="H1507">
        <v>3</v>
      </c>
      <c r="I1507">
        <v>64.5</v>
      </c>
      <c r="J1507" t="s">
        <v>17</v>
      </c>
      <c r="K1507" t="s">
        <v>21</v>
      </c>
      <c r="L1507">
        <f>WEEKDAY(Table1[[#This Row],[Transaction_Date]],2)</f>
        <v>3</v>
      </c>
      <c r="M1507">
        <f>IF(Table1[[#This Row],[Sale_Type]]="Buffet",1,0)</f>
        <v>1</v>
      </c>
    </row>
    <row r="1508" spans="1:13" x14ac:dyDescent="0.2">
      <c r="A1508" t="s">
        <v>1780</v>
      </c>
      <c r="B1508" t="s">
        <v>283</v>
      </c>
      <c r="C1508" s="1">
        <v>46001</v>
      </c>
      <c r="D1508" t="s">
        <v>13</v>
      </c>
      <c r="E1508" t="s">
        <v>43</v>
      </c>
      <c r="F1508" t="s">
        <v>44</v>
      </c>
      <c r="G1508" t="s">
        <v>45</v>
      </c>
      <c r="H1508">
        <v>2</v>
      </c>
      <c r="I1508">
        <v>44.5</v>
      </c>
      <c r="J1508" t="s">
        <v>28</v>
      </c>
      <c r="K1508" t="s">
        <v>18</v>
      </c>
      <c r="L1508">
        <f>WEEKDAY(Table1[[#This Row],[Transaction_Date]],2)</f>
        <v>3</v>
      </c>
      <c r="M1508">
        <f>IF(Table1[[#This Row],[Sale_Type]]="Buffet",1,0)</f>
        <v>1</v>
      </c>
    </row>
    <row r="1509" spans="1:13" x14ac:dyDescent="0.2">
      <c r="A1509" t="s">
        <v>1781</v>
      </c>
      <c r="B1509" t="s">
        <v>74</v>
      </c>
      <c r="C1509" s="1">
        <v>46001</v>
      </c>
      <c r="D1509" t="s">
        <v>13</v>
      </c>
      <c r="E1509" t="s">
        <v>43</v>
      </c>
      <c r="F1509" t="s">
        <v>44</v>
      </c>
      <c r="G1509" t="s">
        <v>45</v>
      </c>
      <c r="H1509">
        <v>3</v>
      </c>
      <c r="I1509">
        <v>73.5</v>
      </c>
      <c r="J1509" t="s">
        <v>34</v>
      </c>
      <c r="K1509" t="s">
        <v>18</v>
      </c>
      <c r="L1509">
        <f>WEEKDAY(Table1[[#This Row],[Transaction_Date]],2)</f>
        <v>3</v>
      </c>
      <c r="M1509">
        <f>IF(Table1[[#This Row],[Sale_Type]]="Buffet",1,0)</f>
        <v>1</v>
      </c>
    </row>
    <row r="1510" spans="1:13" x14ac:dyDescent="0.2">
      <c r="A1510" t="s">
        <v>1782</v>
      </c>
      <c r="B1510" t="s">
        <v>74</v>
      </c>
      <c r="C1510" s="1">
        <v>46001</v>
      </c>
      <c r="D1510" t="s">
        <v>13</v>
      </c>
      <c r="E1510" t="s">
        <v>43</v>
      </c>
      <c r="F1510" t="s">
        <v>44</v>
      </c>
      <c r="G1510" t="s">
        <v>45</v>
      </c>
      <c r="H1510">
        <v>2</v>
      </c>
      <c r="I1510">
        <v>44.5</v>
      </c>
      <c r="J1510" t="s">
        <v>34</v>
      </c>
      <c r="K1510" t="s">
        <v>18</v>
      </c>
      <c r="L1510">
        <f>WEEKDAY(Table1[[#This Row],[Transaction_Date]],2)</f>
        <v>3</v>
      </c>
      <c r="M1510">
        <f>IF(Table1[[#This Row],[Sale_Type]]="Buffet",1,0)</f>
        <v>1</v>
      </c>
    </row>
    <row r="1511" spans="1:13" x14ac:dyDescent="0.2">
      <c r="A1511" t="s">
        <v>1783</v>
      </c>
      <c r="B1511" t="s">
        <v>363</v>
      </c>
      <c r="C1511" s="1">
        <v>46001</v>
      </c>
      <c r="D1511" t="s">
        <v>13</v>
      </c>
      <c r="E1511" t="s">
        <v>43</v>
      </c>
      <c r="F1511" t="s">
        <v>44</v>
      </c>
      <c r="G1511" t="s">
        <v>45</v>
      </c>
      <c r="H1511">
        <v>1</v>
      </c>
      <c r="I1511">
        <v>20</v>
      </c>
      <c r="J1511" t="s">
        <v>34</v>
      </c>
      <c r="K1511" t="s">
        <v>18</v>
      </c>
      <c r="L1511">
        <f>WEEKDAY(Table1[[#This Row],[Transaction_Date]],2)</f>
        <v>3</v>
      </c>
      <c r="M1511">
        <f>IF(Table1[[#This Row],[Sale_Type]]="Buffet",1,0)</f>
        <v>1</v>
      </c>
    </row>
    <row r="1512" spans="1:13" x14ac:dyDescent="0.2">
      <c r="A1512" t="s">
        <v>1784</v>
      </c>
      <c r="B1512" t="s">
        <v>663</v>
      </c>
      <c r="C1512" s="1">
        <v>46001</v>
      </c>
      <c r="D1512" t="s">
        <v>13</v>
      </c>
      <c r="E1512" t="s">
        <v>43</v>
      </c>
      <c r="F1512" t="s">
        <v>50</v>
      </c>
      <c r="G1512" t="s">
        <v>16</v>
      </c>
      <c r="H1512">
        <v>2</v>
      </c>
      <c r="I1512">
        <v>50.29</v>
      </c>
      <c r="J1512" t="s">
        <v>17</v>
      </c>
      <c r="K1512" t="s">
        <v>18</v>
      </c>
      <c r="L1512">
        <f>WEEKDAY(Table1[[#This Row],[Transaction_Date]],2)</f>
        <v>3</v>
      </c>
      <c r="M1512">
        <f>IF(Table1[[#This Row],[Sale_Type]]="Buffet",1,0)</f>
        <v>0</v>
      </c>
    </row>
    <row r="1513" spans="1:13" x14ac:dyDescent="0.2">
      <c r="A1513" t="s">
        <v>1785</v>
      </c>
      <c r="B1513" t="s">
        <v>323</v>
      </c>
      <c r="C1513" s="1">
        <v>46001</v>
      </c>
      <c r="D1513" t="s">
        <v>13</v>
      </c>
      <c r="E1513" t="s">
        <v>43</v>
      </c>
      <c r="F1513" t="s">
        <v>50</v>
      </c>
      <c r="G1513" t="s">
        <v>45</v>
      </c>
      <c r="H1513">
        <v>4</v>
      </c>
      <c r="I1513">
        <v>89</v>
      </c>
      <c r="J1513" t="s">
        <v>17</v>
      </c>
      <c r="K1513" t="s">
        <v>18</v>
      </c>
      <c r="L1513">
        <f>WEEKDAY(Table1[[#This Row],[Transaction_Date]],2)</f>
        <v>3</v>
      </c>
      <c r="M1513">
        <f>IF(Table1[[#This Row],[Sale_Type]]="Buffet",1,0)</f>
        <v>1</v>
      </c>
    </row>
    <row r="1514" spans="1:13" x14ac:dyDescent="0.2">
      <c r="A1514" t="s">
        <v>1786</v>
      </c>
      <c r="B1514" t="s">
        <v>74</v>
      </c>
      <c r="C1514" s="1">
        <v>46001</v>
      </c>
      <c r="D1514" t="s">
        <v>13</v>
      </c>
      <c r="E1514" t="s">
        <v>43</v>
      </c>
      <c r="F1514" t="s">
        <v>50</v>
      </c>
      <c r="G1514" t="s">
        <v>45</v>
      </c>
      <c r="H1514">
        <v>4</v>
      </c>
      <c r="I1514">
        <v>89</v>
      </c>
      <c r="J1514" t="s">
        <v>17</v>
      </c>
      <c r="K1514" t="s">
        <v>18</v>
      </c>
      <c r="L1514">
        <f>WEEKDAY(Table1[[#This Row],[Transaction_Date]],2)</f>
        <v>3</v>
      </c>
      <c r="M1514">
        <f>IF(Table1[[#This Row],[Sale_Type]]="Buffet",1,0)</f>
        <v>1</v>
      </c>
    </row>
    <row r="1515" spans="1:13" x14ac:dyDescent="0.2">
      <c r="A1515" t="s">
        <v>1787</v>
      </c>
      <c r="B1515" t="s">
        <v>124</v>
      </c>
      <c r="C1515" s="1">
        <v>46001</v>
      </c>
      <c r="D1515" t="s">
        <v>13</v>
      </c>
      <c r="E1515" t="s">
        <v>43</v>
      </c>
      <c r="F1515" t="s">
        <v>50</v>
      </c>
      <c r="G1515" t="s">
        <v>16</v>
      </c>
      <c r="H1515">
        <v>5</v>
      </c>
      <c r="I1515">
        <v>80.2</v>
      </c>
      <c r="J1515" t="s">
        <v>17</v>
      </c>
      <c r="K1515" t="s">
        <v>18</v>
      </c>
      <c r="L1515">
        <f>WEEKDAY(Table1[[#This Row],[Transaction_Date]],2)</f>
        <v>3</v>
      </c>
      <c r="M1515">
        <f>IF(Table1[[#This Row],[Sale_Type]]="Buffet",1,0)</f>
        <v>0</v>
      </c>
    </row>
    <row r="1516" spans="1:13" x14ac:dyDescent="0.2">
      <c r="A1516" t="s">
        <v>1788</v>
      </c>
      <c r="B1516" t="s">
        <v>231</v>
      </c>
      <c r="C1516" s="1">
        <v>46001</v>
      </c>
      <c r="D1516" t="s">
        <v>13</v>
      </c>
      <c r="E1516" t="s">
        <v>43</v>
      </c>
      <c r="F1516" t="s">
        <v>53</v>
      </c>
      <c r="G1516" t="s">
        <v>45</v>
      </c>
      <c r="H1516">
        <v>6</v>
      </c>
      <c r="I1516">
        <v>133.5</v>
      </c>
      <c r="J1516" t="s">
        <v>17</v>
      </c>
      <c r="K1516" t="s">
        <v>18</v>
      </c>
      <c r="L1516">
        <f>WEEKDAY(Table1[[#This Row],[Transaction_Date]],2)</f>
        <v>3</v>
      </c>
      <c r="M1516">
        <f>IF(Table1[[#This Row],[Sale_Type]]="Buffet",1,0)</f>
        <v>1</v>
      </c>
    </row>
    <row r="1517" spans="1:13" x14ac:dyDescent="0.2">
      <c r="A1517" t="s">
        <v>1789</v>
      </c>
      <c r="B1517" t="s">
        <v>56</v>
      </c>
      <c r="C1517" s="1">
        <v>46001</v>
      </c>
      <c r="D1517" t="s">
        <v>13</v>
      </c>
      <c r="E1517" t="s">
        <v>43</v>
      </c>
      <c r="F1517" t="s">
        <v>57</v>
      </c>
      <c r="G1517" t="s">
        <v>16</v>
      </c>
      <c r="H1517">
        <v>1</v>
      </c>
      <c r="I1517">
        <v>18.53</v>
      </c>
      <c r="J1517" t="s">
        <v>17</v>
      </c>
      <c r="K1517" t="s">
        <v>18</v>
      </c>
      <c r="L1517">
        <f>WEEKDAY(Table1[[#This Row],[Transaction_Date]],2)</f>
        <v>3</v>
      </c>
      <c r="M1517">
        <f>IF(Table1[[#This Row],[Sale_Type]]="Buffet",1,0)</f>
        <v>0</v>
      </c>
    </row>
    <row r="1518" spans="1:13" x14ac:dyDescent="0.2">
      <c r="A1518" t="s">
        <v>1790</v>
      </c>
      <c r="B1518" t="s">
        <v>47</v>
      </c>
      <c r="C1518" s="1">
        <v>46001</v>
      </c>
      <c r="D1518" t="s">
        <v>13</v>
      </c>
      <c r="E1518" t="s">
        <v>43</v>
      </c>
      <c r="F1518" t="s">
        <v>57</v>
      </c>
      <c r="G1518" t="s">
        <v>45</v>
      </c>
      <c r="H1518">
        <v>6</v>
      </c>
      <c r="I1518">
        <v>142.5</v>
      </c>
      <c r="J1518" t="s">
        <v>17</v>
      </c>
      <c r="K1518" t="s">
        <v>18</v>
      </c>
      <c r="L1518">
        <f>WEEKDAY(Table1[[#This Row],[Transaction_Date]],2)</f>
        <v>3</v>
      </c>
      <c r="M1518">
        <f>IF(Table1[[#This Row],[Sale_Type]]="Buffet",1,0)</f>
        <v>1</v>
      </c>
    </row>
    <row r="1519" spans="1:13" x14ac:dyDescent="0.2">
      <c r="A1519" t="s">
        <v>1791</v>
      </c>
      <c r="B1519" t="s">
        <v>304</v>
      </c>
      <c r="C1519" s="1">
        <v>46001</v>
      </c>
      <c r="D1519" t="s">
        <v>13</v>
      </c>
      <c r="E1519" t="s">
        <v>43</v>
      </c>
      <c r="F1519" t="s">
        <v>57</v>
      </c>
      <c r="G1519" t="s">
        <v>45</v>
      </c>
      <c r="H1519">
        <v>3</v>
      </c>
      <c r="I1519">
        <v>60</v>
      </c>
      <c r="J1519" t="s">
        <v>17</v>
      </c>
      <c r="K1519" t="s">
        <v>18</v>
      </c>
      <c r="L1519">
        <f>WEEKDAY(Table1[[#This Row],[Transaction_Date]],2)</f>
        <v>3</v>
      </c>
      <c r="M1519">
        <f>IF(Table1[[#This Row],[Sale_Type]]="Buffet",1,0)</f>
        <v>1</v>
      </c>
    </row>
    <row r="1520" spans="1:13" x14ac:dyDescent="0.2">
      <c r="A1520" t="s">
        <v>1792</v>
      </c>
      <c r="B1520" t="s">
        <v>256</v>
      </c>
      <c r="C1520" s="1">
        <v>46002</v>
      </c>
      <c r="D1520" t="s">
        <v>62</v>
      </c>
      <c r="E1520" t="s">
        <v>14</v>
      </c>
      <c r="F1520" t="s">
        <v>24</v>
      </c>
      <c r="G1520" t="s">
        <v>16</v>
      </c>
      <c r="H1520">
        <v>2</v>
      </c>
      <c r="I1520">
        <v>28.95</v>
      </c>
      <c r="J1520" t="s">
        <v>17</v>
      </c>
      <c r="K1520" t="s">
        <v>18</v>
      </c>
      <c r="L1520">
        <f>WEEKDAY(Table1[[#This Row],[Transaction_Date]],2)</f>
        <v>4</v>
      </c>
      <c r="M1520">
        <f>IF(Table1[[#This Row],[Sale_Type]]="Buffet",1,0)</f>
        <v>0</v>
      </c>
    </row>
    <row r="1521" spans="1:13" x14ac:dyDescent="0.2">
      <c r="A1521" t="s">
        <v>1793</v>
      </c>
      <c r="B1521" t="s">
        <v>238</v>
      </c>
      <c r="C1521" s="1">
        <v>46002</v>
      </c>
      <c r="D1521" t="s">
        <v>62</v>
      </c>
      <c r="E1521" t="s">
        <v>14</v>
      </c>
      <c r="F1521" t="s">
        <v>24</v>
      </c>
      <c r="G1521" t="s">
        <v>16</v>
      </c>
      <c r="H1521">
        <v>4</v>
      </c>
      <c r="I1521">
        <v>109.54</v>
      </c>
      <c r="J1521" t="s">
        <v>17</v>
      </c>
      <c r="K1521" t="s">
        <v>18</v>
      </c>
      <c r="L1521">
        <f>WEEKDAY(Table1[[#This Row],[Transaction_Date]],2)</f>
        <v>4</v>
      </c>
      <c r="M1521">
        <f>IF(Table1[[#This Row],[Sale_Type]]="Buffet",1,0)</f>
        <v>0</v>
      </c>
    </row>
    <row r="1522" spans="1:13" x14ac:dyDescent="0.2">
      <c r="A1522" t="s">
        <v>1794</v>
      </c>
      <c r="B1522" t="s">
        <v>998</v>
      </c>
      <c r="C1522" s="1">
        <v>46002</v>
      </c>
      <c r="D1522" t="s">
        <v>62</v>
      </c>
      <c r="E1522" t="s">
        <v>14</v>
      </c>
      <c r="F1522" t="s">
        <v>27</v>
      </c>
      <c r="G1522" t="s">
        <v>16</v>
      </c>
      <c r="H1522">
        <v>2</v>
      </c>
      <c r="I1522">
        <v>62.44</v>
      </c>
      <c r="J1522" t="s">
        <v>17</v>
      </c>
      <c r="K1522" t="s">
        <v>18</v>
      </c>
      <c r="L1522">
        <f>WEEKDAY(Table1[[#This Row],[Transaction_Date]],2)</f>
        <v>4</v>
      </c>
      <c r="M1522">
        <f>IF(Table1[[#This Row],[Sale_Type]]="Buffet",1,0)</f>
        <v>0</v>
      </c>
    </row>
    <row r="1523" spans="1:13" x14ac:dyDescent="0.2">
      <c r="A1523" t="s">
        <v>1795</v>
      </c>
      <c r="B1523" t="s">
        <v>140</v>
      </c>
      <c r="C1523" s="1">
        <v>46002</v>
      </c>
      <c r="D1523" t="s">
        <v>62</v>
      </c>
      <c r="E1523" t="s">
        <v>14</v>
      </c>
      <c r="F1523" t="s">
        <v>27</v>
      </c>
      <c r="G1523" t="s">
        <v>16</v>
      </c>
      <c r="H1523">
        <v>3</v>
      </c>
      <c r="I1523">
        <v>48.4</v>
      </c>
      <c r="J1523" t="s">
        <v>17</v>
      </c>
      <c r="K1523" t="s">
        <v>18</v>
      </c>
      <c r="L1523">
        <f>WEEKDAY(Table1[[#This Row],[Transaction_Date]],2)</f>
        <v>4</v>
      </c>
      <c r="M1523">
        <f>IF(Table1[[#This Row],[Sale_Type]]="Buffet",1,0)</f>
        <v>0</v>
      </c>
    </row>
    <row r="1524" spans="1:13" x14ac:dyDescent="0.2">
      <c r="A1524" t="s">
        <v>1796</v>
      </c>
      <c r="B1524" t="s">
        <v>188</v>
      </c>
      <c r="C1524" s="1">
        <v>46002</v>
      </c>
      <c r="D1524" t="s">
        <v>62</v>
      </c>
      <c r="E1524" t="s">
        <v>14</v>
      </c>
      <c r="F1524" t="s">
        <v>27</v>
      </c>
      <c r="G1524" t="s">
        <v>16</v>
      </c>
      <c r="H1524">
        <v>3</v>
      </c>
      <c r="I1524">
        <v>116.67</v>
      </c>
      <c r="J1524" t="s">
        <v>17</v>
      </c>
      <c r="K1524" t="s">
        <v>18</v>
      </c>
      <c r="L1524">
        <f>WEEKDAY(Table1[[#This Row],[Transaction_Date]],2)</f>
        <v>4</v>
      </c>
      <c r="M1524">
        <f>IF(Table1[[#This Row],[Sale_Type]]="Buffet",1,0)</f>
        <v>0</v>
      </c>
    </row>
    <row r="1525" spans="1:13" x14ac:dyDescent="0.2">
      <c r="A1525" t="s">
        <v>1797</v>
      </c>
      <c r="B1525" t="s">
        <v>412</v>
      </c>
      <c r="C1525" s="1">
        <v>46002</v>
      </c>
      <c r="D1525" t="s">
        <v>62</v>
      </c>
      <c r="E1525" t="s">
        <v>14</v>
      </c>
      <c r="F1525" t="s">
        <v>31</v>
      </c>
      <c r="G1525" t="s">
        <v>16</v>
      </c>
      <c r="H1525">
        <v>6</v>
      </c>
      <c r="I1525">
        <v>146.03</v>
      </c>
      <c r="J1525" t="s">
        <v>17</v>
      </c>
      <c r="K1525" t="s">
        <v>21</v>
      </c>
      <c r="L1525">
        <f>WEEKDAY(Table1[[#This Row],[Transaction_Date]],2)</f>
        <v>4</v>
      </c>
      <c r="M1525">
        <f>IF(Table1[[#This Row],[Sale_Type]]="Buffet",1,0)</f>
        <v>0</v>
      </c>
    </row>
    <row r="1526" spans="1:13" x14ac:dyDescent="0.2">
      <c r="A1526" t="s">
        <v>1798</v>
      </c>
      <c r="B1526" t="s">
        <v>95</v>
      </c>
      <c r="C1526" s="1">
        <v>46002</v>
      </c>
      <c r="D1526" t="s">
        <v>62</v>
      </c>
      <c r="E1526" t="s">
        <v>14</v>
      </c>
      <c r="F1526" t="s">
        <v>31</v>
      </c>
      <c r="G1526" t="s">
        <v>16</v>
      </c>
      <c r="H1526">
        <v>3</v>
      </c>
      <c r="I1526">
        <v>92.11</v>
      </c>
      <c r="J1526" t="s">
        <v>17</v>
      </c>
      <c r="K1526" t="s">
        <v>18</v>
      </c>
      <c r="L1526">
        <f>WEEKDAY(Table1[[#This Row],[Transaction_Date]],2)</f>
        <v>4</v>
      </c>
      <c r="M1526">
        <f>IF(Table1[[#This Row],[Sale_Type]]="Buffet",1,0)</f>
        <v>0</v>
      </c>
    </row>
    <row r="1527" spans="1:13" x14ac:dyDescent="0.2">
      <c r="A1527" t="s">
        <v>1799</v>
      </c>
      <c r="B1527" t="s">
        <v>138</v>
      </c>
      <c r="C1527" s="1">
        <v>46002</v>
      </c>
      <c r="D1527" t="s">
        <v>62</v>
      </c>
      <c r="E1527" t="s">
        <v>14</v>
      </c>
      <c r="F1527" t="s">
        <v>40</v>
      </c>
      <c r="G1527" t="s">
        <v>16</v>
      </c>
      <c r="H1527">
        <v>7</v>
      </c>
      <c r="I1527">
        <v>255.63</v>
      </c>
      <c r="J1527" t="s">
        <v>17</v>
      </c>
      <c r="K1527" t="s">
        <v>18</v>
      </c>
      <c r="L1527">
        <f>WEEKDAY(Table1[[#This Row],[Transaction_Date]],2)</f>
        <v>4</v>
      </c>
      <c r="M1527">
        <f>IF(Table1[[#This Row],[Sale_Type]]="Buffet",1,0)</f>
        <v>0</v>
      </c>
    </row>
    <row r="1528" spans="1:13" x14ac:dyDescent="0.2">
      <c r="A1528" t="s">
        <v>1800</v>
      </c>
      <c r="B1528" t="s">
        <v>998</v>
      </c>
      <c r="C1528" s="1">
        <v>46002</v>
      </c>
      <c r="D1528" t="s">
        <v>62</v>
      </c>
      <c r="E1528" t="s">
        <v>14</v>
      </c>
      <c r="F1528" t="s">
        <v>40</v>
      </c>
      <c r="G1528" t="s">
        <v>16</v>
      </c>
      <c r="H1528">
        <v>2</v>
      </c>
      <c r="I1528">
        <v>73.22</v>
      </c>
      <c r="J1528" t="s">
        <v>17</v>
      </c>
      <c r="K1528" t="s">
        <v>21</v>
      </c>
      <c r="L1528">
        <f>WEEKDAY(Table1[[#This Row],[Transaction_Date]],2)</f>
        <v>4</v>
      </c>
      <c r="M1528">
        <f>IF(Table1[[#This Row],[Sale_Type]]="Buffet",1,0)</f>
        <v>0</v>
      </c>
    </row>
    <row r="1529" spans="1:13" x14ac:dyDescent="0.2">
      <c r="A1529" t="s">
        <v>1801</v>
      </c>
      <c r="B1529" t="s">
        <v>206</v>
      </c>
      <c r="C1529" s="1">
        <v>46002</v>
      </c>
      <c r="D1529" t="s">
        <v>62</v>
      </c>
      <c r="E1529" t="s">
        <v>14</v>
      </c>
      <c r="F1529" t="s">
        <v>40</v>
      </c>
      <c r="G1529" t="s">
        <v>16</v>
      </c>
      <c r="H1529">
        <v>3</v>
      </c>
      <c r="I1529">
        <v>59.95</v>
      </c>
      <c r="J1529" t="s">
        <v>28</v>
      </c>
      <c r="K1529" t="s">
        <v>18</v>
      </c>
      <c r="L1529">
        <f>WEEKDAY(Table1[[#This Row],[Transaction_Date]],2)</f>
        <v>4</v>
      </c>
      <c r="M1529">
        <f>IF(Table1[[#This Row],[Sale_Type]]="Buffet",1,0)</f>
        <v>0</v>
      </c>
    </row>
    <row r="1530" spans="1:13" x14ac:dyDescent="0.2">
      <c r="A1530" t="s">
        <v>1802</v>
      </c>
      <c r="B1530" t="s">
        <v>59</v>
      </c>
      <c r="C1530" s="1">
        <v>46002</v>
      </c>
      <c r="D1530" t="s">
        <v>62</v>
      </c>
      <c r="E1530" t="s">
        <v>14</v>
      </c>
      <c r="F1530" t="s">
        <v>40</v>
      </c>
      <c r="G1530" t="s">
        <v>16</v>
      </c>
      <c r="H1530">
        <v>2</v>
      </c>
      <c r="I1530">
        <v>34.94</v>
      </c>
      <c r="J1530" t="s">
        <v>28</v>
      </c>
      <c r="K1530" t="s">
        <v>18</v>
      </c>
      <c r="L1530">
        <f>WEEKDAY(Table1[[#This Row],[Transaction_Date]],2)</f>
        <v>4</v>
      </c>
      <c r="M1530">
        <f>IF(Table1[[#This Row],[Sale_Type]]="Buffet",1,0)</f>
        <v>0</v>
      </c>
    </row>
    <row r="1531" spans="1:13" x14ac:dyDescent="0.2">
      <c r="A1531" t="s">
        <v>1803</v>
      </c>
      <c r="B1531" t="s">
        <v>567</v>
      </c>
      <c r="C1531" s="1">
        <v>46002</v>
      </c>
      <c r="D1531" t="s">
        <v>62</v>
      </c>
      <c r="E1531" t="s">
        <v>14</v>
      </c>
      <c r="F1531" t="s">
        <v>40</v>
      </c>
      <c r="G1531" t="s">
        <v>16</v>
      </c>
      <c r="H1531">
        <v>1</v>
      </c>
      <c r="I1531">
        <v>35.67</v>
      </c>
      <c r="J1531" t="s">
        <v>34</v>
      </c>
      <c r="K1531" t="s">
        <v>18</v>
      </c>
      <c r="L1531">
        <f>WEEKDAY(Table1[[#This Row],[Transaction_Date]],2)</f>
        <v>4</v>
      </c>
      <c r="M1531">
        <f>IF(Table1[[#This Row],[Sale_Type]]="Buffet",1,0)</f>
        <v>0</v>
      </c>
    </row>
    <row r="1532" spans="1:13" x14ac:dyDescent="0.2">
      <c r="A1532" t="s">
        <v>1804</v>
      </c>
      <c r="B1532" t="s">
        <v>30</v>
      </c>
      <c r="C1532" s="1">
        <v>46002</v>
      </c>
      <c r="D1532" t="s">
        <v>62</v>
      </c>
      <c r="E1532" t="s">
        <v>43</v>
      </c>
      <c r="F1532" t="s">
        <v>44</v>
      </c>
      <c r="G1532" t="s">
        <v>16</v>
      </c>
      <c r="H1532">
        <v>7</v>
      </c>
      <c r="I1532">
        <v>88.99</v>
      </c>
      <c r="J1532" t="s">
        <v>17</v>
      </c>
      <c r="K1532" t="s">
        <v>18</v>
      </c>
      <c r="L1532">
        <f>WEEKDAY(Table1[[#This Row],[Transaction_Date]],2)</f>
        <v>4</v>
      </c>
      <c r="M1532">
        <f>IF(Table1[[#This Row],[Sale_Type]]="Buffet",1,0)</f>
        <v>0</v>
      </c>
    </row>
    <row r="1533" spans="1:13" x14ac:dyDescent="0.2">
      <c r="A1533" t="s">
        <v>1805</v>
      </c>
      <c r="B1533" t="s">
        <v>126</v>
      </c>
      <c r="C1533" s="1">
        <v>46002</v>
      </c>
      <c r="D1533" t="s">
        <v>62</v>
      </c>
      <c r="E1533" t="s">
        <v>43</v>
      </c>
      <c r="F1533" t="s">
        <v>50</v>
      </c>
      <c r="G1533" t="s">
        <v>45</v>
      </c>
      <c r="H1533">
        <v>4</v>
      </c>
      <c r="I1533">
        <v>93.5</v>
      </c>
      <c r="J1533" t="s">
        <v>17</v>
      </c>
      <c r="K1533" t="s">
        <v>21</v>
      </c>
      <c r="L1533">
        <f>WEEKDAY(Table1[[#This Row],[Transaction_Date]],2)</f>
        <v>4</v>
      </c>
      <c r="M1533">
        <f>IF(Table1[[#This Row],[Sale_Type]]="Buffet",1,0)</f>
        <v>1</v>
      </c>
    </row>
    <row r="1534" spans="1:13" x14ac:dyDescent="0.2">
      <c r="A1534" t="s">
        <v>1806</v>
      </c>
      <c r="B1534" t="s">
        <v>952</v>
      </c>
      <c r="C1534" s="1">
        <v>46002</v>
      </c>
      <c r="D1534" t="s">
        <v>62</v>
      </c>
      <c r="E1534" t="s">
        <v>43</v>
      </c>
      <c r="F1534" t="s">
        <v>50</v>
      </c>
      <c r="G1534" t="s">
        <v>16</v>
      </c>
      <c r="H1534">
        <v>2</v>
      </c>
      <c r="I1534">
        <v>68.84</v>
      </c>
      <c r="J1534" t="s">
        <v>34</v>
      </c>
      <c r="K1534" t="s">
        <v>21</v>
      </c>
      <c r="L1534">
        <f>WEEKDAY(Table1[[#This Row],[Transaction_Date]],2)</f>
        <v>4</v>
      </c>
      <c r="M1534">
        <f>IF(Table1[[#This Row],[Sale_Type]]="Buffet",1,0)</f>
        <v>0</v>
      </c>
    </row>
    <row r="1535" spans="1:13" x14ac:dyDescent="0.2">
      <c r="A1535" t="s">
        <v>1807</v>
      </c>
      <c r="B1535" t="s">
        <v>334</v>
      </c>
      <c r="C1535" s="1">
        <v>46002</v>
      </c>
      <c r="D1535" t="s">
        <v>62</v>
      </c>
      <c r="E1535" t="s">
        <v>43</v>
      </c>
      <c r="F1535" t="s">
        <v>50</v>
      </c>
      <c r="G1535" t="s">
        <v>45</v>
      </c>
      <c r="H1535">
        <v>4</v>
      </c>
      <c r="I1535">
        <v>80</v>
      </c>
      <c r="J1535" t="s">
        <v>28</v>
      </c>
      <c r="K1535" t="s">
        <v>18</v>
      </c>
      <c r="L1535">
        <f>WEEKDAY(Table1[[#This Row],[Transaction_Date]],2)</f>
        <v>4</v>
      </c>
      <c r="M1535">
        <f>IF(Table1[[#This Row],[Sale_Type]]="Buffet",1,0)</f>
        <v>1</v>
      </c>
    </row>
    <row r="1536" spans="1:13" x14ac:dyDescent="0.2">
      <c r="A1536" t="s">
        <v>1808</v>
      </c>
      <c r="B1536" t="s">
        <v>545</v>
      </c>
      <c r="C1536" s="1">
        <v>46002</v>
      </c>
      <c r="D1536" t="s">
        <v>62</v>
      </c>
      <c r="E1536" t="s">
        <v>43</v>
      </c>
      <c r="F1536" t="s">
        <v>50</v>
      </c>
      <c r="G1536" t="s">
        <v>16</v>
      </c>
      <c r="H1536">
        <v>2</v>
      </c>
      <c r="I1536">
        <v>52.36</v>
      </c>
      <c r="J1536" t="s">
        <v>17</v>
      </c>
      <c r="K1536" t="s">
        <v>18</v>
      </c>
      <c r="L1536">
        <f>WEEKDAY(Table1[[#This Row],[Transaction_Date]],2)</f>
        <v>4</v>
      </c>
      <c r="M1536">
        <f>IF(Table1[[#This Row],[Sale_Type]]="Buffet",1,0)</f>
        <v>0</v>
      </c>
    </row>
    <row r="1537" spans="1:13" x14ac:dyDescent="0.2">
      <c r="A1537" t="s">
        <v>1809</v>
      </c>
      <c r="B1537" t="s">
        <v>83</v>
      </c>
      <c r="C1537" s="1">
        <v>46002</v>
      </c>
      <c r="D1537" t="s">
        <v>62</v>
      </c>
      <c r="E1537" t="s">
        <v>43</v>
      </c>
      <c r="F1537" t="s">
        <v>50</v>
      </c>
      <c r="G1537" t="s">
        <v>45</v>
      </c>
      <c r="H1537">
        <v>1</v>
      </c>
      <c r="I1537">
        <v>24.5</v>
      </c>
      <c r="J1537" t="s">
        <v>28</v>
      </c>
      <c r="K1537" t="s">
        <v>18</v>
      </c>
      <c r="L1537">
        <f>WEEKDAY(Table1[[#This Row],[Transaction_Date]],2)</f>
        <v>4</v>
      </c>
      <c r="M1537">
        <f>IF(Table1[[#This Row],[Sale_Type]]="Buffet",1,0)</f>
        <v>1</v>
      </c>
    </row>
    <row r="1538" spans="1:13" x14ac:dyDescent="0.2">
      <c r="A1538" t="s">
        <v>1810</v>
      </c>
      <c r="B1538" t="s">
        <v>309</v>
      </c>
      <c r="C1538" s="1">
        <v>46002</v>
      </c>
      <c r="D1538" t="s">
        <v>62</v>
      </c>
      <c r="E1538" t="s">
        <v>43</v>
      </c>
      <c r="F1538" t="s">
        <v>53</v>
      </c>
      <c r="G1538" t="s">
        <v>45</v>
      </c>
      <c r="H1538">
        <v>2</v>
      </c>
      <c r="I1538">
        <v>44.5</v>
      </c>
      <c r="J1538" t="s">
        <v>28</v>
      </c>
      <c r="K1538" t="s">
        <v>18</v>
      </c>
      <c r="L1538">
        <f>WEEKDAY(Table1[[#This Row],[Transaction_Date]],2)</f>
        <v>4</v>
      </c>
      <c r="M1538">
        <f>IF(Table1[[#This Row],[Sale_Type]]="Buffet",1,0)</f>
        <v>1</v>
      </c>
    </row>
    <row r="1539" spans="1:13" x14ac:dyDescent="0.2">
      <c r="A1539" t="s">
        <v>1811</v>
      </c>
      <c r="B1539" t="s">
        <v>797</v>
      </c>
      <c r="C1539" s="1">
        <v>46002</v>
      </c>
      <c r="D1539" t="s">
        <v>62</v>
      </c>
      <c r="E1539" t="s">
        <v>43</v>
      </c>
      <c r="F1539" t="s">
        <v>57</v>
      </c>
      <c r="G1539" t="s">
        <v>45</v>
      </c>
      <c r="H1539">
        <v>7</v>
      </c>
      <c r="I1539">
        <v>153.5</v>
      </c>
      <c r="J1539" t="s">
        <v>17</v>
      </c>
      <c r="K1539" t="s">
        <v>18</v>
      </c>
      <c r="L1539">
        <f>WEEKDAY(Table1[[#This Row],[Transaction_Date]],2)</f>
        <v>4</v>
      </c>
      <c r="M1539">
        <f>IF(Table1[[#This Row],[Sale_Type]]="Buffet",1,0)</f>
        <v>1</v>
      </c>
    </row>
    <row r="1540" spans="1:13" x14ac:dyDescent="0.2">
      <c r="A1540" t="s">
        <v>1812</v>
      </c>
      <c r="B1540" t="s">
        <v>95</v>
      </c>
      <c r="C1540" s="1">
        <v>46002</v>
      </c>
      <c r="D1540" t="s">
        <v>62</v>
      </c>
      <c r="E1540" t="s">
        <v>43</v>
      </c>
      <c r="F1540" t="s">
        <v>57</v>
      </c>
      <c r="G1540" t="s">
        <v>45</v>
      </c>
      <c r="H1540">
        <v>3</v>
      </c>
      <c r="I1540">
        <v>64.5</v>
      </c>
      <c r="J1540" t="s">
        <v>17</v>
      </c>
      <c r="K1540" t="s">
        <v>18</v>
      </c>
      <c r="L1540">
        <f>WEEKDAY(Table1[[#This Row],[Transaction_Date]],2)</f>
        <v>4</v>
      </c>
      <c r="M1540">
        <f>IF(Table1[[#This Row],[Sale_Type]]="Buffet",1,0)</f>
        <v>1</v>
      </c>
    </row>
    <row r="1541" spans="1:13" x14ac:dyDescent="0.2">
      <c r="A1541" t="s">
        <v>1813</v>
      </c>
      <c r="B1541" t="s">
        <v>131</v>
      </c>
      <c r="C1541" s="1">
        <v>46003</v>
      </c>
      <c r="D1541" t="s">
        <v>96</v>
      </c>
      <c r="E1541" t="s">
        <v>14</v>
      </c>
      <c r="F1541" t="s">
        <v>15</v>
      </c>
      <c r="G1541" t="s">
        <v>16</v>
      </c>
      <c r="H1541">
        <v>3</v>
      </c>
      <c r="I1541">
        <v>137.25</v>
      </c>
      <c r="J1541" t="s">
        <v>34</v>
      </c>
      <c r="K1541" t="s">
        <v>18</v>
      </c>
      <c r="L1541">
        <f>WEEKDAY(Table1[[#This Row],[Transaction_Date]],2)</f>
        <v>5</v>
      </c>
      <c r="M1541">
        <f>IF(Table1[[#This Row],[Sale_Type]]="Buffet",1,0)</f>
        <v>0</v>
      </c>
    </row>
    <row r="1542" spans="1:13" x14ac:dyDescent="0.2">
      <c r="A1542" t="s">
        <v>1814</v>
      </c>
      <c r="B1542" t="s">
        <v>1067</v>
      </c>
      <c r="C1542" s="1">
        <v>46003</v>
      </c>
      <c r="D1542" t="s">
        <v>96</v>
      </c>
      <c r="E1542" t="s">
        <v>14</v>
      </c>
      <c r="F1542" t="s">
        <v>15</v>
      </c>
      <c r="G1542" t="s">
        <v>16</v>
      </c>
      <c r="H1542">
        <v>3</v>
      </c>
      <c r="I1542">
        <v>67.37</v>
      </c>
      <c r="J1542" t="s">
        <v>17</v>
      </c>
      <c r="K1542" t="s">
        <v>18</v>
      </c>
      <c r="L1542">
        <f>WEEKDAY(Table1[[#This Row],[Transaction_Date]],2)</f>
        <v>5</v>
      </c>
      <c r="M1542">
        <f>IF(Table1[[#This Row],[Sale_Type]]="Buffet",1,0)</f>
        <v>0</v>
      </c>
    </row>
    <row r="1543" spans="1:13" x14ac:dyDescent="0.2">
      <c r="A1543" t="s">
        <v>1815</v>
      </c>
      <c r="B1543" t="s">
        <v>313</v>
      </c>
      <c r="C1543" s="1">
        <v>46003</v>
      </c>
      <c r="D1543" t="s">
        <v>96</v>
      </c>
      <c r="E1543" t="s">
        <v>14</v>
      </c>
      <c r="F1543" t="s">
        <v>24</v>
      </c>
      <c r="G1543" t="s">
        <v>16</v>
      </c>
      <c r="H1543">
        <v>2</v>
      </c>
      <c r="I1543">
        <v>105.18</v>
      </c>
      <c r="J1543" t="s">
        <v>28</v>
      </c>
      <c r="K1543" t="s">
        <v>21</v>
      </c>
      <c r="L1543">
        <f>WEEKDAY(Table1[[#This Row],[Transaction_Date]],2)</f>
        <v>5</v>
      </c>
      <c r="M1543">
        <f>IF(Table1[[#This Row],[Sale_Type]]="Buffet",1,0)</f>
        <v>0</v>
      </c>
    </row>
    <row r="1544" spans="1:13" x14ac:dyDescent="0.2">
      <c r="A1544" t="s">
        <v>1816</v>
      </c>
      <c r="B1544" t="s">
        <v>12</v>
      </c>
      <c r="C1544" s="1">
        <v>46003</v>
      </c>
      <c r="D1544" t="s">
        <v>96</v>
      </c>
      <c r="E1544" t="s">
        <v>14</v>
      </c>
      <c r="F1544" t="s">
        <v>24</v>
      </c>
      <c r="G1544" t="s">
        <v>16</v>
      </c>
      <c r="H1544">
        <v>6</v>
      </c>
      <c r="I1544">
        <v>175.24</v>
      </c>
      <c r="J1544" t="s">
        <v>17</v>
      </c>
      <c r="K1544" t="s">
        <v>18</v>
      </c>
      <c r="L1544">
        <f>WEEKDAY(Table1[[#This Row],[Transaction_Date]],2)</f>
        <v>5</v>
      </c>
      <c r="M1544">
        <f>IF(Table1[[#This Row],[Sale_Type]]="Buffet",1,0)</f>
        <v>0</v>
      </c>
    </row>
    <row r="1545" spans="1:13" x14ac:dyDescent="0.2">
      <c r="A1545" t="s">
        <v>1817</v>
      </c>
      <c r="B1545" t="s">
        <v>1067</v>
      </c>
      <c r="C1545" s="1">
        <v>46003</v>
      </c>
      <c r="D1545" t="s">
        <v>96</v>
      </c>
      <c r="E1545" t="s">
        <v>14</v>
      </c>
      <c r="F1545" t="s">
        <v>24</v>
      </c>
      <c r="G1545" t="s">
        <v>16</v>
      </c>
      <c r="H1545">
        <v>6</v>
      </c>
      <c r="I1545">
        <v>173.13</v>
      </c>
      <c r="J1545" t="s">
        <v>34</v>
      </c>
      <c r="K1545" t="s">
        <v>18</v>
      </c>
      <c r="L1545">
        <f>WEEKDAY(Table1[[#This Row],[Transaction_Date]],2)</f>
        <v>5</v>
      </c>
      <c r="M1545">
        <f>IF(Table1[[#This Row],[Sale_Type]]="Buffet",1,0)</f>
        <v>0</v>
      </c>
    </row>
    <row r="1546" spans="1:13" x14ac:dyDescent="0.2">
      <c r="A1546" t="s">
        <v>1818</v>
      </c>
      <c r="B1546" t="s">
        <v>419</v>
      </c>
      <c r="C1546" s="1">
        <v>46003</v>
      </c>
      <c r="D1546" t="s">
        <v>96</v>
      </c>
      <c r="E1546" t="s">
        <v>14</v>
      </c>
      <c r="F1546" t="s">
        <v>24</v>
      </c>
      <c r="G1546" t="s">
        <v>16</v>
      </c>
      <c r="H1546">
        <v>2</v>
      </c>
      <c r="I1546">
        <v>38.630000000000003</v>
      </c>
      <c r="J1546" t="s">
        <v>17</v>
      </c>
      <c r="K1546" t="s">
        <v>18</v>
      </c>
      <c r="L1546">
        <f>WEEKDAY(Table1[[#This Row],[Transaction_Date]],2)</f>
        <v>5</v>
      </c>
      <c r="M1546">
        <f>IF(Table1[[#This Row],[Sale_Type]]="Buffet",1,0)</f>
        <v>0</v>
      </c>
    </row>
    <row r="1547" spans="1:13" x14ac:dyDescent="0.2">
      <c r="A1547" t="s">
        <v>1819</v>
      </c>
      <c r="B1547" t="s">
        <v>447</v>
      </c>
      <c r="C1547" s="1">
        <v>46003</v>
      </c>
      <c r="D1547" t="s">
        <v>96</v>
      </c>
      <c r="E1547" t="s">
        <v>14</v>
      </c>
      <c r="F1547" t="s">
        <v>27</v>
      </c>
      <c r="G1547" t="s">
        <v>16</v>
      </c>
      <c r="H1547">
        <v>3</v>
      </c>
      <c r="I1547">
        <v>112.99</v>
      </c>
      <c r="J1547" t="s">
        <v>17</v>
      </c>
      <c r="K1547" t="s">
        <v>21</v>
      </c>
      <c r="L1547">
        <f>WEEKDAY(Table1[[#This Row],[Transaction_Date]],2)</f>
        <v>5</v>
      </c>
      <c r="M1547">
        <f>IF(Table1[[#This Row],[Sale_Type]]="Buffet",1,0)</f>
        <v>0</v>
      </c>
    </row>
    <row r="1548" spans="1:13" x14ac:dyDescent="0.2">
      <c r="A1548" t="s">
        <v>1820</v>
      </c>
      <c r="B1548" t="s">
        <v>423</v>
      </c>
      <c r="C1548" s="1">
        <v>46003</v>
      </c>
      <c r="D1548" t="s">
        <v>96</v>
      </c>
      <c r="E1548" t="s">
        <v>14</v>
      </c>
      <c r="F1548" t="s">
        <v>27</v>
      </c>
      <c r="G1548" t="s">
        <v>16</v>
      </c>
      <c r="H1548">
        <v>2</v>
      </c>
      <c r="I1548">
        <v>46.59</v>
      </c>
      <c r="J1548" t="s">
        <v>34</v>
      </c>
      <c r="K1548" t="s">
        <v>18</v>
      </c>
      <c r="L1548">
        <f>WEEKDAY(Table1[[#This Row],[Transaction_Date]],2)</f>
        <v>5</v>
      </c>
      <c r="M1548">
        <f>IF(Table1[[#This Row],[Sale_Type]]="Buffet",1,0)</f>
        <v>0</v>
      </c>
    </row>
    <row r="1549" spans="1:13" x14ac:dyDescent="0.2">
      <c r="A1549" t="s">
        <v>1821</v>
      </c>
      <c r="B1549" t="s">
        <v>148</v>
      </c>
      <c r="C1549" s="1">
        <v>46003</v>
      </c>
      <c r="D1549" t="s">
        <v>96</v>
      </c>
      <c r="E1549" t="s">
        <v>14</v>
      </c>
      <c r="F1549" t="s">
        <v>27</v>
      </c>
      <c r="G1549" t="s">
        <v>16</v>
      </c>
      <c r="H1549">
        <v>3</v>
      </c>
      <c r="I1549">
        <v>67.34</v>
      </c>
      <c r="J1549" t="s">
        <v>34</v>
      </c>
      <c r="K1549" t="s">
        <v>21</v>
      </c>
      <c r="L1549">
        <f>WEEKDAY(Table1[[#This Row],[Transaction_Date]],2)</f>
        <v>5</v>
      </c>
      <c r="M1549">
        <f>IF(Table1[[#This Row],[Sale_Type]]="Buffet",1,0)</f>
        <v>0</v>
      </c>
    </row>
    <row r="1550" spans="1:13" x14ac:dyDescent="0.2">
      <c r="A1550" t="s">
        <v>1822</v>
      </c>
      <c r="B1550" t="s">
        <v>429</v>
      </c>
      <c r="C1550" s="1">
        <v>46003</v>
      </c>
      <c r="D1550" t="s">
        <v>96</v>
      </c>
      <c r="E1550" t="s">
        <v>14</v>
      </c>
      <c r="F1550" t="s">
        <v>27</v>
      </c>
      <c r="G1550" t="s">
        <v>16</v>
      </c>
      <c r="H1550">
        <v>1</v>
      </c>
      <c r="I1550">
        <v>18.190000000000001</v>
      </c>
      <c r="J1550" t="s">
        <v>17</v>
      </c>
      <c r="K1550" t="s">
        <v>18</v>
      </c>
      <c r="L1550">
        <f>WEEKDAY(Table1[[#This Row],[Transaction_Date]],2)</f>
        <v>5</v>
      </c>
      <c r="M1550">
        <f>IF(Table1[[#This Row],[Sale_Type]]="Buffet",1,0)</f>
        <v>0</v>
      </c>
    </row>
    <row r="1551" spans="1:13" x14ac:dyDescent="0.2">
      <c r="A1551" t="s">
        <v>1823</v>
      </c>
      <c r="B1551" t="s">
        <v>522</v>
      </c>
      <c r="C1551" s="1">
        <v>46003</v>
      </c>
      <c r="D1551" t="s">
        <v>96</v>
      </c>
      <c r="E1551" t="s">
        <v>14</v>
      </c>
      <c r="F1551" t="s">
        <v>31</v>
      </c>
      <c r="G1551" t="s">
        <v>16</v>
      </c>
      <c r="H1551">
        <v>1</v>
      </c>
      <c r="I1551">
        <v>25.66</v>
      </c>
      <c r="J1551" t="s">
        <v>17</v>
      </c>
      <c r="K1551" t="s">
        <v>21</v>
      </c>
      <c r="L1551">
        <f>WEEKDAY(Table1[[#This Row],[Transaction_Date]],2)</f>
        <v>5</v>
      </c>
      <c r="M1551">
        <f>IF(Table1[[#This Row],[Sale_Type]]="Buffet",1,0)</f>
        <v>0</v>
      </c>
    </row>
    <row r="1552" spans="1:13" x14ac:dyDescent="0.2">
      <c r="A1552" t="s">
        <v>1824</v>
      </c>
      <c r="B1552" t="s">
        <v>309</v>
      </c>
      <c r="C1552" s="1">
        <v>46003</v>
      </c>
      <c r="D1552" t="s">
        <v>96</v>
      </c>
      <c r="E1552" t="s">
        <v>14</v>
      </c>
      <c r="F1552" t="s">
        <v>31</v>
      </c>
      <c r="G1552" t="s">
        <v>16</v>
      </c>
      <c r="H1552">
        <v>2</v>
      </c>
      <c r="I1552">
        <v>39.93</v>
      </c>
      <c r="J1552" t="s">
        <v>34</v>
      </c>
      <c r="K1552" t="s">
        <v>18</v>
      </c>
      <c r="L1552">
        <f>WEEKDAY(Table1[[#This Row],[Transaction_Date]],2)</f>
        <v>5</v>
      </c>
      <c r="M1552">
        <f>IF(Table1[[#This Row],[Sale_Type]]="Buffet",1,0)</f>
        <v>0</v>
      </c>
    </row>
    <row r="1553" spans="1:13" x14ac:dyDescent="0.2">
      <c r="A1553" t="s">
        <v>1825</v>
      </c>
      <c r="B1553" t="s">
        <v>140</v>
      </c>
      <c r="C1553" s="1">
        <v>46003</v>
      </c>
      <c r="D1553" t="s">
        <v>96</v>
      </c>
      <c r="E1553" t="s">
        <v>14</v>
      </c>
      <c r="F1553" t="s">
        <v>40</v>
      </c>
      <c r="G1553" t="s">
        <v>16</v>
      </c>
      <c r="H1553">
        <v>1</v>
      </c>
      <c r="I1553">
        <v>29.99</v>
      </c>
      <c r="J1553" t="s">
        <v>28</v>
      </c>
      <c r="K1553" t="s">
        <v>18</v>
      </c>
      <c r="L1553">
        <f>WEEKDAY(Table1[[#This Row],[Transaction_Date]],2)</f>
        <v>5</v>
      </c>
      <c r="M1553">
        <f>IF(Table1[[#This Row],[Sale_Type]]="Buffet",1,0)</f>
        <v>0</v>
      </c>
    </row>
    <row r="1554" spans="1:13" x14ac:dyDescent="0.2">
      <c r="A1554" t="s">
        <v>1826</v>
      </c>
      <c r="B1554" t="s">
        <v>584</v>
      </c>
      <c r="C1554" s="1">
        <v>46003</v>
      </c>
      <c r="D1554" t="s">
        <v>96</v>
      </c>
      <c r="E1554" t="s">
        <v>14</v>
      </c>
      <c r="F1554" t="s">
        <v>40</v>
      </c>
      <c r="G1554" t="s">
        <v>16</v>
      </c>
      <c r="H1554">
        <v>4</v>
      </c>
      <c r="I1554">
        <v>157.33000000000001</v>
      </c>
      <c r="J1554" t="s">
        <v>28</v>
      </c>
      <c r="K1554" t="s">
        <v>18</v>
      </c>
      <c r="L1554">
        <f>WEEKDAY(Table1[[#This Row],[Transaction_Date]],2)</f>
        <v>5</v>
      </c>
      <c r="M1554">
        <f>IF(Table1[[#This Row],[Sale_Type]]="Buffet",1,0)</f>
        <v>0</v>
      </c>
    </row>
    <row r="1555" spans="1:13" x14ac:dyDescent="0.2">
      <c r="A1555" t="s">
        <v>1827</v>
      </c>
      <c r="B1555" t="s">
        <v>79</v>
      </c>
      <c r="C1555" s="1">
        <v>46003</v>
      </c>
      <c r="D1555" t="s">
        <v>96</v>
      </c>
      <c r="E1555" t="s">
        <v>14</v>
      </c>
      <c r="F1555" t="s">
        <v>40</v>
      </c>
      <c r="G1555" t="s">
        <v>16</v>
      </c>
      <c r="H1555">
        <v>3</v>
      </c>
      <c r="I1555">
        <v>75.64</v>
      </c>
      <c r="J1555" t="s">
        <v>34</v>
      </c>
      <c r="K1555" t="s">
        <v>18</v>
      </c>
      <c r="L1555">
        <f>WEEKDAY(Table1[[#This Row],[Transaction_Date]],2)</f>
        <v>5</v>
      </c>
      <c r="M1555">
        <f>IF(Table1[[#This Row],[Sale_Type]]="Buffet",1,0)</f>
        <v>0</v>
      </c>
    </row>
    <row r="1556" spans="1:13" x14ac:dyDescent="0.2">
      <c r="A1556" t="s">
        <v>1828</v>
      </c>
      <c r="B1556" t="s">
        <v>100</v>
      </c>
      <c r="C1556" s="1">
        <v>46003</v>
      </c>
      <c r="D1556" t="s">
        <v>96</v>
      </c>
      <c r="E1556" t="s">
        <v>43</v>
      </c>
      <c r="F1556" t="s">
        <v>44</v>
      </c>
      <c r="G1556" t="s">
        <v>16</v>
      </c>
      <c r="H1556">
        <v>2</v>
      </c>
      <c r="I1556">
        <v>45.35</v>
      </c>
      <c r="J1556" t="s">
        <v>34</v>
      </c>
      <c r="K1556" t="s">
        <v>18</v>
      </c>
      <c r="L1556">
        <f>WEEKDAY(Table1[[#This Row],[Transaction_Date]],2)</f>
        <v>5</v>
      </c>
      <c r="M1556">
        <f>IF(Table1[[#This Row],[Sale_Type]]="Buffet",1,0)</f>
        <v>0</v>
      </c>
    </row>
    <row r="1557" spans="1:13" x14ac:dyDescent="0.2">
      <c r="A1557" t="s">
        <v>1829</v>
      </c>
      <c r="B1557" t="s">
        <v>652</v>
      </c>
      <c r="C1557" s="1">
        <v>46003</v>
      </c>
      <c r="D1557" t="s">
        <v>96</v>
      </c>
      <c r="E1557" t="s">
        <v>43</v>
      </c>
      <c r="F1557" t="s">
        <v>50</v>
      </c>
      <c r="G1557" t="s">
        <v>45</v>
      </c>
      <c r="H1557">
        <v>1</v>
      </c>
      <c r="I1557">
        <v>20</v>
      </c>
      <c r="J1557" t="s">
        <v>17</v>
      </c>
      <c r="K1557" t="s">
        <v>18</v>
      </c>
      <c r="L1557">
        <f>WEEKDAY(Table1[[#This Row],[Transaction_Date]],2)</f>
        <v>5</v>
      </c>
      <c r="M1557">
        <f>IF(Table1[[#This Row],[Sale_Type]]="Buffet",1,0)</f>
        <v>1</v>
      </c>
    </row>
    <row r="1558" spans="1:13" x14ac:dyDescent="0.2">
      <c r="A1558" t="s">
        <v>1830</v>
      </c>
      <c r="B1558" t="s">
        <v>146</v>
      </c>
      <c r="C1558" s="1">
        <v>46003</v>
      </c>
      <c r="D1558" t="s">
        <v>96</v>
      </c>
      <c r="E1558" t="s">
        <v>43</v>
      </c>
      <c r="F1558" t="s">
        <v>50</v>
      </c>
      <c r="G1558" t="s">
        <v>45</v>
      </c>
      <c r="H1558">
        <v>3</v>
      </c>
      <c r="I1558">
        <v>69</v>
      </c>
      <c r="J1558" t="s">
        <v>17</v>
      </c>
      <c r="K1558" t="s">
        <v>18</v>
      </c>
      <c r="L1558">
        <f>WEEKDAY(Table1[[#This Row],[Transaction_Date]],2)</f>
        <v>5</v>
      </c>
      <c r="M1558">
        <f>IF(Table1[[#This Row],[Sale_Type]]="Buffet",1,0)</f>
        <v>1</v>
      </c>
    </row>
    <row r="1559" spans="1:13" x14ac:dyDescent="0.2">
      <c r="A1559" t="s">
        <v>1831</v>
      </c>
      <c r="B1559" t="s">
        <v>228</v>
      </c>
      <c r="C1559" s="1">
        <v>46003</v>
      </c>
      <c r="D1559" t="s">
        <v>96</v>
      </c>
      <c r="E1559" t="s">
        <v>43</v>
      </c>
      <c r="F1559" t="s">
        <v>50</v>
      </c>
      <c r="G1559" t="s">
        <v>16</v>
      </c>
      <c r="H1559">
        <v>3</v>
      </c>
      <c r="I1559">
        <v>36.090000000000003</v>
      </c>
      <c r="J1559" t="s">
        <v>17</v>
      </c>
      <c r="K1559" t="s">
        <v>18</v>
      </c>
      <c r="L1559">
        <f>WEEKDAY(Table1[[#This Row],[Transaction_Date]],2)</f>
        <v>5</v>
      </c>
      <c r="M1559">
        <f>IF(Table1[[#This Row],[Sale_Type]]="Buffet",1,0)</f>
        <v>0</v>
      </c>
    </row>
    <row r="1560" spans="1:13" x14ac:dyDescent="0.2">
      <c r="A1560" t="s">
        <v>1832</v>
      </c>
      <c r="B1560" t="s">
        <v>581</v>
      </c>
      <c r="C1560" s="1">
        <v>46003</v>
      </c>
      <c r="D1560" t="s">
        <v>96</v>
      </c>
      <c r="E1560" t="s">
        <v>43</v>
      </c>
      <c r="F1560" t="s">
        <v>53</v>
      </c>
      <c r="G1560" t="s">
        <v>45</v>
      </c>
      <c r="H1560">
        <v>2</v>
      </c>
      <c r="I1560">
        <v>40</v>
      </c>
      <c r="J1560" t="s">
        <v>17</v>
      </c>
      <c r="K1560" t="s">
        <v>18</v>
      </c>
      <c r="L1560">
        <f>WEEKDAY(Table1[[#This Row],[Transaction_Date]],2)</f>
        <v>5</v>
      </c>
      <c r="M1560">
        <f>IF(Table1[[#This Row],[Sale_Type]]="Buffet",1,0)</f>
        <v>1</v>
      </c>
    </row>
    <row r="1561" spans="1:13" x14ac:dyDescent="0.2">
      <c r="A1561" t="s">
        <v>1833</v>
      </c>
      <c r="B1561" t="s">
        <v>532</v>
      </c>
      <c r="C1561" s="1">
        <v>46003</v>
      </c>
      <c r="D1561" t="s">
        <v>96</v>
      </c>
      <c r="E1561" t="s">
        <v>43</v>
      </c>
      <c r="F1561" t="s">
        <v>53</v>
      </c>
      <c r="G1561" t="s">
        <v>45</v>
      </c>
      <c r="H1561">
        <v>3</v>
      </c>
      <c r="I1561">
        <v>69</v>
      </c>
      <c r="J1561" t="s">
        <v>17</v>
      </c>
      <c r="K1561" t="s">
        <v>21</v>
      </c>
      <c r="L1561">
        <f>WEEKDAY(Table1[[#This Row],[Transaction_Date]],2)</f>
        <v>5</v>
      </c>
      <c r="M1561">
        <f>IF(Table1[[#This Row],[Sale_Type]]="Buffet",1,0)</f>
        <v>1</v>
      </c>
    </row>
    <row r="1562" spans="1:13" x14ac:dyDescent="0.2">
      <c r="A1562" t="s">
        <v>1834</v>
      </c>
      <c r="B1562" t="s">
        <v>30</v>
      </c>
      <c r="C1562" s="1">
        <v>46003</v>
      </c>
      <c r="D1562" t="s">
        <v>96</v>
      </c>
      <c r="E1562" t="s">
        <v>43</v>
      </c>
      <c r="F1562" t="s">
        <v>53</v>
      </c>
      <c r="G1562" t="s">
        <v>16</v>
      </c>
      <c r="H1562">
        <v>2</v>
      </c>
      <c r="I1562">
        <v>28.34</v>
      </c>
      <c r="J1562" t="s">
        <v>28</v>
      </c>
      <c r="K1562" t="s">
        <v>18</v>
      </c>
      <c r="L1562">
        <f>WEEKDAY(Table1[[#This Row],[Transaction_Date]],2)</f>
        <v>5</v>
      </c>
      <c r="M1562">
        <f>IF(Table1[[#This Row],[Sale_Type]]="Buffet",1,0)</f>
        <v>0</v>
      </c>
    </row>
    <row r="1563" spans="1:13" x14ac:dyDescent="0.2">
      <c r="A1563" t="s">
        <v>1835</v>
      </c>
      <c r="B1563" t="s">
        <v>87</v>
      </c>
      <c r="C1563" s="1">
        <v>46003</v>
      </c>
      <c r="D1563" t="s">
        <v>96</v>
      </c>
      <c r="E1563" t="s">
        <v>43</v>
      </c>
      <c r="F1563" t="s">
        <v>57</v>
      </c>
      <c r="G1563" t="s">
        <v>45</v>
      </c>
      <c r="H1563">
        <v>3</v>
      </c>
      <c r="I1563">
        <v>64.5</v>
      </c>
      <c r="J1563" t="s">
        <v>34</v>
      </c>
      <c r="K1563" t="s">
        <v>18</v>
      </c>
      <c r="L1563">
        <f>WEEKDAY(Table1[[#This Row],[Transaction_Date]],2)</f>
        <v>5</v>
      </c>
      <c r="M1563">
        <f>IF(Table1[[#This Row],[Sale_Type]]="Buffet",1,0)</f>
        <v>1</v>
      </c>
    </row>
    <row r="1564" spans="1:13" x14ac:dyDescent="0.2">
      <c r="A1564" t="s">
        <v>1836</v>
      </c>
      <c r="B1564" t="s">
        <v>907</v>
      </c>
      <c r="C1564" s="1">
        <v>46003</v>
      </c>
      <c r="D1564" t="s">
        <v>96</v>
      </c>
      <c r="E1564" t="s">
        <v>43</v>
      </c>
      <c r="F1564" t="s">
        <v>57</v>
      </c>
      <c r="G1564" t="s">
        <v>16</v>
      </c>
      <c r="H1564">
        <v>2</v>
      </c>
      <c r="I1564">
        <v>33.450000000000003</v>
      </c>
      <c r="J1564" t="s">
        <v>17</v>
      </c>
      <c r="K1564" t="s">
        <v>18</v>
      </c>
      <c r="L1564">
        <f>WEEKDAY(Table1[[#This Row],[Transaction_Date]],2)</f>
        <v>5</v>
      </c>
      <c r="M1564">
        <f>IF(Table1[[#This Row],[Sale_Type]]="Buffet",1,0)</f>
        <v>0</v>
      </c>
    </row>
    <row r="1565" spans="1:13" x14ac:dyDescent="0.2">
      <c r="A1565" t="s">
        <v>1837</v>
      </c>
      <c r="B1565" t="s">
        <v>150</v>
      </c>
      <c r="C1565" s="1">
        <v>46004</v>
      </c>
      <c r="D1565" t="s">
        <v>127</v>
      </c>
      <c r="E1565" t="s">
        <v>14</v>
      </c>
      <c r="F1565" t="s">
        <v>15</v>
      </c>
      <c r="G1565" t="s">
        <v>16</v>
      </c>
      <c r="H1565">
        <v>6</v>
      </c>
      <c r="I1565">
        <v>255.73</v>
      </c>
      <c r="J1565" t="s">
        <v>17</v>
      </c>
      <c r="K1565" t="s">
        <v>21</v>
      </c>
      <c r="L1565">
        <f>WEEKDAY(Table1[[#This Row],[Transaction_Date]],2)</f>
        <v>6</v>
      </c>
      <c r="M1565">
        <f>IF(Table1[[#This Row],[Sale_Type]]="Buffet",1,0)</f>
        <v>0</v>
      </c>
    </row>
    <row r="1566" spans="1:13" x14ac:dyDescent="0.2">
      <c r="A1566" t="s">
        <v>1838</v>
      </c>
      <c r="B1566" t="s">
        <v>76</v>
      </c>
      <c r="C1566" s="1">
        <v>46004</v>
      </c>
      <c r="D1566" t="s">
        <v>127</v>
      </c>
      <c r="E1566" t="s">
        <v>14</v>
      </c>
      <c r="F1566" t="s">
        <v>24</v>
      </c>
      <c r="G1566" t="s">
        <v>16</v>
      </c>
      <c r="H1566">
        <v>3</v>
      </c>
      <c r="I1566">
        <v>67.540000000000006</v>
      </c>
      <c r="J1566" t="s">
        <v>17</v>
      </c>
      <c r="K1566" t="s">
        <v>18</v>
      </c>
      <c r="L1566">
        <f>WEEKDAY(Table1[[#This Row],[Transaction_Date]],2)</f>
        <v>6</v>
      </c>
      <c r="M1566">
        <f>IF(Table1[[#This Row],[Sale_Type]]="Buffet",1,0)</f>
        <v>0</v>
      </c>
    </row>
    <row r="1567" spans="1:13" x14ac:dyDescent="0.2">
      <c r="A1567" t="s">
        <v>1839</v>
      </c>
      <c r="B1567" t="s">
        <v>564</v>
      </c>
      <c r="C1567" s="1">
        <v>46004</v>
      </c>
      <c r="D1567" t="s">
        <v>127</v>
      </c>
      <c r="E1567" t="s">
        <v>14</v>
      </c>
      <c r="F1567" t="s">
        <v>24</v>
      </c>
      <c r="G1567" t="s">
        <v>16</v>
      </c>
      <c r="H1567">
        <v>2</v>
      </c>
      <c r="I1567">
        <v>37.53</v>
      </c>
      <c r="J1567" t="s">
        <v>17</v>
      </c>
      <c r="K1567" t="s">
        <v>18</v>
      </c>
      <c r="L1567">
        <f>WEEKDAY(Table1[[#This Row],[Transaction_Date]],2)</f>
        <v>6</v>
      </c>
      <c r="M1567">
        <f>IF(Table1[[#This Row],[Sale_Type]]="Buffet",1,0)</f>
        <v>0</v>
      </c>
    </row>
    <row r="1568" spans="1:13" x14ac:dyDescent="0.2">
      <c r="A1568" t="s">
        <v>1840</v>
      </c>
      <c r="B1568" t="s">
        <v>390</v>
      </c>
      <c r="C1568" s="1">
        <v>46004</v>
      </c>
      <c r="D1568" t="s">
        <v>127</v>
      </c>
      <c r="E1568" t="s">
        <v>14</v>
      </c>
      <c r="F1568" t="s">
        <v>24</v>
      </c>
      <c r="G1568" t="s">
        <v>16</v>
      </c>
      <c r="H1568">
        <v>4</v>
      </c>
      <c r="I1568">
        <v>201.46</v>
      </c>
      <c r="J1568" t="s">
        <v>34</v>
      </c>
      <c r="K1568" t="s">
        <v>18</v>
      </c>
      <c r="L1568">
        <f>WEEKDAY(Table1[[#This Row],[Transaction_Date]],2)</f>
        <v>6</v>
      </c>
      <c r="M1568">
        <f>IF(Table1[[#This Row],[Sale_Type]]="Buffet",1,0)</f>
        <v>0</v>
      </c>
    </row>
    <row r="1569" spans="1:13" x14ac:dyDescent="0.2">
      <c r="A1569" t="s">
        <v>1841</v>
      </c>
      <c r="B1569" t="s">
        <v>341</v>
      </c>
      <c r="C1569" s="1">
        <v>46004</v>
      </c>
      <c r="D1569" t="s">
        <v>127</v>
      </c>
      <c r="E1569" t="s">
        <v>14</v>
      </c>
      <c r="F1569" t="s">
        <v>27</v>
      </c>
      <c r="G1569" t="s">
        <v>16</v>
      </c>
      <c r="H1569">
        <v>5</v>
      </c>
      <c r="I1569">
        <v>162.5</v>
      </c>
      <c r="J1569" t="s">
        <v>17</v>
      </c>
      <c r="K1569" t="s">
        <v>18</v>
      </c>
      <c r="L1569">
        <f>WEEKDAY(Table1[[#This Row],[Transaction_Date]],2)</f>
        <v>6</v>
      </c>
      <c r="M1569">
        <f>IF(Table1[[#This Row],[Sale_Type]]="Buffet",1,0)</f>
        <v>0</v>
      </c>
    </row>
    <row r="1570" spans="1:13" x14ac:dyDescent="0.2">
      <c r="A1570" t="s">
        <v>1842</v>
      </c>
      <c r="B1570" t="s">
        <v>170</v>
      </c>
      <c r="C1570" s="1">
        <v>46004</v>
      </c>
      <c r="D1570" t="s">
        <v>127</v>
      </c>
      <c r="E1570" t="s">
        <v>14</v>
      </c>
      <c r="F1570" t="s">
        <v>27</v>
      </c>
      <c r="G1570" t="s">
        <v>16</v>
      </c>
      <c r="H1570">
        <v>2</v>
      </c>
      <c r="I1570">
        <v>64.98</v>
      </c>
      <c r="J1570" t="s">
        <v>17</v>
      </c>
      <c r="K1570" t="s">
        <v>18</v>
      </c>
      <c r="L1570">
        <f>WEEKDAY(Table1[[#This Row],[Transaction_Date]],2)</f>
        <v>6</v>
      </c>
      <c r="M1570">
        <f>IF(Table1[[#This Row],[Sale_Type]]="Buffet",1,0)</f>
        <v>0</v>
      </c>
    </row>
    <row r="1571" spans="1:13" x14ac:dyDescent="0.2">
      <c r="A1571" t="s">
        <v>1843</v>
      </c>
      <c r="B1571" t="s">
        <v>242</v>
      </c>
      <c r="C1571" s="1">
        <v>46004</v>
      </c>
      <c r="D1571" t="s">
        <v>127</v>
      </c>
      <c r="E1571" t="s">
        <v>14</v>
      </c>
      <c r="F1571" t="s">
        <v>27</v>
      </c>
      <c r="G1571" t="s">
        <v>16</v>
      </c>
      <c r="H1571">
        <v>5</v>
      </c>
      <c r="I1571">
        <v>86.81</v>
      </c>
      <c r="J1571" t="s">
        <v>17</v>
      </c>
      <c r="K1571" t="s">
        <v>18</v>
      </c>
      <c r="L1571">
        <f>WEEKDAY(Table1[[#This Row],[Transaction_Date]],2)</f>
        <v>6</v>
      </c>
      <c r="M1571">
        <f>IF(Table1[[#This Row],[Sale_Type]]="Buffet",1,0)</f>
        <v>0</v>
      </c>
    </row>
    <row r="1572" spans="1:13" x14ac:dyDescent="0.2">
      <c r="A1572" t="s">
        <v>1844</v>
      </c>
      <c r="B1572" t="s">
        <v>140</v>
      </c>
      <c r="C1572" s="1">
        <v>46004</v>
      </c>
      <c r="D1572" t="s">
        <v>127</v>
      </c>
      <c r="E1572" t="s">
        <v>14</v>
      </c>
      <c r="F1572" t="s">
        <v>27</v>
      </c>
      <c r="G1572" t="s">
        <v>16</v>
      </c>
      <c r="H1572">
        <v>4</v>
      </c>
      <c r="I1572">
        <v>179.71</v>
      </c>
      <c r="J1572" t="s">
        <v>17</v>
      </c>
      <c r="K1572" t="s">
        <v>18</v>
      </c>
      <c r="L1572">
        <f>WEEKDAY(Table1[[#This Row],[Transaction_Date]],2)</f>
        <v>6</v>
      </c>
      <c r="M1572">
        <f>IF(Table1[[#This Row],[Sale_Type]]="Buffet",1,0)</f>
        <v>0</v>
      </c>
    </row>
    <row r="1573" spans="1:13" x14ac:dyDescent="0.2">
      <c r="A1573" t="s">
        <v>1845</v>
      </c>
      <c r="B1573" t="s">
        <v>192</v>
      </c>
      <c r="C1573" s="1">
        <v>46004</v>
      </c>
      <c r="D1573" t="s">
        <v>127</v>
      </c>
      <c r="E1573" t="s">
        <v>14</v>
      </c>
      <c r="F1573" t="s">
        <v>27</v>
      </c>
      <c r="G1573" t="s">
        <v>16</v>
      </c>
      <c r="H1573">
        <v>2</v>
      </c>
      <c r="I1573">
        <v>45.12</v>
      </c>
      <c r="J1573" t="s">
        <v>28</v>
      </c>
      <c r="K1573" t="s">
        <v>18</v>
      </c>
      <c r="L1573">
        <f>WEEKDAY(Table1[[#This Row],[Transaction_Date]],2)</f>
        <v>6</v>
      </c>
      <c r="M1573">
        <f>IF(Table1[[#This Row],[Sale_Type]]="Buffet",1,0)</f>
        <v>0</v>
      </c>
    </row>
    <row r="1574" spans="1:13" x14ac:dyDescent="0.2">
      <c r="A1574" t="s">
        <v>1846</v>
      </c>
      <c r="B1574" t="s">
        <v>423</v>
      </c>
      <c r="C1574" s="1">
        <v>46004</v>
      </c>
      <c r="D1574" t="s">
        <v>127</v>
      </c>
      <c r="E1574" t="s">
        <v>14</v>
      </c>
      <c r="F1574" t="s">
        <v>27</v>
      </c>
      <c r="G1574" t="s">
        <v>16</v>
      </c>
      <c r="H1574">
        <v>2</v>
      </c>
      <c r="I1574">
        <v>61.46</v>
      </c>
      <c r="J1574" t="s">
        <v>17</v>
      </c>
      <c r="K1574" t="s">
        <v>21</v>
      </c>
      <c r="L1574">
        <f>WEEKDAY(Table1[[#This Row],[Transaction_Date]],2)</f>
        <v>6</v>
      </c>
      <c r="M1574">
        <f>IF(Table1[[#This Row],[Sale_Type]]="Buffet",1,0)</f>
        <v>0</v>
      </c>
    </row>
    <row r="1575" spans="1:13" x14ac:dyDescent="0.2">
      <c r="A1575" t="s">
        <v>1847</v>
      </c>
      <c r="B1575" t="s">
        <v>87</v>
      </c>
      <c r="C1575" s="1">
        <v>46004</v>
      </c>
      <c r="D1575" t="s">
        <v>127</v>
      </c>
      <c r="E1575" t="s">
        <v>14</v>
      </c>
      <c r="F1575" t="s">
        <v>31</v>
      </c>
      <c r="G1575" t="s">
        <v>16</v>
      </c>
      <c r="H1575">
        <v>2</v>
      </c>
      <c r="I1575">
        <v>55.23</v>
      </c>
      <c r="J1575" t="s">
        <v>34</v>
      </c>
      <c r="K1575" t="s">
        <v>18</v>
      </c>
      <c r="L1575">
        <f>WEEKDAY(Table1[[#This Row],[Transaction_Date]],2)</f>
        <v>6</v>
      </c>
      <c r="M1575">
        <f>IF(Table1[[#This Row],[Sale_Type]]="Buffet",1,0)</f>
        <v>0</v>
      </c>
    </row>
    <row r="1576" spans="1:13" x14ac:dyDescent="0.2">
      <c r="A1576" t="s">
        <v>1848</v>
      </c>
      <c r="B1576" t="s">
        <v>1079</v>
      </c>
      <c r="C1576" s="1">
        <v>46004</v>
      </c>
      <c r="D1576" t="s">
        <v>127</v>
      </c>
      <c r="E1576" t="s">
        <v>14</v>
      </c>
      <c r="F1576" t="s">
        <v>31</v>
      </c>
      <c r="G1576" t="s">
        <v>16</v>
      </c>
      <c r="H1576">
        <v>5</v>
      </c>
      <c r="I1576">
        <v>78.069999999999993</v>
      </c>
      <c r="J1576" t="s">
        <v>34</v>
      </c>
      <c r="K1576" t="s">
        <v>21</v>
      </c>
      <c r="L1576">
        <f>WEEKDAY(Table1[[#This Row],[Transaction_Date]],2)</f>
        <v>6</v>
      </c>
      <c r="M1576">
        <f>IF(Table1[[#This Row],[Sale_Type]]="Buffet",1,0)</f>
        <v>0</v>
      </c>
    </row>
    <row r="1577" spans="1:13" x14ac:dyDescent="0.2">
      <c r="A1577" t="s">
        <v>1849</v>
      </c>
      <c r="B1577" t="s">
        <v>252</v>
      </c>
      <c r="C1577" s="1">
        <v>46004</v>
      </c>
      <c r="D1577" t="s">
        <v>127</v>
      </c>
      <c r="E1577" t="s">
        <v>14</v>
      </c>
      <c r="F1577" t="s">
        <v>31</v>
      </c>
      <c r="G1577" t="s">
        <v>16</v>
      </c>
      <c r="H1577">
        <v>5</v>
      </c>
      <c r="I1577">
        <v>157.41999999999999</v>
      </c>
      <c r="J1577" t="s">
        <v>34</v>
      </c>
      <c r="K1577" t="s">
        <v>18</v>
      </c>
      <c r="L1577">
        <f>WEEKDAY(Table1[[#This Row],[Transaction_Date]],2)</f>
        <v>6</v>
      </c>
      <c r="M1577">
        <f>IF(Table1[[#This Row],[Sale_Type]]="Buffet",1,0)</f>
        <v>0</v>
      </c>
    </row>
    <row r="1578" spans="1:13" x14ac:dyDescent="0.2">
      <c r="A1578" t="s">
        <v>1850</v>
      </c>
      <c r="B1578" t="s">
        <v>498</v>
      </c>
      <c r="C1578" s="1">
        <v>46004</v>
      </c>
      <c r="D1578" t="s">
        <v>127</v>
      </c>
      <c r="E1578" t="s">
        <v>14</v>
      </c>
      <c r="F1578" t="s">
        <v>31</v>
      </c>
      <c r="G1578" t="s">
        <v>16</v>
      </c>
      <c r="H1578">
        <v>5</v>
      </c>
      <c r="I1578">
        <v>217.2</v>
      </c>
      <c r="J1578" t="s">
        <v>17</v>
      </c>
      <c r="K1578" t="s">
        <v>18</v>
      </c>
      <c r="L1578">
        <f>WEEKDAY(Table1[[#This Row],[Transaction_Date]],2)</f>
        <v>6</v>
      </c>
      <c r="M1578">
        <f>IF(Table1[[#This Row],[Sale_Type]]="Buffet",1,0)</f>
        <v>0</v>
      </c>
    </row>
    <row r="1579" spans="1:13" x14ac:dyDescent="0.2">
      <c r="A1579" t="s">
        <v>1851</v>
      </c>
      <c r="B1579" t="s">
        <v>730</v>
      </c>
      <c r="C1579" s="1">
        <v>46004</v>
      </c>
      <c r="D1579" t="s">
        <v>127</v>
      </c>
      <c r="E1579" t="s">
        <v>14</v>
      </c>
      <c r="F1579" t="s">
        <v>31</v>
      </c>
      <c r="G1579" t="s">
        <v>16</v>
      </c>
      <c r="H1579">
        <v>1</v>
      </c>
      <c r="I1579">
        <v>21.48</v>
      </c>
      <c r="J1579" t="s">
        <v>17</v>
      </c>
      <c r="K1579" t="s">
        <v>18</v>
      </c>
      <c r="L1579">
        <f>WEEKDAY(Table1[[#This Row],[Transaction_Date]],2)</f>
        <v>6</v>
      </c>
      <c r="M1579">
        <f>IF(Table1[[#This Row],[Sale_Type]]="Buffet",1,0)</f>
        <v>0</v>
      </c>
    </row>
    <row r="1580" spans="1:13" x14ac:dyDescent="0.2">
      <c r="A1580" t="s">
        <v>1852</v>
      </c>
      <c r="B1580" t="s">
        <v>39</v>
      </c>
      <c r="C1580" s="1">
        <v>46004</v>
      </c>
      <c r="D1580" t="s">
        <v>127</v>
      </c>
      <c r="E1580" t="s">
        <v>14</v>
      </c>
      <c r="F1580" t="s">
        <v>31</v>
      </c>
      <c r="G1580" t="s">
        <v>16</v>
      </c>
      <c r="H1580">
        <v>2</v>
      </c>
      <c r="I1580">
        <v>51.77</v>
      </c>
      <c r="J1580" t="s">
        <v>17</v>
      </c>
      <c r="K1580" t="s">
        <v>21</v>
      </c>
      <c r="L1580">
        <f>WEEKDAY(Table1[[#This Row],[Transaction_Date]],2)</f>
        <v>6</v>
      </c>
      <c r="M1580">
        <f>IF(Table1[[#This Row],[Sale_Type]]="Buffet",1,0)</f>
        <v>0</v>
      </c>
    </row>
    <row r="1581" spans="1:13" x14ac:dyDescent="0.2">
      <c r="A1581" t="s">
        <v>1853</v>
      </c>
      <c r="B1581" t="s">
        <v>423</v>
      </c>
      <c r="C1581" s="1">
        <v>46004</v>
      </c>
      <c r="D1581" t="s">
        <v>127</v>
      </c>
      <c r="E1581" t="s">
        <v>14</v>
      </c>
      <c r="F1581" t="s">
        <v>31</v>
      </c>
      <c r="G1581" t="s">
        <v>16</v>
      </c>
      <c r="H1581">
        <v>4</v>
      </c>
      <c r="I1581">
        <v>95.42</v>
      </c>
      <c r="J1581" t="s">
        <v>34</v>
      </c>
      <c r="K1581" t="s">
        <v>18</v>
      </c>
      <c r="L1581">
        <f>WEEKDAY(Table1[[#This Row],[Transaction_Date]],2)</f>
        <v>6</v>
      </c>
      <c r="M1581">
        <f>IF(Table1[[#This Row],[Sale_Type]]="Buffet",1,0)</f>
        <v>0</v>
      </c>
    </row>
    <row r="1582" spans="1:13" x14ac:dyDescent="0.2">
      <c r="A1582" t="s">
        <v>1854</v>
      </c>
      <c r="B1582" t="s">
        <v>206</v>
      </c>
      <c r="C1582" s="1">
        <v>46004</v>
      </c>
      <c r="D1582" t="s">
        <v>127</v>
      </c>
      <c r="E1582" t="s">
        <v>14</v>
      </c>
      <c r="F1582" t="s">
        <v>31</v>
      </c>
      <c r="G1582" t="s">
        <v>16</v>
      </c>
      <c r="H1582">
        <v>2</v>
      </c>
      <c r="I1582">
        <v>45.35</v>
      </c>
      <c r="J1582" t="s">
        <v>34</v>
      </c>
      <c r="K1582" t="s">
        <v>21</v>
      </c>
      <c r="L1582">
        <f>WEEKDAY(Table1[[#This Row],[Transaction_Date]],2)</f>
        <v>6</v>
      </c>
      <c r="M1582">
        <f>IF(Table1[[#This Row],[Sale_Type]]="Buffet",1,0)</f>
        <v>0</v>
      </c>
    </row>
    <row r="1583" spans="1:13" x14ac:dyDescent="0.2">
      <c r="A1583" t="s">
        <v>1855</v>
      </c>
      <c r="B1583" t="s">
        <v>202</v>
      </c>
      <c r="C1583" s="1">
        <v>46004</v>
      </c>
      <c r="D1583" t="s">
        <v>127</v>
      </c>
      <c r="E1583" t="s">
        <v>14</v>
      </c>
      <c r="F1583" t="s">
        <v>31</v>
      </c>
      <c r="G1583" t="s">
        <v>16</v>
      </c>
      <c r="H1583">
        <v>7</v>
      </c>
      <c r="I1583">
        <v>104.27</v>
      </c>
      <c r="J1583" t="s">
        <v>28</v>
      </c>
      <c r="K1583" t="s">
        <v>18</v>
      </c>
      <c r="L1583">
        <f>WEEKDAY(Table1[[#This Row],[Transaction_Date]],2)</f>
        <v>6</v>
      </c>
      <c r="M1583">
        <f>IF(Table1[[#This Row],[Sale_Type]]="Buffet",1,0)</f>
        <v>0</v>
      </c>
    </row>
    <row r="1584" spans="1:13" x14ac:dyDescent="0.2">
      <c r="A1584" t="s">
        <v>1856</v>
      </c>
      <c r="B1584" t="s">
        <v>109</v>
      </c>
      <c r="C1584" s="1">
        <v>46004</v>
      </c>
      <c r="D1584" t="s">
        <v>127</v>
      </c>
      <c r="E1584" t="s">
        <v>14</v>
      </c>
      <c r="F1584" t="s">
        <v>40</v>
      </c>
      <c r="G1584" t="s">
        <v>16</v>
      </c>
      <c r="H1584">
        <v>1</v>
      </c>
      <c r="I1584">
        <v>19.899999999999999</v>
      </c>
      <c r="J1584" t="s">
        <v>34</v>
      </c>
      <c r="K1584" t="s">
        <v>18</v>
      </c>
      <c r="L1584">
        <f>WEEKDAY(Table1[[#This Row],[Transaction_Date]],2)</f>
        <v>6</v>
      </c>
      <c r="M1584">
        <f>IF(Table1[[#This Row],[Sale_Type]]="Buffet",1,0)</f>
        <v>0</v>
      </c>
    </row>
    <row r="1585" spans="1:13" x14ac:dyDescent="0.2">
      <c r="A1585" t="s">
        <v>1857</v>
      </c>
      <c r="B1585" t="s">
        <v>37</v>
      </c>
      <c r="C1585" s="1">
        <v>46004</v>
      </c>
      <c r="D1585" t="s">
        <v>127</v>
      </c>
      <c r="E1585" t="s">
        <v>14</v>
      </c>
      <c r="F1585" t="s">
        <v>40</v>
      </c>
      <c r="G1585" t="s">
        <v>16</v>
      </c>
      <c r="H1585">
        <v>4</v>
      </c>
      <c r="I1585">
        <v>138.38999999999999</v>
      </c>
      <c r="J1585" t="s">
        <v>17</v>
      </c>
      <c r="K1585" t="s">
        <v>21</v>
      </c>
      <c r="L1585">
        <f>WEEKDAY(Table1[[#This Row],[Transaction_Date]],2)</f>
        <v>6</v>
      </c>
      <c r="M1585">
        <f>IF(Table1[[#This Row],[Sale_Type]]="Buffet",1,0)</f>
        <v>0</v>
      </c>
    </row>
    <row r="1586" spans="1:13" x14ac:dyDescent="0.2">
      <c r="A1586" t="s">
        <v>1858</v>
      </c>
      <c r="B1586" t="s">
        <v>415</v>
      </c>
      <c r="C1586" s="1">
        <v>46004</v>
      </c>
      <c r="D1586" t="s">
        <v>127</v>
      </c>
      <c r="E1586" t="s">
        <v>14</v>
      </c>
      <c r="F1586" t="s">
        <v>40</v>
      </c>
      <c r="G1586" t="s">
        <v>16</v>
      </c>
      <c r="H1586">
        <v>3</v>
      </c>
      <c r="I1586">
        <v>61.49</v>
      </c>
      <c r="J1586" t="s">
        <v>17</v>
      </c>
      <c r="K1586" t="s">
        <v>18</v>
      </c>
      <c r="L1586">
        <f>WEEKDAY(Table1[[#This Row],[Transaction_Date]],2)</f>
        <v>6</v>
      </c>
      <c r="M1586">
        <f>IF(Table1[[#This Row],[Sale_Type]]="Buffet",1,0)</f>
        <v>0</v>
      </c>
    </row>
    <row r="1587" spans="1:13" x14ac:dyDescent="0.2">
      <c r="A1587" t="s">
        <v>1859</v>
      </c>
      <c r="B1587" t="s">
        <v>72</v>
      </c>
      <c r="C1587" s="1">
        <v>46004</v>
      </c>
      <c r="D1587" t="s">
        <v>127</v>
      </c>
      <c r="E1587" t="s">
        <v>14</v>
      </c>
      <c r="F1587" t="s">
        <v>40</v>
      </c>
      <c r="G1587" t="s">
        <v>16</v>
      </c>
      <c r="H1587">
        <v>2</v>
      </c>
      <c r="I1587">
        <v>49.45</v>
      </c>
      <c r="J1587" t="s">
        <v>34</v>
      </c>
      <c r="K1587" t="s">
        <v>21</v>
      </c>
      <c r="L1587">
        <f>WEEKDAY(Table1[[#This Row],[Transaction_Date]],2)</f>
        <v>6</v>
      </c>
      <c r="M1587">
        <f>IF(Table1[[#This Row],[Sale_Type]]="Buffet",1,0)</f>
        <v>0</v>
      </c>
    </row>
    <row r="1588" spans="1:13" x14ac:dyDescent="0.2">
      <c r="A1588" t="s">
        <v>1860</v>
      </c>
      <c r="B1588" t="s">
        <v>131</v>
      </c>
      <c r="C1588" s="1">
        <v>46004</v>
      </c>
      <c r="D1588" t="s">
        <v>127</v>
      </c>
      <c r="E1588" t="s">
        <v>14</v>
      </c>
      <c r="F1588" t="s">
        <v>40</v>
      </c>
      <c r="G1588" t="s">
        <v>16</v>
      </c>
      <c r="H1588">
        <v>1</v>
      </c>
      <c r="I1588">
        <v>35.85</v>
      </c>
      <c r="J1588" t="s">
        <v>17</v>
      </c>
      <c r="K1588" t="s">
        <v>18</v>
      </c>
      <c r="L1588">
        <f>WEEKDAY(Table1[[#This Row],[Transaction_Date]],2)</f>
        <v>6</v>
      </c>
      <c r="M1588">
        <f>IF(Table1[[#This Row],[Sale_Type]]="Buffet",1,0)</f>
        <v>0</v>
      </c>
    </row>
    <row r="1589" spans="1:13" x14ac:dyDescent="0.2">
      <c r="A1589" t="s">
        <v>1861</v>
      </c>
      <c r="B1589" t="s">
        <v>337</v>
      </c>
      <c r="C1589" s="1">
        <v>46004</v>
      </c>
      <c r="D1589" t="s">
        <v>127</v>
      </c>
      <c r="E1589" t="s">
        <v>43</v>
      </c>
      <c r="F1589" t="s">
        <v>44</v>
      </c>
      <c r="G1589" t="s">
        <v>16</v>
      </c>
      <c r="H1589">
        <v>5</v>
      </c>
      <c r="I1589">
        <v>85.46</v>
      </c>
      <c r="J1589" t="s">
        <v>28</v>
      </c>
      <c r="K1589" t="s">
        <v>18</v>
      </c>
      <c r="L1589">
        <f>WEEKDAY(Table1[[#This Row],[Transaction_Date]],2)</f>
        <v>6</v>
      </c>
      <c r="M1589">
        <f>IF(Table1[[#This Row],[Sale_Type]]="Buffet",1,0)</f>
        <v>0</v>
      </c>
    </row>
    <row r="1590" spans="1:13" x14ac:dyDescent="0.2">
      <c r="A1590" t="s">
        <v>1862</v>
      </c>
      <c r="B1590" t="s">
        <v>204</v>
      </c>
      <c r="C1590" s="1">
        <v>46004</v>
      </c>
      <c r="D1590" t="s">
        <v>127</v>
      </c>
      <c r="E1590" t="s">
        <v>43</v>
      </c>
      <c r="F1590" t="s">
        <v>44</v>
      </c>
      <c r="G1590" t="s">
        <v>16</v>
      </c>
      <c r="H1590">
        <v>7</v>
      </c>
      <c r="I1590">
        <v>65.03</v>
      </c>
      <c r="J1590" t="s">
        <v>17</v>
      </c>
      <c r="K1590" t="s">
        <v>18</v>
      </c>
      <c r="L1590">
        <f>WEEKDAY(Table1[[#This Row],[Transaction_Date]],2)</f>
        <v>6</v>
      </c>
      <c r="M1590">
        <f>IF(Table1[[#This Row],[Sale_Type]]="Buffet",1,0)</f>
        <v>0</v>
      </c>
    </row>
    <row r="1591" spans="1:13" x14ac:dyDescent="0.2">
      <c r="A1591" t="s">
        <v>1863</v>
      </c>
      <c r="B1591" t="s">
        <v>111</v>
      </c>
      <c r="C1591" s="1">
        <v>46004</v>
      </c>
      <c r="D1591" t="s">
        <v>127</v>
      </c>
      <c r="E1591" t="s">
        <v>43</v>
      </c>
      <c r="F1591" t="s">
        <v>50</v>
      </c>
      <c r="G1591" t="s">
        <v>16</v>
      </c>
      <c r="H1591">
        <v>2</v>
      </c>
      <c r="I1591">
        <v>36.24</v>
      </c>
      <c r="J1591" t="s">
        <v>34</v>
      </c>
      <c r="K1591" t="s">
        <v>18</v>
      </c>
      <c r="L1591">
        <f>WEEKDAY(Table1[[#This Row],[Transaction_Date]],2)</f>
        <v>6</v>
      </c>
      <c r="M1591">
        <f>IF(Table1[[#This Row],[Sale_Type]]="Buffet",1,0)</f>
        <v>0</v>
      </c>
    </row>
    <row r="1592" spans="1:13" x14ac:dyDescent="0.2">
      <c r="A1592" t="s">
        <v>1864</v>
      </c>
      <c r="B1592" t="s">
        <v>459</v>
      </c>
      <c r="C1592" s="1">
        <v>46004</v>
      </c>
      <c r="D1592" t="s">
        <v>127</v>
      </c>
      <c r="E1592" t="s">
        <v>43</v>
      </c>
      <c r="F1592" t="s">
        <v>50</v>
      </c>
      <c r="G1592" t="s">
        <v>16</v>
      </c>
      <c r="H1592">
        <v>1</v>
      </c>
      <c r="I1592">
        <v>15.82</v>
      </c>
      <c r="J1592" t="s">
        <v>17</v>
      </c>
      <c r="K1592" t="s">
        <v>18</v>
      </c>
      <c r="L1592">
        <f>WEEKDAY(Table1[[#This Row],[Transaction_Date]],2)</f>
        <v>6</v>
      </c>
      <c r="M1592">
        <f>IF(Table1[[#This Row],[Sale_Type]]="Buffet",1,0)</f>
        <v>0</v>
      </c>
    </row>
    <row r="1593" spans="1:13" x14ac:dyDescent="0.2">
      <c r="A1593" t="s">
        <v>1865</v>
      </c>
      <c r="B1593" t="s">
        <v>858</v>
      </c>
      <c r="C1593" s="1">
        <v>46005</v>
      </c>
      <c r="D1593" t="s">
        <v>171</v>
      </c>
      <c r="E1593" t="s">
        <v>14</v>
      </c>
      <c r="F1593" t="s">
        <v>15</v>
      </c>
      <c r="G1593" t="s">
        <v>16</v>
      </c>
      <c r="H1593">
        <v>2</v>
      </c>
      <c r="I1593">
        <v>49.02</v>
      </c>
      <c r="J1593" t="s">
        <v>34</v>
      </c>
      <c r="K1593" t="s">
        <v>18</v>
      </c>
      <c r="L1593">
        <f>WEEKDAY(Table1[[#This Row],[Transaction_Date]],2)</f>
        <v>7</v>
      </c>
      <c r="M1593">
        <f>IF(Table1[[#This Row],[Sale_Type]]="Buffet",1,0)</f>
        <v>0</v>
      </c>
    </row>
    <row r="1594" spans="1:13" x14ac:dyDescent="0.2">
      <c r="A1594" t="s">
        <v>1866</v>
      </c>
      <c r="B1594" t="s">
        <v>30</v>
      </c>
      <c r="C1594" s="1">
        <v>46005</v>
      </c>
      <c r="D1594" t="s">
        <v>171</v>
      </c>
      <c r="E1594" t="s">
        <v>14</v>
      </c>
      <c r="F1594" t="s">
        <v>15</v>
      </c>
      <c r="G1594" t="s">
        <v>16</v>
      </c>
      <c r="H1594">
        <v>3</v>
      </c>
      <c r="I1594">
        <v>91.16</v>
      </c>
      <c r="J1594" t="s">
        <v>17</v>
      </c>
      <c r="K1594" t="s">
        <v>18</v>
      </c>
      <c r="L1594">
        <f>WEEKDAY(Table1[[#This Row],[Transaction_Date]],2)</f>
        <v>7</v>
      </c>
      <c r="M1594">
        <f>IF(Table1[[#This Row],[Sale_Type]]="Buffet",1,0)</f>
        <v>0</v>
      </c>
    </row>
    <row r="1595" spans="1:13" x14ac:dyDescent="0.2">
      <c r="A1595" t="s">
        <v>1867</v>
      </c>
      <c r="B1595" t="s">
        <v>288</v>
      </c>
      <c r="C1595" s="1">
        <v>46005</v>
      </c>
      <c r="D1595" t="s">
        <v>171</v>
      </c>
      <c r="E1595" t="s">
        <v>14</v>
      </c>
      <c r="F1595" t="s">
        <v>15</v>
      </c>
      <c r="G1595" t="s">
        <v>16</v>
      </c>
      <c r="H1595">
        <v>4</v>
      </c>
      <c r="I1595">
        <v>67.27</v>
      </c>
      <c r="J1595" t="s">
        <v>17</v>
      </c>
      <c r="K1595" t="s">
        <v>18</v>
      </c>
      <c r="L1595">
        <f>WEEKDAY(Table1[[#This Row],[Transaction_Date]],2)</f>
        <v>7</v>
      </c>
      <c r="M1595">
        <f>IF(Table1[[#This Row],[Sale_Type]]="Buffet",1,0)</f>
        <v>0</v>
      </c>
    </row>
    <row r="1596" spans="1:13" x14ac:dyDescent="0.2">
      <c r="A1596" t="s">
        <v>1868</v>
      </c>
      <c r="B1596" t="s">
        <v>429</v>
      </c>
      <c r="C1596" s="1">
        <v>46005</v>
      </c>
      <c r="D1596" t="s">
        <v>171</v>
      </c>
      <c r="E1596" t="s">
        <v>14</v>
      </c>
      <c r="F1596" t="s">
        <v>24</v>
      </c>
      <c r="G1596" t="s">
        <v>16</v>
      </c>
      <c r="H1596">
        <v>4</v>
      </c>
      <c r="I1596">
        <v>224.1</v>
      </c>
      <c r="J1596" t="s">
        <v>17</v>
      </c>
      <c r="K1596" t="s">
        <v>21</v>
      </c>
      <c r="L1596">
        <f>WEEKDAY(Table1[[#This Row],[Transaction_Date]],2)</f>
        <v>7</v>
      </c>
      <c r="M1596">
        <f>IF(Table1[[#This Row],[Sale_Type]]="Buffet",1,0)</f>
        <v>0</v>
      </c>
    </row>
    <row r="1597" spans="1:13" x14ac:dyDescent="0.2">
      <c r="A1597" t="s">
        <v>1869</v>
      </c>
      <c r="B1597" t="s">
        <v>1082</v>
      </c>
      <c r="C1597" s="1">
        <v>46005</v>
      </c>
      <c r="D1597" t="s">
        <v>171</v>
      </c>
      <c r="E1597" t="s">
        <v>14</v>
      </c>
      <c r="F1597" t="s">
        <v>24</v>
      </c>
      <c r="G1597" t="s">
        <v>16</v>
      </c>
      <c r="H1597">
        <v>5</v>
      </c>
      <c r="I1597">
        <v>102.15</v>
      </c>
      <c r="J1597" t="s">
        <v>34</v>
      </c>
      <c r="K1597" t="s">
        <v>18</v>
      </c>
      <c r="L1597">
        <f>WEEKDAY(Table1[[#This Row],[Transaction_Date]],2)</f>
        <v>7</v>
      </c>
      <c r="M1597">
        <f>IF(Table1[[#This Row],[Sale_Type]]="Buffet",1,0)</f>
        <v>0</v>
      </c>
    </row>
    <row r="1598" spans="1:13" x14ac:dyDescent="0.2">
      <c r="A1598" t="s">
        <v>1870</v>
      </c>
      <c r="B1598" t="s">
        <v>192</v>
      </c>
      <c r="C1598" s="1">
        <v>46005</v>
      </c>
      <c r="D1598" t="s">
        <v>171</v>
      </c>
      <c r="E1598" t="s">
        <v>14</v>
      </c>
      <c r="F1598" t="s">
        <v>24</v>
      </c>
      <c r="G1598" t="s">
        <v>16</v>
      </c>
      <c r="H1598">
        <v>3</v>
      </c>
      <c r="I1598">
        <v>100.15</v>
      </c>
      <c r="J1598" t="s">
        <v>28</v>
      </c>
      <c r="K1598" t="s">
        <v>18</v>
      </c>
      <c r="L1598">
        <f>WEEKDAY(Table1[[#This Row],[Transaction_Date]],2)</f>
        <v>7</v>
      </c>
      <c r="M1598">
        <f>IF(Table1[[#This Row],[Sale_Type]]="Buffet",1,0)</f>
        <v>0</v>
      </c>
    </row>
    <row r="1599" spans="1:13" x14ac:dyDescent="0.2">
      <c r="A1599" t="s">
        <v>1871</v>
      </c>
      <c r="B1599" t="s">
        <v>945</v>
      </c>
      <c r="C1599" s="1">
        <v>46005</v>
      </c>
      <c r="D1599" t="s">
        <v>171</v>
      </c>
      <c r="E1599" t="s">
        <v>14</v>
      </c>
      <c r="F1599" t="s">
        <v>27</v>
      </c>
      <c r="G1599" t="s">
        <v>16</v>
      </c>
      <c r="H1599">
        <v>3</v>
      </c>
      <c r="I1599">
        <v>91.66</v>
      </c>
      <c r="J1599" t="s">
        <v>34</v>
      </c>
      <c r="K1599" t="s">
        <v>18</v>
      </c>
      <c r="L1599">
        <f>WEEKDAY(Table1[[#This Row],[Transaction_Date]],2)</f>
        <v>7</v>
      </c>
      <c r="M1599">
        <f>IF(Table1[[#This Row],[Sale_Type]]="Buffet",1,0)</f>
        <v>0</v>
      </c>
    </row>
    <row r="1600" spans="1:13" x14ac:dyDescent="0.2">
      <c r="A1600" t="s">
        <v>1872</v>
      </c>
      <c r="B1600" t="s">
        <v>998</v>
      </c>
      <c r="C1600" s="1">
        <v>46005</v>
      </c>
      <c r="D1600" t="s">
        <v>171</v>
      </c>
      <c r="E1600" t="s">
        <v>14</v>
      </c>
      <c r="F1600" t="s">
        <v>31</v>
      </c>
      <c r="G1600" t="s">
        <v>16</v>
      </c>
      <c r="H1600">
        <v>4</v>
      </c>
      <c r="I1600">
        <v>97.76</v>
      </c>
      <c r="J1600" t="s">
        <v>17</v>
      </c>
      <c r="K1600" t="s">
        <v>21</v>
      </c>
      <c r="L1600">
        <f>WEEKDAY(Table1[[#This Row],[Transaction_Date]],2)</f>
        <v>7</v>
      </c>
      <c r="M1600">
        <f>IF(Table1[[#This Row],[Sale_Type]]="Buffet",1,0)</f>
        <v>0</v>
      </c>
    </row>
    <row r="1601" spans="1:13" x14ac:dyDescent="0.2">
      <c r="A1601" t="s">
        <v>1873</v>
      </c>
      <c r="B1601" t="s">
        <v>755</v>
      </c>
      <c r="C1601" s="1">
        <v>46005</v>
      </c>
      <c r="D1601" t="s">
        <v>171</v>
      </c>
      <c r="E1601" t="s">
        <v>14</v>
      </c>
      <c r="F1601" t="s">
        <v>31</v>
      </c>
      <c r="G1601" t="s">
        <v>16</v>
      </c>
      <c r="H1601">
        <v>2</v>
      </c>
      <c r="I1601">
        <v>37.67</v>
      </c>
      <c r="J1601" t="s">
        <v>17</v>
      </c>
      <c r="K1601" t="s">
        <v>18</v>
      </c>
      <c r="L1601">
        <f>WEEKDAY(Table1[[#This Row],[Transaction_Date]],2)</f>
        <v>7</v>
      </c>
      <c r="M1601">
        <f>IF(Table1[[#This Row],[Sale_Type]]="Buffet",1,0)</f>
        <v>0</v>
      </c>
    </row>
    <row r="1602" spans="1:13" x14ac:dyDescent="0.2">
      <c r="A1602" t="s">
        <v>1874</v>
      </c>
      <c r="B1602" t="s">
        <v>202</v>
      </c>
      <c r="C1602" s="1">
        <v>46005</v>
      </c>
      <c r="D1602" t="s">
        <v>171</v>
      </c>
      <c r="E1602" t="s">
        <v>14</v>
      </c>
      <c r="F1602" t="s">
        <v>40</v>
      </c>
      <c r="G1602" t="s">
        <v>16</v>
      </c>
      <c r="H1602">
        <v>3</v>
      </c>
      <c r="I1602">
        <v>64.099999999999994</v>
      </c>
      <c r="J1602" t="s">
        <v>17</v>
      </c>
      <c r="K1602" t="s">
        <v>18</v>
      </c>
      <c r="L1602">
        <f>WEEKDAY(Table1[[#This Row],[Transaction_Date]],2)</f>
        <v>7</v>
      </c>
      <c r="M1602">
        <f>IF(Table1[[#This Row],[Sale_Type]]="Buffet",1,0)</f>
        <v>0</v>
      </c>
    </row>
    <row r="1603" spans="1:13" x14ac:dyDescent="0.2">
      <c r="A1603" t="s">
        <v>1875</v>
      </c>
      <c r="B1603" t="s">
        <v>647</v>
      </c>
      <c r="C1603" s="1">
        <v>46005</v>
      </c>
      <c r="D1603" t="s">
        <v>171</v>
      </c>
      <c r="E1603" t="s">
        <v>14</v>
      </c>
      <c r="F1603" t="s">
        <v>40</v>
      </c>
      <c r="G1603" t="s">
        <v>16</v>
      </c>
      <c r="H1603">
        <v>6</v>
      </c>
      <c r="I1603">
        <v>138.75</v>
      </c>
      <c r="J1603" t="s">
        <v>17</v>
      </c>
      <c r="K1603" t="s">
        <v>21</v>
      </c>
      <c r="L1603">
        <f>WEEKDAY(Table1[[#This Row],[Transaction_Date]],2)</f>
        <v>7</v>
      </c>
      <c r="M1603">
        <f>IF(Table1[[#This Row],[Sale_Type]]="Buffet",1,0)</f>
        <v>0</v>
      </c>
    </row>
    <row r="1604" spans="1:13" x14ac:dyDescent="0.2">
      <c r="A1604" t="s">
        <v>1876</v>
      </c>
      <c r="B1604" t="s">
        <v>68</v>
      </c>
      <c r="C1604" s="1">
        <v>46005</v>
      </c>
      <c r="D1604" t="s">
        <v>171</v>
      </c>
      <c r="E1604" t="s">
        <v>14</v>
      </c>
      <c r="F1604" t="s">
        <v>40</v>
      </c>
      <c r="G1604" t="s">
        <v>16</v>
      </c>
      <c r="H1604">
        <v>3</v>
      </c>
      <c r="I1604">
        <v>124.4</v>
      </c>
      <c r="J1604" t="s">
        <v>34</v>
      </c>
      <c r="K1604" t="s">
        <v>18</v>
      </c>
      <c r="L1604">
        <f>WEEKDAY(Table1[[#This Row],[Transaction_Date]],2)</f>
        <v>7</v>
      </c>
      <c r="M1604">
        <f>IF(Table1[[#This Row],[Sale_Type]]="Buffet",1,0)</f>
        <v>0</v>
      </c>
    </row>
    <row r="1605" spans="1:13" x14ac:dyDescent="0.2">
      <c r="A1605" t="s">
        <v>1877</v>
      </c>
      <c r="B1605" t="s">
        <v>262</v>
      </c>
      <c r="C1605" s="1">
        <v>46005</v>
      </c>
      <c r="D1605" t="s">
        <v>171</v>
      </c>
      <c r="E1605" t="s">
        <v>14</v>
      </c>
      <c r="F1605" t="s">
        <v>40</v>
      </c>
      <c r="G1605" t="s">
        <v>16</v>
      </c>
      <c r="H1605">
        <v>4</v>
      </c>
      <c r="I1605">
        <v>113.34</v>
      </c>
      <c r="J1605" t="s">
        <v>28</v>
      </c>
      <c r="K1605" t="s">
        <v>18</v>
      </c>
      <c r="L1605">
        <f>WEEKDAY(Table1[[#This Row],[Transaction_Date]],2)</f>
        <v>7</v>
      </c>
      <c r="M1605">
        <f>IF(Table1[[#This Row],[Sale_Type]]="Buffet",1,0)</f>
        <v>0</v>
      </c>
    </row>
    <row r="1606" spans="1:13" x14ac:dyDescent="0.2">
      <c r="A1606" t="s">
        <v>1878</v>
      </c>
      <c r="B1606" t="s">
        <v>182</v>
      </c>
      <c r="C1606" s="1">
        <v>46005</v>
      </c>
      <c r="D1606" t="s">
        <v>171</v>
      </c>
      <c r="E1606" t="s">
        <v>14</v>
      </c>
      <c r="F1606" t="s">
        <v>40</v>
      </c>
      <c r="G1606" t="s">
        <v>16</v>
      </c>
      <c r="H1606">
        <v>6</v>
      </c>
      <c r="I1606">
        <v>316.16000000000003</v>
      </c>
      <c r="J1606" t="s">
        <v>17</v>
      </c>
      <c r="K1606" t="s">
        <v>18</v>
      </c>
      <c r="L1606">
        <f>WEEKDAY(Table1[[#This Row],[Transaction_Date]],2)</f>
        <v>7</v>
      </c>
      <c r="M1606">
        <f>IF(Table1[[#This Row],[Sale_Type]]="Buffet",1,0)</f>
        <v>0</v>
      </c>
    </row>
    <row r="1607" spans="1:13" x14ac:dyDescent="0.2">
      <c r="A1607" t="s">
        <v>1879</v>
      </c>
      <c r="B1607" t="s">
        <v>1880</v>
      </c>
      <c r="C1607" s="1">
        <v>46005</v>
      </c>
      <c r="D1607" t="s">
        <v>171</v>
      </c>
      <c r="E1607" t="s">
        <v>14</v>
      </c>
      <c r="F1607" t="s">
        <v>40</v>
      </c>
      <c r="G1607" t="s">
        <v>16</v>
      </c>
      <c r="H1607">
        <v>3</v>
      </c>
      <c r="I1607">
        <v>80.150000000000006</v>
      </c>
      <c r="J1607" t="s">
        <v>17</v>
      </c>
      <c r="K1607" t="s">
        <v>18</v>
      </c>
      <c r="L1607">
        <f>WEEKDAY(Table1[[#This Row],[Transaction_Date]],2)</f>
        <v>7</v>
      </c>
      <c r="M1607">
        <f>IF(Table1[[#This Row],[Sale_Type]]="Buffet",1,0)</f>
        <v>0</v>
      </c>
    </row>
    <row r="1608" spans="1:13" x14ac:dyDescent="0.2">
      <c r="A1608" t="s">
        <v>1881</v>
      </c>
      <c r="B1608" t="s">
        <v>755</v>
      </c>
      <c r="C1608" s="1">
        <v>46005</v>
      </c>
      <c r="D1608" t="s">
        <v>171</v>
      </c>
      <c r="E1608" t="s">
        <v>14</v>
      </c>
      <c r="F1608" t="s">
        <v>40</v>
      </c>
      <c r="G1608" t="s">
        <v>16</v>
      </c>
      <c r="H1608">
        <v>4</v>
      </c>
      <c r="I1608">
        <v>95.8</v>
      </c>
      <c r="J1608" t="s">
        <v>34</v>
      </c>
      <c r="K1608" t="s">
        <v>18</v>
      </c>
      <c r="L1608">
        <f>WEEKDAY(Table1[[#This Row],[Transaction_Date]],2)</f>
        <v>7</v>
      </c>
      <c r="M1608">
        <f>IF(Table1[[#This Row],[Sale_Type]]="Buffet",1,0)</f>
        <v>0</v>
      </c>
    </row>
    <row r="1609" spans="1:13" x14ac:dyDescent="0.2">
      <c r="A1609" t="s">
        <v>1882</v>
      </c>
      <c r="B1609" t="s">
        <v>95</v>
      </c>
      <c r="C1609" s="1">
        <v>46005</v>
      </c>
      <c r="D1609" t="s">
        <v>171</v>
      </c>
      <c r="E1609" t="s">
        <v>43</v>
      </c>
      <c r="F1609" t="s">
        <v>44</v>
      </c>
      <c r="G1609" t="s">
        <v>16</v>
      </c>
      <c r="H1609">
        <v>4</v>
      </c>
      <c r="I1609">
        <v>69.66</v>
      </c>
      <c r="J1609" t="s">
        <v>17</v>
      </c>
      <c r="K1609" t="s">
        <v>18</v>
      </c>
      <c r="L1609">
        <f>WEEKDAY(Table1[[#This Row],[Transaction_Date]],2)</f>
        <v>7</v>
      </c>
      <c r="M1609">
        <f>IF(Table1[[#This Row],[Sale_Type]]="Buffet",1,0)</f>
        <v>0</v>
      </c>
    </row>
    <row r="1610" spans="1:13" x14ac:dyDescent="0.2">
      <c r="A1610" t="s">
        <v>1883</v>
      </c>
      <c r="B1610" t="s">
        <v>459</v>
      </c>
      <c r="C1610" s="1">
        <v>46005</v>
      </c>
      <c r="D1610" t="s">
        <v>171</v>
      </c>
      <c r="E1610" t="s">
        <v>43</v>
      </c>
      <c r="F1610" t="s">
        <v>50</v>
      </c>
      <c r="G1610" t="s">
        <v>16</v>
      </c>
      <c r="H1610">
        <v>3</v>
      </c>
      <c r="I1610">
        <v>51.21</v>
      </c>
      <c r="J1610" t="s">
        <v>17</v>
      </c>
      <c r="K1610" t="s">
        <v>18</v>
      </c>
      <c r="L1610">
        <f>WEEKDAY(Table1[[#This Row],[Transaction_Date]],2)</f>
        <v>7</v>
      </c>
      <c r="M1610">
        <f>IF(Table1[[#This Row],[Sale_Type]]="Buffet",1,0)</f>
        <v>0</v>
      </c>
    </row>
    <row r="1611" spans="1:13" x14ac:dyDescent="0.2">
      <c r="A1611" t="s">
        <v>1884</v>
      </c>
      <c r="B1611" t="s">
        <v>527</v>
      </c>
      <c r="C1611" s="1">
        <v>46005</v>
      </c>
      <c r="D1611" t="s">
        <v>171</v>
      </c>
      <c r="E1611" t="s">
        <v>43</v>
      </c>
      <c r="F1611" t="s">
        <v>53</v>
      </c>
      <c r="G1611" t="s">
        <v>16</v>
      </c>
      <c r="H1611">
        <v>4</v>
      </c>
      <c r="I1611">
        <v>148.85</v>
      </c>
      <c r="J1611" t="s">
        <v>28</v>
      </c>
      <c r="K1611" t="s">
        <v>18</v>
      </c>
      <c r="L1611">
        <f>WEEKDAY(Table1[[#This Row],[Transaction_Date]],2)</f>
        <v>7</v>
      </c>
      <c r="M1611">
        <f>IF(Table1[[#This Row],[Sale_Type]]="Buffet",1,0)</f>
        <v>0</v>
      </c>
    </row>
    <row r="1612" spans="1:13" x14ac:dyDescent="0.2">
      <c r="A1612" t="s">
        <v>1885</v>
      </c>
      <c r="B1612" t="s">
        <v>438</v>
      </c>
      <c r="C1612" s="1">
        <v>46005</v>
      </c>
      <c r="D1612" t="s">
        <v>171</v>
      </c>
      <c r="E1612" t="s">
        <v>43</v>
      </c>
      <c r="F1612" t="s">
        <v>57</v>
      </c>
      <c r="G1612" t="s">
        <v>16</v>
      </c>
      <c r="H1612">
        <v>2</v>
      </c>
      <c r="I1612">
        <v>32.07</v>
      </c>
      <c r="J1612" t="s">
        <v>28</v>
      </c>
      <c r="K1612" t="s">
        <v>18</v>
      </c>
      <c r="L1612">
        <f>WEEKDAY(Table1[[#This Row],[Transaction_Date]],2)</f>
        <v>7</v>
      </c>
      <c r="M1612">
        <f>IF(Table1[[#This Row],[Sale_Type]]="Buffet",1,0)</f>
        <v>0</v>
      </c>
    </row>
    <row r="1613" spans="1:13" x14ac:dyDescent="0.2">
      <c r="A1613" t="s">
        <v>1886</v>
      </c>
      <c r="B1613" t="s">
        <v>66</v>
      </c>
      <c r="C1613" s="1">
        <v>46006</v>
      </c>
      <c r="D1613" t="s">
        <v>213</v>
      </c>
      <c r="E1613" t="s">
        <v>14</v>
      </c>
      <c r="F1613" t="s">
        <v>15</v>
      </c>
      <c r="G1613" t="s">
        <v>16</v>
      </c>
      <c r="H1613">
        <v>1</v>
      </c>
      <c r="I1613">
        <v>43.64</v>
      </c>
      <c r="J1613" t="s">
        <v>34</v>
      </c>
      <c r="K1613" t="s">
        <v>21</v>
      </c>
      <c r="L1613">
        <f>WEEKDAY(Table1[[#This Row],[Transaction_Date]],2)</f>
        <v>1</v>
      </c>
      <c r="M1613">
        <f>IF(Table1[[#This Row],[Sale_Type]]="Buffet",1,0)</f>
        <v>0</v>
      </c>
    </row>
    <row r="1614" spans="1:13" x14ac:dyDescent="0.2">
      <c r="A1614" t="s">
        <v>1887</v>
      </c>
      <c r="B1614" t="s">
        <v>996</v>
      </c>
      <c r="C1614" s="1">
        <v>46006</v>
      </c>
      <c r="D1614" t="s">
        <v>213</v>
      </c>
      <c r="E1614" t="s">
        <v>14</v>
      </c>
      <c r="F1614" t="s">
        <v>24</v>
      </c>
      <c r="G1614" t="s">
        <v>16</v>
      </c>
      <c r="H1614">
        <v>1</v>
      </c>
      <c r="I1614">
        <v>19.510000000000002</v>
      </c>
      <c r="J1614" t="s">
        <v>34</v>
      </c>
      <c r="K1614" t="s">
        <v>18</v>
      </c>
      <c r="L1614">
        <f>WEEKDAY(Table1[[#This Row],[Transaction_Date]],2)</f>
        <v>1</v>
      </c>
      <c r="M1614">
        <f>IF(Table1[[#This Row],[Sale_Type]]="Buffet",1,0)</f>
        <v>0</v>
      </c>
    </row>
    <row r="1615" spans="1:13" x14ac:dyDescent="0.2">
      <c r="A1615" t="s">
        <v>1888</v>
      </c>
      <c r="B1615" t="s">
        <v>313</v>
      </c>
      <c r="C1615" s="1">
        <v>46006</v>
      </c>
      <c r="D1615" t="s">
        <v>213</v>
      </c>
      <c r="E1615" t="s">
        <v>14</v>
      </c>
      <c r="F1615" t="s">
        <v>24</v>
      </c>
      <c r="G1615" t="s">
        <v>16</v>
      </c>
      <c r="H1615">
        <v>1</v>
      </c>
      <c r="I1615">
        <v>14.95</v>
      </c>
      <c r="J1615" t="s">
        <v>17</v>
      </c>
      <c r="K1615" t="s">
        <v>18</v>
      </c>
      <c r="L1615">
        <f>WEEKDAY(Table1[[#This Row],[Transaction_Date]],2)</f>
        <v>1</v>
      </c>
      <c r="M1615">
        <f>IF(Table1[[#This Row],[Sale_Type]]="Buffet",1,0)</f>
        <v>0</v>
      </c>
    </row>
    <row r="1616" spans="1:13" x14ac:dyDescent="0.2">
      <c r="A1616" t="s">
        <v>1889</v>
      </c>
      <c r="B1616" t="s">
        <v>122</v>
      </c>
      <c r="C1616" s="1">
        <v>46006</v>
      </c>
      <c r="D1616" t="s">
        <v>213</v>
      </c>
      <c r="E1616" t="s">
        <v>14</v>
      </c>
      <c r="F1616" t="s">
        <v>24</v>
      </c>
      <c r="G1616" t="s">
        <v>16</v>
      </c>
      <c r="H1616">
        <v>4</v>
      </c>
      <c r="I1616">
        <v>120.1</v>
      </c>
      <c r="J1616" t="s">
        <v>17</v>
      </c>
      <c r="K1616" t="s">
        <v>18</v>
      </c>
      <c r="L1616">
        <f>WEEKDAY(Table1[[#This Row],[Transaction_Date]],2)</f>
        <v>1</v>
      </c>
      <c r="M1616">
        <f>IF(Table1[[#This Row],[Sale_Type]]="Buffet",1,0)</f>
        <v>0</v>
      </c>
    </row>
    <row r="1617" spans="1:13" x14ac:dyDescent="0.2">
      <c r="A1617" t="s">
        <v>1890</v>
      </c>
      <c r="B1617" t="s">
        <v>495</v>
      </c>
      <c r="C1617" s="1">
        <v>46006</v>
      </c>
      <c r="D1617" t="s">
        <v>213</v>
      </c>
      <c r="E1617" t="s">
        <v>14</v>
      </c>
      <c r="F1617" t="s">
        <v>24</v>
      </c>
      <c r="G1617" t="s">
        <v>16</v>
      </c>
      <c r="H1617">
        <v>3</v>
      </c>
      <c r="I1617">
        <v>54.57</v>
      </c>
      <c r="J1617" t="s">
        <v>17</v>
      </c>
      <c r="K1617" t="s">
        <v>18</v>
      </c>
      <c r="L1617">
        <f>WEEKDAY(Table1[[#This Row],[Transaction_Date]],2)</f>
        <v>1</v>
      </c>
      <c r="M1617">
        <f>IF(Table1[[#This Row],[Sale_Type]]="Buffet",1,0)</f>
        <v>0</v>
      </c>
    </row>
    <row r="1618" spans="1:13" x14ac:dyDescent="0.2">
      <c r="A1618" t="s">
        <v>1891</v>
      </c>
      <c r="B1618" t="s">
        <v>23</v>
      </c>
      <c r="C1618" s="1">
        <v>46006</v>
      </c>
      <c r="D1618" t="s">
        <v>213</v>
      </c>
      <c r="E1618" t="s">
        <v>14</v>
      </c>
      <c r="F1618" t="s">
        <v>24</v>
      </c>
      <c r="G1618" t="s">
        <v>16</v>
      </c>
      <c r="H1618">
        <v>1</v>
      </c>
      <c r="I1618">
        <v>33.380000000000003</v>
      </c>
      <c r="J1618" t="s">
        <v>17</v>
      </c>
      <c r="K1618" t="s">
        <v>21</v>
      </c>
      <c r="L1618">
        <f>WEEKDAY(Table1[[#This Row],[Transaction_Date]],2)</f>
        <v>1</v>
      </c>
      <c r="M1618">
        <f>IF(Table1[[#This Row],[Sale_Type]]="Buffet",1,0)</f>
        <v>0</v>
      </c>
    </row>
    <row r="1619" spans="1:13" x14ac:dyDescent="0.2">
      <c r="A1619" t="s">
        <v>1892</v>
      </c>
      <c r="B1619" t="s">
        <v>381</v>
      </c>
      <c r="C1619" s="1">
        <v>46006</v>
      </c>
      <c r="D1619" t="s">
        <v>213</v>
      </c>
      <c r="E1619" t="s">
        <v>14</v>
      </c>
      <c r="F1619" t="s">
        <v>24</v>
      </c>
      <c r="G1619" t="s">
        <v>16</v>
      </c>
      <c r="H1619">
        <v>6</v>
      </c>
      <c r="I1619">
        <v>153.96</v>
      </c>
      <c r="J1619" t="s">
        <v>34</v>
      </c>
      <c r="K1619" t="s">
        <v>21</v>
      </c>
      <c r="L1619">
        <f>WEEKDAY(Table1[[#This Row],[Transaction_Date]],2)</f>
        <v>1</v>
      </c>
      <c r="M1619">
        <f>IF(Table1[[#This Row],[Sale_Type]]="Buffet",1,0)</f>
        <v>0</v>
      </c>
    </row>
    <row r="1620" spans="1:13" x14ac:dyDescent="0.2">
      <c r="A1620" t="s">
        <v>1893</v>
      </c>
      <c r="B1620" t="s">
        <v>1077</v>
      </c>
      <c r="C1620" s="1">
        <v>46006</v>
      </c>
      <c r="D1620" t="s">
        <v>213</v>
      </c>
      <c r="E1620" t="s">
        <v>14</v>
      </c>
      <c r="F1620" t="s">
        <v>27</v>
      </c>
      <c r="G1620" t="s">
        <v>16</v>
      </c>
      <c r="H1620">
        <v>3</v>
      </c>
      <c r="I1620">
        <v>72.94</v>
      </c>
      <c r="J1620" t="s">
        <v>17</v>
      </c>
      <c r="K1620" t="s">
        <v>18</v>
      </c>
      <c r="L1620">
        <f>WEEKDAY(Table1[[#This Row],[Transaction_Date]],2)</f>
        <v>1</v>
      </c>
      <c r="M1620">
        <f>IF(Table1[[#This Row],[Sale_Type]]="Buffet",1,0)</f>
        <v>0</v>
      </c>
    </row>
    <row r="1621" spans="1:13" x14ac:dyDescent="0.2">
      <c r="A1621" t="s">
        <v>1894</v>
      </c>
      <c r="B1621" t="s">
        <v>211</v>
      </c>
      <c r="C1621" s="1">
        <v>46006</v>
      </c>
      <c r="D1621" t="s">
        <v>213</v>
      </c>
      <c r="E1621" t="s">
        <v>14</v>
      </c>
      <c r="F1621" t="s">
        <v>27</v>
      </c>
      <c r="G1621" t="s">
        <v>16</v>
      </c>
      <c r="H1621">
        <v>5</v>
      </c>
      <c r="I1621">
        <v>132.13999999999999</v>
      </c>
      <c r="J1621" t="s">
        <v>17</v>
      </c>
      <c r="K1621" t="s">
        <v>18</v>
      </c>
      <c r="L1621">
        <f>WEEKDAY(Table1[[#This Row],[Transaction_Date]],2)</f>
        <v>1</v>
      </c>
      <c r="M1621">
        <f>IF(Table1[[#This Row],[Sale_Type]]="Buffet",1,0)</f>
        <v>0</v>
      </c>
    </row>
    <row r="1622" spans="1:13" x14ac:dyDescent="0.2">
      <c r="A1622" t="s">
        <v>1895</v>
      </c>
      <c r="B1622" t="s">
        <v>98</v>
      </c>
      <c r="C1622" s="1">
        <v>46006</v>
      </c>
      <c r="D1622" t="s">
        <v>213</v>
      </c>
      <c r="E1622" t="s">
        <v>14</v>
      </c>
      <c r="F1622" t="s">
        <v>31</v>
      </c>
      <c r="G1622" t="s">
        <v>16</v>
      </c>
      <c r="H1622">
        <v>1</v>
      </c>
      <c r="I1622">
        <v>13.4</v>
      </c>
      <c r="J1622" t="s">
        <v>17</v>
      </c>
      <c r="K1622" t="s">
        <v>21</v>
      </c>
      <c r="L1622">
        <f>WEEKDAY(Table1[[#This Row],[Transaction_Date]],2)</f>
        <v>1</v>
      </c>
      <c r="M1622">
        <f>IF(Table1[[#This Row],[Sale_Type]]="Buffet",1,0)</f>
        <v>0</v>
      </c>
    </row>
    <row r="1623" spans="1:13" x14ac:dyDescent="0.2">
      <c r="A1623" t="s">
        <v>1896</v>
      </c>
      <c r="B1623" t="s">
        <v>351</v>
      </c>
      <c r="C1623" s="1">
        <v>46006</v>
      </c>
      <c r="D1623" t="s">
        <v>213</v>
      </c>
      <c r="E1623" t="s">
        <v>14</v>
      </c>
      <c r="F1623" t="s">
        <v>31</v>
      </c>
      <c r="G1623" t="s">
        <v>16</v>
      </c>
      <c r="H1623">
        <v>3</v>
      </c>
      <c r="I1623">
        <v>82.84</v>
      </c>
      <c r="J1623" t="s">
        <v>17</v>
      </c>
      <c r="K1623" t="s">
        <v>18</v>
      </c>
      <c r="L1623">
        <f>WEEKDAY(Table1[[#This Row],[Transaction_Date]],2)</f>
        <v>1</v>
      </c>
      <c r="M1623">
        <f>IF(Table1[[#This Row],[Sale_Type]]="Buffet",1,0)</f>
        <v>0</v>
      </c>
    </row>
    <row r="1624" spans="1:13" x14ac:dyDescent="0.2">
      <c r="A1624" t="s">
        <v>1897</v>
      </c>
      <c r="B1624" t="s">
        <v>188</v>
      </c>
      <c r="C1624" s="1">
        <v>46006</v>
      </c>
      <c r="D1624" t="s">
        <v>213</v>
      </c>
      <c r="E1624" t="s">
        <v>14</v>
      </c>
      <c r="F1624" t="s">
        <v>40</v>
      </c>
      <c r="G1624" t="s">
        <v>16</v>
      </c>
      <c r="H1624">
        <v>5</v>
      </c>
      <c r="I1624">
        <v>110.77</v>
      </c>
      <c r="J1624" t="s">
        <v>17</v>
      </c>
      <c r="K1624" t="s">
        <v>18</v>
      </c>
      <c r="L1624">
        <f>WEEKDAY(Table1[[#This Row],[Transaction_Date]],2)</f>
        <v>1</v>
      </c>
      <c r="M1624">
        <f>IF(Table1[[#This Row],[Sale_Type]]="Buffet",1,0)</f>
        <v>0</v>
      </c>
    </row>
    <row r="1625" spans="1:13" x14ac:dyDescent="0.2">
      <c r="A1625" t="s">
        <v>1898</v>
      </c>
      <c r="B1625" t="s">
        <v>1017</v>
      </c>
      <c r="C1625" s="1">
        <v>46006</v>
      </c>
      <c r="D1625" t="s">
        <v>213</v>
      </c>
      <c r="E1625" t="s">
        <v>14</v>
      </c>
      <c r="F1625" t="s">
        <v>40</v>
      </c>
      <c r="G1625" t="s">
        <v>16</v>
      </c>
      <c r="H1625">
        <v>1</v>
      </c>
      <c r="I1625">
        <v>36.85</v>
      </c>
      <c r="J1625" t="s">
        <v>34</v>
      </c>
      <c r="K1625" t="s">
        <v>18</v>
      </c>
      <c r="L1625">
        <f>WEEKDAY(Table1[[#This Row],[Transaction_Date]],2)</f>
        <v>1</v>
      </c>
      <c r="M1625">
        <f>IF(Table1[[#This Row],[Sale_Type]]="Buffet",1,0)</f>
        <v>0</v>
      </c>
    </row>
    <row r="1626" spans="1:13" x14ac:dyDescent="0.2">
      <c r="A1626" t="s">
        <v>1899</v>
      </c>
      <c r="B1626" t="s">
        <v>730</v>
      </c>
      <c r="C1626" s="1">
        <v>46006</v>
      </c>
      <c r="D1626" t="s">
        <v>213</v>
      </c>
      <c r="E1626" t="s">
        <v>14</v>
      </c>
      <c r="F1626" t="s">
        <v>40</v>
      </c>
      <c r="G1626" t="s">
        <v>16</v>
      </c>
      <c r="H1626">
        <v>2</v>
      </c>
      <c r="I1626">
        <v>71.31</v>
      </c>
      <c r="J1626" t="s">
        <v>17</v>
      </c>
      <c r="K1626" t="s">
        <v>18</v>
      </c>
      <c r="L1626">
        <f>WEEKDAY(Table1[[#This Row],[Transaction_Date]],2)</f>
        <v>1</v>
      </c>
      <c r="M1626">
        <f>IF(Table1[[#This Row],[Sale_Type]]="Buffet",1,0)</f>
        <v>0</v>
      </c>
    </row>
    <row r="1627" spans="1:13" x14ac:dyDescent="0.2">
      <c r="A1627" t="s">
        <v>1900</v>
      </c>
      <c r="B1627" t="s">
        <v>369</v>
      </c>
      <c r="C1627" s="1">
        <v>46006</v>
      </c>
      <c r="D1627" t="s">
        <v>213</v>
      </c>
      <c r="E1627" t="s">
        <v>43</v>
      </c>
      <c r="F1627" t="s">
        <v>44</v>
      </c>
      <c r="G1627" t="s">
        <v>16</v>
      </c>
      <c r="H1627">
        <v>3</v>
      </c>
      <c r="I1627">
        <v>39.840000000000003</v>
      </c>
      <c r="J1627" t="s">
        <v>17</v>
      </c>
      <c r="K1627" t="s">
        <v>18</v>
      </c>
      <c r="L1627">
        <f>WEEKDAY(Table1[[#This Row],[Transaction_Date]],2)</f>
        <v>1</v>
      </c>
      <c r="M1627">
        <f>IF(Table1[[#This Row],[Sale_Type]]="Buffet",1,0)</f>
        <v>0</v>
      </c>
    </row>
    <row r="1628" spans="1:13" x14ac:dyDescent="0.2">
      <c r="A1628" t="s">
        <v>1901</v>
      </c>
      <c r="B1628" t="s">
        <v>443</v>
      </c>
      <c r="C1628" s="1">
        <v>46006</v>
      </c>
      <c r="D1628" t="s">
        <v>213</v>
      </c>
      <c r="E1628" t="s">
        <v>43</v>
      </c>
      <c r="F1628" t="s">
        <v>44</v>
      </c>
      <c r="G1628" t="s">
        <v>16</v>
      </c>
      <c r="H1628">
        <v>1</v>
      </c>
      <c r="I1628">
        <v>15.59</v>
      </c>
      <c r="J1628" t="s">
        <v>17</v>
      </c>
      <c r="K1628" t="s">
        <v>21</v>
      </c>
      <c r="L1628">
        <f>WEEKDAY(Table1[[#This Row],[Transaction_Date]],2)</f>
        <v>1</v>
      </c>
      <c r="M1628">
        <f>IF(Table1[[#This Row],[Sale_Type]]="Buffet",1,0)</f>
        <v>0</v>
      </c>
    </row>
    <row r="1629" spans="1:13" x14ac:dyDescent="0.2">
      <c r="A1629" t="s">
        <v>1902</v>
      </c>
      <c r="B1629" t="s">
        <v>644</v>
      </c>
      <c r="C1629" s="1">
        <v>46006</v>
      </c>
      <c r="D1629" t="s">
        <v>213</v>
      </c>
      <c r="E1629" t="s">
        <v>43</v>
      </c>
      <c r="F1629" t="s">
        <v>44</v>
      </c>
      <c r="G1629" t="s">
        <v>16</v>
      </c>
      <c r="H1629">
        <v>4</v>
      </c>
      <c r="I1629">
        <v>60.66</v>
      </c>
      <c r="J1629" t="s">
        <v>17</v>
      </c>
      <c r="K1629" t="s">
        <v>18</v>
      </c>
      <c r="L1629">
        <f>WEEKDAY(Table1[[#This Row],[Transaction_Date]],2)</f>
        <v>1</v>
      </c>
      <c r="M1629">
        <f>IF(Table1[[#This Row],[Sale_Type]]="Buffet",1,0)</f>
        <v>0</v>
      </c>
    </row>
    <row r="1630" spans="1:13" x14ac:dyDescent="0.2">
      <c r="A1630" t="s">
        <v>1903</v>
      </c>
      <c r="B1630" t="s">
        <v>56</v>
      </c>
      <c r="C1630" s="1">
        <v>46006</v>
      </c>
      <c r="D1630" t="s">
        <v>213</v>
      </c>
      <c r="E1630" t="s">
        <v>43</v>
      </c>
      <c r="F1630" t="s">
        <v>50</v>
      </c>
      <c r="G1630" t="s">
        <v>16</v>
      </c>
      <c r="H1630">
        <v>1</v>
      </c>
      <c r="I1630">
        <v>32.94</v>
      </c>
      <c r="J1630" t="s">
        <v>28</v>
      </c>
      <c r="K1630" t="s">
        <v>18</v>
      </c>
      <c r="L1630">
        <f>WEEKDAY(Table1[[#This Row],[Transaction_Date]],2)</f>
        <v>1</v>
      </c>
      <c r="M1630">
        <f>IF(Table1[[#This Row],[Sale_Type]]="Buffet",1,0)</f>
        <v>0</v>
      </c>
    </row>
    <row r="1631" spans="1:13" x14ac:dyDescent="0.2">
      <c r="A1631" t="s">
        <v>1904</v>
      </c>
      <c r="B1631" t="s">
        <v>383</v>
      </c>
      <c r="C1631" s="1">
        <v>46006</v>
      </c>
      <c r="D1631" t="s">
        <v>213</v>
      </c>
      <c r="E1631" t="s">
        <v>43</v>
      </c>
      <c r="F1631" t="s">
        <v>57</v>
      </c>
      <c r="G1631" t="s">
        <v>16</v>
      </c>
      <c r="H1631">
        <v>3</v>
      </c>
      <c r="I1631">
        <v>50.64</v>
      </c>
      <c r="J1631" t="s">
        <v>17</v>
      </c>
      <c r="K1631" t="s">
        <v>18</v>
      </c>
      <c r="L1631">
        <f>WEEKDAY(Table1[[#This Row],[Transaction_Date]],2)</f>
        <v>1</v>
      </c>
      <c r="M1631">
        <f>IF(Table1[[#This Row],[Sale_Type]]="Buffet",1,0)</f>
        <v>0</v>
      </c>
    </row>
    <row r="1632" spans="1:13" x14ac:dyDescent="0.2">
      <c r="A1632" t="s">
        <v>1905</v>
      </c>
      <c r="B1632" t="s">
        <v>682</v>
      </c>
      <c r="C1632" s="1">
        <v>46007</v>
      </c>
      <c r="D1632" t="s">
        <v>250</v>
      </c>
      <c r="E1632" t="s">
        <v>14</v>
      </c>
      <c r="F1632" t="s">
        <v>15</v>
      </c>
      <c r="G1632" t="s">
        <v>16</v>
      </c>
      <c r="H1632">
        <v>4</v>
      </c>
      <c r="I1632">
        <v>138.84</v>
      </c>
      <c r="J1632" t="s">
        <v>17</v>
      </c>
      <c r="K1632" t="s">
        <v>18</v>
      </c>
      <c r="L1632">
        <f>WEEKDAY(Table1[[#This Row],[Transaction_Date]],2)</f>
        <v>2</v>
      </c>
      <c r="M1632">
        <f>IF(Table1[[#This Row],[Sale_Type]]="Buffet",1,0)</f>
        <v>0</v>
      </c>
    </row>
    <row r="1633" spans="1:13" x14ac:dyDescent="0.2">
      <c r="A1633" t="s">
        <v>1906</v>
      </c>
      <c r="B1633" t="s">
        <v>467</v>
      </c>
      <c r="C1633" s="1">
        <v>46007</v>
      </c>
      <c r="D1633" t="s">
        <v>250</v>
      </c>
      <c r="E1633" t="s">
        <v>14</v>
      </c>
      <c r="F1633" t="s">
        <v>15</v>
      </c>
      <c r="G1633" t="s">
        <v>16</v>
      </c>
      <c r="H1633">
        <v>1</v>
      </c>
      <c r="I1633">
        <v>23.3</v>
      </c>
      <c r="J1633" t="s">
        <v>17</v>
      </c>
      <c r="K1633" t="s">
        <v>21</v>
      </c>
      <c r="L1633">
        <f>WEEKDAY(Table1[[#This Row],[Transaction_Date]],2)</f>
        <v>2</v>
      </c>
      <c r="M1633">
        <f>IF(Table1[[#This Row],[Sale_Type]]="Buffet",1,0)</f>
        <v>0</v>
      </c>
    </row>
    <row r="1634" spans="1:13" x14ac:dyDescent="0.2">
      <c r="A1634" t="s">
        <v>1907</v>
      </c>
      <c r="B1634" t="s">
        <v>256</v>
      </c>
      <c r="C1634" s="1">
        <v>46007</v>
      </c>
      <c r="D1634" t="s">
        <v>250</v>
      </c>
      <c r="E1634" t="s">
        <v>14</v>
      </c>
      <c r="F1634" t="s">
        <v>15</v>
      </c>
      <c r="G1634" t="s">
        <v>16</v>
      </c>
      <c r="H1634">
        <v>1</v>
      </c>
      <c r="I1634">
        <v>17.239999999999998</v>
      </c>
      <c r="J1634" t="s">
        <v>28</v>
      </c>
      <c r="K1634" t="s">
        <v>18</v>
      </c>
      <c r="L1634">
        <f>WEEKDAY(Table1[[#This Row],[Transaction_Date]],2)</f>
        <v>2</v>
      </c>
      <c r="M1634">
        <f>IF(Table1[[#This Row],[Sale_Type]]="Buffet",1,0)</f>
        <v>0</v>
      </c>
    </row>
    <row r="1635" spans="1:13" x14ac:dyDescent="0.2">
      <c r="A1635" t="s">
        <v>1908</v>
      </c>
      <c r="B1635" t="s">
        <v>295</v>
      </c>
      <c r="C1635" s="1">
        <v>46007</v>
      </c>
      <c r="D1635" t="s">
        <v>250</v>
      </c>
      <c r="E1635" t="s">
        <v>14</v>
      </c>
      <c r="F1635" t="s">
        <v>15</v>
      </c>
      <c r="G1635" t="s">
        <v>16</v>
      </c>
      <c r="H1635">
        <v>3</v>
      </c>
      <c r="I1635">
        <v>71.66</v>
      </c>
      <c r="J1635" t="s">
        <v>34</v>
      </c>
      <c r="K1635" t="s">
        <v>18</v>
      </c>
      <c r="L1635">
        <f>WEEKDAY(Table1[[#This Row],[Transaction_Date]],2)</f>
        <v>2</v>
      </c>
      <c r="M1635">
        <f>IF(Table1[[#This Row],[Sale_Type]]="Buffet",1,0)</f>
        <v>0</v>
      </c>
    </row>
    <row r="1636" spans="1:13" x14ac:dyDescent="0.2">
      <c r="A1636" t="s">
        <v>1909</v>
      </c>
      <c r="B1636" t="s">
        <v>120</v>
      </c>
      <c r="C1636" s="1">
        <v>46007</v>
      </c>
      <c r="D1636" t="s">
        <v>250</v>
      </c>
      <c r="E1636" t="s">
        <v>14</v>
      </c>
      <c r="F1636" t="s">
        <v>15</v>
      </c>
      <c r="G1636" t="s">
        <v>16</v>
      </c>
      <c r="H1636">
        <v>1</v>
      </c>
      <c r="I1636">
        <v>40.04</v>
      </c>
      <c r="J1636" t="s">
        <v>17</v>
      </c>
      <c r="K1636" t="s">
        <v>18</v>
      </c>
      <c r="L1636">
        <f>WEEKDAY(Table1[[#This Row],[Transaction_Date]],2)</f>
        <v>2</v>
      </c>
      <c r="M1636">
        <f>IF(Table1[[#This Row],[Sale_Type]]="Buffet",1,0)</f>
        <v>0</v>
      </c>
    </row>
    <row r="1637" spans="1:13" x14ac:dyDescent="0.2">
      <c r="A1637" t="s">
        <v>1910</v>
      </c>
      <c r="B1637" t="s">
        <v>79</v>
      </c>
      <c r="C1637" s="1">
        <v>46007</v>
      </c>
      <c r="D1637" t="s">
        <v>250</v>
      </c>
      <c r="E1637" t="s">
        <v>14</v>
      </c>
      <c r="F1637" t="s">
        <v>15</v>
      </c>
      <c r="G1637" t="s">
        <v>16</v>
      </c>
      <c r="H1637">
        <v>2</v>
      </c>
      <c r="I1637">
        <v>55.68</v>
      </c>
      <c r="J1637" t="s">
        <v>17</v>
      </c>
      <c r="K1637" t="s">
        <v>18</v>
      </c>
      <c r="L1637">
        <f>WEEKDAY(Table1[[#This Row],[Transaction_Date]],2)</f>
        <v>2</v>
      </c>
      <c r="M1637">
        <f>IF(Table1[[#This Row],[Sale_Type]]="Buffet",1,0)</f>
        <v>0</v>
      </c>
    </row>
    <row r="1638" spans="1:13" x14ac:dyDescent="0.2">
      <c r="A1638" t="s">
        <v>1911</v>
      </c>
      <c r="B1638" t="s">
        <v>369</v>
      </c>
      <c r="C1638" s="1">
        <v>46007</v>
      </c>
      <c r="D1638" t="s">
        <v>250</v>
      </c>
      <c r="E1638" t="s">
        <v>14</v>
      </c>
      <c r="F1638" t="s">
        <v>24</v>
      </c>
      <c r="G1638" t="s">
        <v>16</v>
      </c>
      <c r="H1638">
        <v>2</v>
      </c>
      <c r="I1638">
        <v>36.58</v>
      </c>
      <c r="J1638" t="s">
        <v>28</v>
      </c>
      <c r="K1638" t="s">
        <v>18</v>
      </c>
      <c r="L1638">
        <f>WEEKDAY(Table1[[#This Row],[Transaction_Date]],2)</f>
        <v>2</v>
      </c>
      <c r="M1638">
        <f>IF(Table1[[#This Row],[Sale_Type]]="Buffet",1,0)</f>
        <v>0</v>
      </c>
    </row>
    <row r="1639" spans="1:13" x14ac:dyDescent="0.2">
      <c r="A1639" t="s">
        <v>1912</v>
      </c>
      <c r="B1639" t="s">
        <v>313</v>
      </c>
      <c r="C1639" s="1">
        <v>46007</v>
      </c>
      <c r="D1639" t="s">
        <v>250</v>
      </c>
      <c r="E1639" t="s">
        <v>14</v>
      </c>
      <c r="F1639" t="s">
        <v>24</v>
      </c>
      <c r="G1639" t="s">
        <v>16</v>
      </c>
      <c r="H1639">
        <v>5</v>
      </c>
      <c r="I1639">
        <v>147.82</v>
      </c>
      <c r="J1639" t="s">
        <v>34</v>
      </c>
      <c r="K1639" t="s">
        <v>21</v>
      </c>
      <c r="L1639">
        <f>WEEKDAY(Table1[[#This Row],[Transaction_Date]],2)</f>
        <v>2</v>
      </c>
      <c r="M1639">
        <f>IF(Table1[[#This Row],[Sale_Type]]="Buffet",1,0)</f>
        <v>0</v>
      </c>
    </row>
    <row r="1640" spans="1:13" x14ac:dyDescent="0.2">
      <c r="A1640" t="s">
        <v>1913</v>
      </c>
      <c r="B1640" t="s">
        <v>176</v>
      </c>
      <c r="C1640" s="1">
        <v>46007</v>
      </c>
      <c r="D1640" t="s">
        <v>250</v>
      </c>
      <c r="E1640" t="s">
        <v>14</v>
      </c>
      <c r="F1640" t="s">
        <v>24</v>
      </c>
      <c r="G1640" t="s">
        <v>16</v>
      </c>
      <c r="H1640">
        <v>1</v>
      </c>
      <c r="I1640">
        <v>16.02</v>
      </c>
      <c r="J1640" t="s">
        <v>34</v>
      </c>
      <c r="K1640" t="s">
        <v>21</v>
      </c>
      <c r="L1640">
        <f>WEEKDAY(Table1[[#This Row],[Transaction_Date]],2)</f>
        <v>2</v>
      </c>
      <c r="M1640">
        <f>IF(Table1[[#This Row],[Sale_Type]]="Buffet",1,0)</f>
        <v>0</v>
      </c>
    </row>
    <row r="1641" spans="1:13" x14ac:dyDescent="0.2">
      <c r="A1641" t="s">
        <v>1914</v>
      </c>
      <c r="B1641" t="s">
        <v>154</v>
      </c>
      <c r="C1641" s="1">
        <v>46007</v>
      </c>
      <c r="D1641" t="s">
        <v>250</v>
      </c>
      <c r="E1641" t="s">
        <v>14</v>
      </c>
      <c r="F1641" t="s">
        <v>27</v>
      </c>
      <c r="G1641" t="s">
        <v>16</v>
      </c>
      <c r="H1641">
        <v>2</v>
      </c>
      <c r="I1641">
        <v>42.38</v>
      </c>
      <c r="J1641" t="s">
        <v>28</v>
      </c>
      <c r="K1641" t="s">
        <v>18</v>
      </c>
      <c r="L1641">
        <f>WEEKDAY(Table1[[#This Row],[Transaction_Date]],2)</f>
        <v>2</v>
      </c>
      <c r="M1641">
        <f>IF(Table1[[#This Row],[Sale_Type]]="Buffet",1,0)</f>
        <v>0</v>
      </c>
    </row>
    <row r="1642" spans="1:13" x14ac:dyDescent="0.2">
      <c r="A1642" t="s">
        <v>1915</v>
      </c>
      <c r="B1642" t="s">
        <v>174</v>
      </c>
      <c r="C1642" s="1">
        <v>46007</v>
      </c>
      <c r="D1642" t="s">
        <v>250</v>
      </c>
      <c r="E1642" t="s">
        <v>14</v>
      </c>
      <c r="F1642" t="s">
        <v>27</v>
      </c>
      <c r="G1642" t="s">
        <v>16</v>
      </c>
      <c r="H1642">
        <v>6</v>
      </c>
      <c r="I1642">
        <v>226.53</v>
      </c>
      <c r="J1642" t="s">
        <v>17</v>
      </c>
      <c r="K1642" t="s">
        <v>18</v>
      </c>
      <c r="L1642">
        <f>WEEKDAY(Table1[[#This Row],[Transaction_Date]],2)</f>
        <v>2</v>
      </c>
      <c r="M1642">
        <f>IF(Table1[[#This Row],[Sale_Type]]="Buffet",1,0)</f>
        <v>0</v>
      </c>
    </row>
    <row r="1643" spans="1:13" x14ac:dyDescent="0.2">
      <c r="A1643" t="s">
        <v>1916</v>
      </c>
      <c r="B1643" t="s">
        <v>412</v>
      </c>
      <c r="C1643" s="1">
        <v>46007</v>
      </c>
      <c r="D1643" t="s">
        <v>250</v>
      </c>
      <c r="E1643" t="s">
        <v>14</v>
      </c>
      <c r="F1643" t="s">
        <v>27</v>
      </c>
      <c r="G1643" t="s">
        <v>16</v>
      </c>
      <c r="H1643">
        <v>3</v>
      </c>
      <c r="I1643">
        <v>74.11</v>
      </c>
      <c r="J1643" t="s">
        <v>17</v>
      </c>
      <c r="K1643" t="s">
        <v>18</v>
      </c>
      <c r="L1643">
        <f>WEEKDAY(Table1[[#This Row],[Transaction_Date]],2)</f>
        <v>2</v>
      </c>
      <c r="M1643">
        <f>IF(Table1[[#This Row],[Sale_Type]]="Buffet",1,0)</f>
        <v>0</v>
      </c>
    </row>
    <row r="1644" spans="1:13" x14ac:dyDescent="0.2">
      <c r="A1644" t="s">
        <v>1917</v>
      </c>
      <c r="B1644" t="s">
        <v>945</v>
      </c>
      <c r="C1644" s="1">
        <v>46007</v>
      </c>
      <c r="D1644" t="s">
        <v>250</v>
      </c>
      <c r="E1644" t="s">
        <v>14</v>
      </c>
      <c r="F1644" t="s">
        <v>27</v>
      </c>
      <c r="G1644" t="s">
        <v>16</v>
      </c>
      <c r="H1644">
        <v>4</v>
      </c>
      <c r="I1644">
        <v>123.58</v>
      </c>
      <c r="J1644" t="s">
        <v>28</v>
      </c>
      <c r="K1644" t="s">
        <v>18</v>
      </c>
      <c r="L1644">
        <f>WEEKDAY(Table1[[#This Row],[Transaction_Date]],2)</f>
        <v>2</v>
      </c>
      <c r="M1644">
        <f>IF(Table1[[#This Row],[Sale_Type]]="Buffet",1,0)</f>
        <v>0</v>
      </c>
    </row>
    <row r="1645" spans="1:13" x14ac:dyDescent="0.2">
      <c r="A1645" t="s">
        <v>1918</v>
      </c>
      <c r="B1645" t="s">
        <v>361</v>
      </c>
      <c r="C1645" s="1">
        <v>46007</v>
      </c>
      <c r="D1645" t="s">
        <v>250</v>
      </c>
      <c r="E1645" t="s">
        <v>14</v>
      </c>
      <c r="F1645" t="s">
        <v>27</v>
      </c>
      <c r="G1645" t="s">
        <v>16</v>
      </c>
      <c r="H1645">
        <v>2</v>
      </c>
      <c r="I1645">
        <v>66.08</v>
      </c>
      <c r="J1645" t="s">
        <v>17</v>
      </c>
      <c r="K1645" t="s">
        <v>21</v>
      </c>
      <c r="L1645">
        <f>WEEKDAY(Table1[[#This Row],[Transaction_Date]],2)</f>
        <v>2</v>
      </c>
      <c r="M1645">
        <f>IF(Table1[[#This Row],[Sale_Type]]="Buffet",1,0)</f>
        <v>0</v>
      </c>
    </row>
    <row r="1646" spans="1:13" x14ac:dyDescent="0.2">
      <c r="A1646" t="s">
        <v>1919</v>
      </c>
      <c r="B1646" t="s">
        <v>392</v>
      </c>
      <c r="C1646" s="1">
        <v>46007</v>
      </c>
      <c r="D1646" t="s">
        <v>250</v>
      </c>
      <c r="E1646" t="s">
        <v>14</v>
      </c>
      <c r="F1646" t="s">
        <v>27</v>
      </c>
      <c r="G1646" t="s">
        <v>16</v>
      </c>
      <c r="H1646">
        <v>3</v>
      </c>
      <c r="I1646">
        <v>83.11</v>
      </c>
      <c r="J1646" t="s">
        <v>28</v>
      </c>
      <c r="K1646" t="s">
        <v>18</v>
      </c>
      <c r="L1646">
        <f>WEEKDAY(Table1[[#This Row],[Transaction_Date]],2)</f>
        <v>2</v>
      </c>
      <c r="M1646">
        <f>IF(Table1[[#This Row],[Sale_Type]]="Buffet",1,0)</f>
        <v>0</v>
      </c>
    </row>
    <row r="1647" spans="1:13" x14ac:dyDescent="0.2">
      <c r="A1647" t="s">
        <v>1920</v>
      </c>
      <c r="B1647" t="s">
        <v>278</v>
      </c>
      <c r="C1647" s="1">
        <v>46007</v>
      </c>
      <c r="D1647" t="s">
        <v>250</v>
      </c>
      <c r="E1647" t="s">
        <v>14</v>
      </c>
      <c r="F1647" t="s">
        <v>31</v>
      </c>
      <c r="G1647" t="s">
        <v>16</v>
      </c>
      <c r="H1647">
        <v>1</v>
      </c>
      <c r="I1647">
        <v>23.62</v>
      </c>
      <c r="J1647" t="s">
        <v>17</v>
      </c>
      <c r="K1647" t="s">
        <v>18</v>
      </c>
      <c r="L1647">
        <f>WEEKDAY(Table1[[#This Row],[Transaction_Date]],2)</f>
        <v>2</v>
      </c>
      <c r="M1647">
        <f>IF(Table1[[#This Row],[Sale_Type]]="Buffet",1,0)</f>
        <v>0</v>
      </c>
    </row>
    <row r="1648" spans="1:13" x14ac:dyDescent="0.2">
      <c r="A1648" t="s">
        <v>1921</v>
      </c>
      <c r="B1648" t="s">
        <v>495</v>
      </c>
      <c r="C1648" s="1">
        <v>46007</v>
      </c>
      <c r="D1648" t="s">
        <v>250</v>
      </c>
      <c r="E1648" t="s">
        <v>14</v>
      </c>
      <c r="F1648" t="s">
        <v>31</v>
      </c>
      <c r="G1648" t="s">
        <v>16</v>
      </c>
      <c r="H1648">
        <v>3</v>
      </c>
      <c r="I1648">
        <v>78.569999999999993</v>
      </c>
      <c r="J1648" t="s">
        <v>17</v>
      </c>
      <c r="K1648" t="s">
        <v>18</v>
      </c>
      <c r="L1648">
        <f>WEEKDAY(Table1[[#This Row],[Transaction_Date]],2)</f>
        <v>2</v>
      </c>
      <c r="M1648">
        <f>IF(Table1[[#This Row],[Sale_Type]]="Buffet",1,0)</f>
        <v>0</v>
      </c>
    </row>
    <row r="1649" spans="1:13" x14ac:dyDescent="0.2">
      <c r="A1649" t="s">
        <v>1922</v>
      </c>
      <c r="B1649" t="s">
        <v>483</v>
      </c>
      <c r="C1649" s="1">
        <v>46007</v>
      </c>
      <c r="D1649" t="s">
        <v>250</v>
      </c>
      <c r="E1649" t="s">
        <v>14</v>
      </c>
      <c r="F1649" t="s">
        <v>31</v>
      </c>
      <c r="G1649" t="s">
        <v>16</v>
      </c>
      <c r="H1649">
        <v>2</v>
      </c>
      <c r="I1649">
        <v>57.05</v>
      </c>
      <c r="J1649" t="s">
        <v>34</v>
      </c>
      <c r="K1649" t="s">
        <v>21</v>
      </c>
      <c r="L1649">
        <f>WEEKDAY(Table1[[#This Row],[Transaction_Date]],2)</f>
        <v>2</v>
      </c>
      <c r="M1649">
        <f>IF(Table1[[#This Row],[Sale_Type]]="Buffet",1,0)</f>
        <v>0</v>
      </c>
    </row>
    <row r="1650" spans="1:13" x14ac:dyDescent="0.2">
      <c r="A1650" t="s">
        <v>1923</v>
      </c>
      <c r="B1650" t="s">
        <v>66</v>
      </c>
      <c r="C1650" s="1">
        <v>46007</v>
      </c>
      <c r="D1650" t="s">
        <v>250</v>
      </c>
      <c r="E1650" t="s">
        <v>14</v>
      </c>
      <c r="F1650" t="s">
        <v>40</v>
      </c>
      <c r="G1650" t="s">
        <v>16</v>
      </c>
      <c r="H1650">
        <v>3</v>
      </c>
      <c r="I1650">
        <v>53.07</v>
      </c>
      <c r="J1650" t="s">
        <v>17</v>
      </c>
      <c r="K1650" t="s">
        <v>18</v>
      </c>
      <c r="L1650">
        <f>WEEKDAY(Table1[[#This Row],[Transaction_Date]],2)</f>
        <v>2</v>
      </c>
      <c r="M1650">
        <f>IF(Table1[[#This Row],[Sale_Type]]="Buffet",1,0)</f>
        <v>0</v>
      </c>
    </row>
    <row r="1651" spans="1:13" x14ac:dyDescent="0.2">
      <c r="A1651" t="s">
        <v>1924</v>
      </c>
      <c r="B1651" t="s">
        <v>1017</v>
      </c>
      <c r="C1651" s="1">
        <v>46007</v>
      </c>
      <c r="D1651" t="s">
        <v>250</v>
      </c>
      <c r="E1651" t="s">
        <v>14</v>
      </c>
      <c r="F1651" t="s">
        <v>40</v>
      </c>
      <c r="G1651" t="s">
        <v>16</v>
      </c>
      <c r="H1651">
        <v>3</v>
      </c>
      <c r="I1651">
        <v>114.04</v>
      </c>
      <c r="J1651" t="s">
        <v>34</v>
      </c>
      <c r="K1651" t="s">
        <v>21</v>
      </c>
      <c r="L1651">
        <f>WEEKDAY(Table1[[#This Row],[Transaction_Date]],2)</f>
        <v>2</v>
      </c>
      <c r="M1651">
        <f>IF(Table1[[#This Row],[Sale_Type]]="Buffet",1,0)</f>
        <v>0</v>
      </c>
    </row>
    <row r="1652" spans="1:13" x14ac:dyDescent="0.2">
      <c r="A1652" t="s">
        <v>1925</v>
      </c>
      <c r="B1652" t="s">
        <v>133</v>
      </c>
      <c r="C1652" s="1">
        <v>46007</v>
      </c>
      <c r="D1652" t="s">
        <v>250</v>
      </c>
      <c r="E1652" t="s">
        <v>14</v>
      </c>
      <c r="F1652" t="s">
        <v>40</v>
      </c>
      <c r="G1652" t="s">
        <v>16</v>
      </c>
      <c r="H1652">
        <v>2</v>
      </c>
      <c r="I1652">
        <v>71.39</v>
      </c>
      <c r="J1652" t="s">
        <v>17</v>
      </c>
      <c r="K1652" t="s">
        <v>18</v>
      </c>
      <c r="L1652">
        <f>WEEKDAY(Table1[[#This Row],[Transaction_Date]],2)</f>
        <v>2</v>
      </c>
      <c r="M1652">
        <f>IF(Table1[[#This Row],[Sale_Type]]="Buffet",1,0)</f>
        <v>0</v>
      </c>
    </row>
    <row r="1653" spans="1:13" x14ac:dyDescent="0.2">
      <c r="A1653" t="s">
        <v>1926</v>
      </c>
      <c r="B1653" t="s">
        <v>456</v>
      </c>
      <c r="C1653" s="1">
        <v>46007</v>
      </c>
      <c r="D1653" t="s">
        <v>250</v>
      </c>
      <c r="E1653" t="s">
        <v>43</v>
      </c>
      <c r="F1653" t="s">
        <v>44</v>
      </c>
      <c r="G1653" t="s">
        <v>16</v>
      </c>
      <c r="H1653">
        <v>3</v>
      </c>
      <c r="I1653">
        <v>48.82</v>
      </c>
      <c r="J1653" t="s">
        <v>34</v>
      </c>
      <c r="K1653" t="s">
        <v>21</v>
      </c>
      <c r="L1653">
        <f>WEEKDAY(Table1[[#This Row],[Transaction_Date]],2)</f>
        <v>2</v>
      </c>
      <c r="M1653">
        <f>IF(Table1[[#This Row],[Sale_Type]]="Buffet",1,0)</f>
        <v>0</v>
      </c>
    </row>
    <row r="1654" spans="1:13" x14ac:dyDescent="0.2">
      <c r="A1654" t="s">
        <v>1927</v>
      </c>
      <c r="B1654" t="s">
        <v>542</v>
      </c>
      <c r="C1654" s="1">
        <v>46007</v>
      </c>
      <c r="D1654" t="s">
        <v>250</v>
      </c>
      <c r="E1654" t="s">
        <v>43</v>
      </c>
      <c r="F1654" t="s">
        <v>53</v>
      </c>
      <c r="G1654" t="s">
        <v>16</v>
      </c>
      <c r="H1654">
        <v>7</v>
      </c>
      <c r="I1654">
        <v>81.06</v>
      </c>
      <c r="J1654" t="s">
        <v>17</v>
      </c>
      <c r="K1654" t="s">
        <v>18</v>
      </c>
      <c r="L1654">
        <f>WEEKDAY(Table1[[#This Row],[Transaction_Date]],2)</f>
        <v>2</v>
      </c>
      <c r="M1654">
        <f>IF(Table1[[#This Row],[Sale_Type]]="Buffet",1,0)</f>
        <v>0</v>
      </c>
    </row>
    <row r="1655" spans="1:13" x14ac:dyDescent="0.2">
      <c r="A1655" t="s">
        <v>1928</v>
      </c>
      <c r="B1655" t="s">
        <v>124</v>
      </c>
      <c r="C1655" s="1">
        <v>46007</v>
      </c>
      <c r="D1655" t="s">
        <v>250</v>
      </c>
      <c r="E1655" t="s">
        <v>43</v>
      </c>
      <c r="F1655" t="s">
        <v>53</v>
      </c>
      <c r="G1655" t="s">
        <v>16</v>
      </c>
      <c r="H1655">
        <v>4</v>
      </c>
      <c r="I1655">
        <v>122.54</v>
      </c>
      <c r="J1655" t="s">
        <v>17</v>
      </c>
      <c r="K1655" t="s">
        <v>18</v>
      </c>
      <c r="L1655">
        <f>WEEKDAY(Table1[[#This Row],[Transaction_Date]],2)</f>
        <v>2</v>
      </c>
      <c r="M1655">
        <f>IF(Table1[[#This Row],[Sale_Type]]="Buffet",1,0)</f>
        <v>0</v>
      </c>
    </row>
    <row r="1656" spans="1:13" x14ac:dyDescent="0.2">
      <c r="A1656" t="s">
        <v>1929</v>
      </c>
      <c r="B1656" t="s">
        <v>459</v>
      </c>
      <c r="C1656" s="1">
        <v>46007</v>
      </c>
      <c r="D1656" t="s">
        <v>250</v>
      </c>
      <c r="E1656" t="s">
        <v>43</v>
      </c>
      <c r="F1656" t="s">
        <v>57</v>
      </c>
      <c r="G1656" t="s">
        <v>16</v>
      </c>
      <c r="H1656">
        <v>1</v>
      </c>
      <c r="I1656">
        <v>10.09</v>
      </c>
      <c r="J1656" t="s">
        <v>17</v>
      </c>
      <c r="K1656" t="s">
        <v>18</v>
      </c>
      <c r="L1656">
        <f>WEEKDAY(Table1[[#This Row],[Transaction_Date]],2)</f>
        <v>2</v>
      </c>
      <c r="M1656">
        <f>IF(Table1[[#This Row],[Sale_Type]]="Buffet",1,0)</f>
        <v>0</v>
      </c>
    </row>
    <row r="1657" spans="1:13" x14ac:dyDescent="0.2">
      <c r="A1657" t="s">
        <v>1930</v>
      </c>
      <c r="B1657" t="s">
        <v>1179</v>
      </c>
      <c r="C1657" s="1">
        <v>46008</v>
      </c>
      <c r="D1657" t="s">
        <v>13</v>
      </c>
      <c r="E1657" t="s">
        <v>14</v>
      </c>
      <c r="F1657" t="s">
        <v>15</v>
      </c>
      <c r="G1657" t="s">
        <v>16</v>
      </c>
      <c r="H1657">
        <v>1</v>
      </c>
      <c r="I1657">
        <v>26.64</v>
      </c>
      <c r="J1657" t="s">
        <v>28</v>
      </c>
      <c r="K1657" t="s">
        <v>18</v>
      </c>
      <c r="L1657">
        <f>WEEKDAY(Table1[[#This Row],[Transaction_Date]],2)</f>
        <v>3</v>
      </c>
      <c r="M1657">
        <f>IF(Table1[[#This Row],[Sale_Type]]="Buffet",1,0)</f>
        <v>0</v>
      </c>
    </row>
    <row r="1658" spans="1:13" x14ac:dyDescent="0.2">
      <c r="A1658" t="s">
        <v>1931</v>
      </c>
      <c r="B1658" t="s">
        <v>142</v>
      </c>
      <c r="C1658" s="1">
        <v>46008</v>
      </c>
      <c r="D1658" t="s">
        <v>13</v>
      </c>
      <c r="E1658" t="s">
        <v>14</v>
      </c>
      <c r="F1658" t="s">
        <v>24</v>
      </c>
      <c r="G1658" t="s">
        <v>16</v>
      </c>
      <c r="H1658">
        <v>6</v>
      </c>
      <c r="I1658">
        <v>208.76</v>
      </c>
      <c r="J1658" t="s">
        <v>34</v>
      </c>
      <c r="K1658" t="s">
        <v>18</v>
      </c>
      <c r="L1658">
        <f>WEEKDAY(Table1[[#This Row],[Transaction_Date]],2)</f>
        <v>3</v>
      </c>
      <c r="M1658">
        <f>IF(Table1[[#This Row],[Sale_Type]]="Buffet",1,0)</f>
        <v>0</v>
      </c>
    </row>
    <row r="1659" spans="1:13" x14ac:dyDescent="0.2">
      <c r="A1659" t="s">
        <v>1932</v>
      </c>
      <c r="B1659" t="s">
        <v>264</v>
      </c>
      <c r="C1659" s="1">
        <v>46008</v>
      </c>
      <c r="D1659" t="s">
        <v>13</v>
      </c>
      <c r="E1659" t="s">
        <v>14</v>
      </c>
      <c r="F1659" t="s">
        <v>24</v>
      </c>
      <c r="G1659" t="s">
        <v>16</v>
      </c>
      <c r="H1659">
        <v>5</v>
      </c>
      <c r="I1659">
        <v>160.96</v>
      </c>
      <c r="J1659" t="s">
        <v>17</v>
      </c>
      <c r="K1659" t="s">
        <v>18</v>
      </c>
      <c r="L1659">
        <f>WEEKDAY(Table1[[#This Row],[Transaction_Date]],2)</f>
        <v>3</v>
      </c>
      <c r="M1659">
        <f>IF(Table1[[#This Row],[Sale_Type]]="Buffet",1,0)</f>
        <v>0</v>
      </c>
    </row>
    <row r="1660" spans="1:13" x14ac:dyDescent="0.2">
      <c r="A1660" t="s">
        <v>1933</v>
      </c>
      <c r="B1660" t="s">
        <v>219</v>
      </c>
      <c r="C1660" s="1">
        <v>46008</v>
      </c>
      <c r="D1660" t="s">
        <v>13</v>
      </c>
      <c r="E1660" t="s">
        <v>14</v>
      </c>
      <c r="F1660" t="s">
        <v>27</v>
      </c>
      <c r="G1660" t="s">
        <v>16</v>
      </c>
      <c r="H1660">
        <v>2</v>
      </c>
      <c r="I1660">
        <v>64.260000000000005</v>
      </c>
      <c r="J1660" t="s">
        <v>34</v>
      </c>
      <c r="K1660" t="s">
        <v>18</v>
      </c>
      <c r="L1660">
        <f>WEEKDAY(Table1[[#This Row],[Transaction_Date]],2)</f>
        <v>3</v>
      </c>
      <c r="M1660">
        <f>IF(Table1[[#This Row],[Sale_Type]]="Buffet",1,0)</f>
        <v>0</v>
      </c>
    </row>
    <row r="1661" spans="1:13" x14ac:dyDescent="0.2">
      <c r="A1661" t="s">
        <v>1934</v>
      </c>
      <c r="B1661" t="s">
        <v>165</v>
      </c>
      <c r="C1661" s="1">
        <v>46008</v>
      </c>
      <c r="D1661" t="s">
        <v>13</v>
      </c>
      <c r="E1661" t="s">
        <v>14</v>
      </c>
      <c r="F1661" t="s">
        <v>31</v>
      </c>
      <c r="G1661" t="s">
        <v>16</v>
      </c>
      <c r="H1661">
        <v>4</v>
      </c>
      <c r="I1661">
        <v>114.41</v>
      </c>
      <c r="J1661" t="s">
        <v>34</v>
      </c>
      <c r="K1661" t="s">
        <v>18</v>
      </c>
      <c r="L1661">
        <f>WEEKDAY(Table1[[#This Row],[Transaction_Date]],2)</f>
        <v>3</v>
      </c>
      <c r="M1661">
        <f>IF(Table1[[#This Row],[Sale_Type]]="Buffet",1,0)</f>
        <v>0</v>
      </c>
    </row>
    <row r="1662" spans="1:13" x14ac:dyDescent="0.2">
      <c r="A1662" t="s">
        <v>1935</v>
      </c>
      <c r="B1662" t="s">
        <v>176</v>
      </c>
      <c r="C1662" s="1">
        <v>46008</v>
      </c>
      <c r="D1662" t="s">
        <v>13</v>
      </c>
      <c r="E1662" t="s">
        <v>14</v>
      </c>
      <c r="F1662" t="s">
        <v>31</v>
      </c>
      <c r="G1662" t="s">
        <v>16</v>
      </c>
      <c r="H1662">
        <v>3</v>
      </c>
      <c r="I1662">
        <v>135.59</v>
      </c>
      <c r="J1662" t="s">
        <v>17</v>
      </c>
      <c r="K1662" t="s">
        <v>18</v>
      </c>
      <c r="L1662">
        <f>WEEKDAY(Table1[[#This Row],[Transaction_Date]],2)</f>
        <v>3</v>
      </c>
      <c r="M1662">
        <f>IF(Table1[[#This Row],[Sale_Type]]="Buffet",1,0)</f>
        <v>0</v>
      </c>
    </row>
    <row r="1663" spans="1:13" x14ac:dyDescent="0.2">
      <c r="A1663" t="s">
        <v>1936</v>
      </c>
      <c r="B1663" t="s">
        <v>737</v>
      </c>
      <c r="C1663" s="1">
        <v>46008</v>
      </c>
      <c r="D1663" t="s">
        <v>13</v>
      </c>
      <c r="E1663" t="s">
        <v>14</v>
      </c>
      <c r="F1663" t="s">
        <v>31</v>
      </c>
      <c r="G1663" t="s">
        <v>16</v>
      </c>
      <c r="H1663">
        <v>2</v>
      </c>
      <c r="I1663">
        <v>63.23</v>
      </c>
      <c r="J1663" t="s">
        <v>17</v>
      </c>
      <c r="K1663" t="s">
        <v>21</v>
      </c>
      <c r="L1663">
        <f>WEEKDAY(Table1[[#This Row],[Transaction_Date]],2)</f>
        <v>3</v>
      </c>
      <c r="M1663">
        <f>IF(Table1[[#This Row],[Sale_Type]]="Buffet",1,0)</f>
        <v>0</v>
      </c>
    </row>
    <row r="1664" spans="1:13" x14ac:dyDescent="0.2">
      <c r="A1664" t="s">
        <v>1937</v>
      </c>
      <c r="B1664" t="s">
        <v>242</v>
      </c>
      <c r="C1664" s="1">
        <v>46008</v>
      </c>
      <c r="D1664" t="s">
        <v>13</v>
      </c>
      <c r="E1664" t="s">
        <v>14</v>
      </c>
      <c r="F1664" t="s">
        <v>31</v>
      </c>
      <c r="G1664" t="s">
        <v>16</v>
      </c>
      <c r="H1664">
        <v>4</v>
      </c>
      <c r="I1664">
        <v>130.88</v>
      </c>
      <c r="J1664" t="s">
        <v>17</v>
      </c>
      <c r="K1664" t="s">
        <v>18</v>
      </c>
      <c r="L1664">
        <f>WEEKDAY(Table1[[#This Row],[Transaction_Date]],2)</f>
        <v>3</v>
      </c>
      <c r="M1664">
        <f>IF(Table1[[#This Row],[Sale_Type]]="Buffet",1,0)</f>
        <v>0</v>
      </c>
    </row>
    <row r="1665" spans="1:13" x14ac:dyDescent="0.2">
      <c r="A1665" t="s">
        <v>1938</v>
      </c>
      <c r="B1665" t="s">
        <v>518</v>
      </c>
      <c r="C1665" s="1">
        <v>46008</v>
      </c>
      <c r="D1665" t="s">
        <v>13</v>
      </c>
      <c r="E1665" t="s">
        <v>14</v>
      </c>
      <c r="F1665" t="s">
        <v>40</v>
      </c>
      <c r="G1665" t="s">
        <v>16</v>
      </c>
      <c r="H1665">
        <v>3</v>
      </c>
      <c r="I1665">
        <v>73.78</v>
      </c>
      <c r="J1665" t="s">
        <v>17</v>
      </c>
      <c r="K1665" t="s">
        <v>18</v>
      </c>
      <c r="L1665">
        <f>WEEKDAY(Table1[[#This Row],[Transaction_Date]],2)</f>
        <v>3</v>
      </c>
      <c r="M1665">
        <f>IF(Table1[[#This Row],[Sale_Type]]="Buffet",1,0)</f>
        <v>0</v>
      </c>
    </row>
    <row r="1666" spans="1:13" x14ac:dyDescent="0.2">
      <c r="A1666" t="s">
        <v>1939</v>
      </c>
      <c r="B1666" t="s">
        <v>318</v>
      </c>
      <c r="C1666" s="1">
        <v>46008</v>
      </c>
      <c r="D1666" t="s">
        <v>13</v>
      </c>
      <c r="E1666" t="s">
        <v>14</v>
      </c>
      <c r="F1666" t="s">
        <v>40</v>
      </c>
      <c r="G1666" t="s">
        <v>16</v>
      </c>
      <c r="H1666">
        <v>2</v>
      </c>
      <c r="I1666">
        <v>98.12</v>
      </c>
      <c r="J1666" t="s">
        <v>17</v>
      </c>
      <c r="K1666" t="s">
        <v>18</v>
      </c>
      <c r="L1666">
        <f>WEEKDAY(Table1[[#This Row],[Transaction_Date]],2)</f>
        <v>3</v>
      </c>
      <c r="M1666">
        <f>IF(Table1[[#This Row],[Sale_Type]]="Buffet",1,0)</f>
        <v>0</v>
      </c>
    </row>
    <row r="1667" spans="1:13" x14ac:dyDescent="0.2">
      <c r="A1667" t="s">
        <v>1940</v>
      </c>
      <c r="B1667" t="s">
        <v>334</v>
      </c>
      <c r="C1667" s="1">
        <v>46008</v>
      </c>
      <c r="D1667" t="s">
        <v>13</v>
      </c>
      <c r="E1667" t="s">
        <v>43</v>
      </c>
      <c r="F1667" t="s">
        <v>44</v>
      </c>
      <c r="G1667" t="s">
        <v>16</v>
      </c>
      <c r="H1667">
        <v>4</v>
      </c>
      <c r="I1667">
        <v>100.32</v>
      </c>
      <c r="J1667" t="s">
        <v>17</v>
      </c>
      <c r="K1667" t="s">
        <v>18</v>
      </c>
      <c r="L1667">
        <f>WEEKDAY(Table1[[#This Row],[Transaction_Date]],2)</f>
        <v>3</v>
      </c>
      <c r="M1667">
        <f>IF(Table1[[#This Row],[Sale_Type]]="Buffet",1,0)</f>
        <v>0</v>
      </c>
    </row>
    <row r="1668" spans="1:13" x14ac:dyDescent="0.2">
      <c r="A1668" t="s">
        <v>1941</v>
      </c>
      <c r="B1668" t="s">
        <v>254</v>
      </c>
      <c r="C1668" s="1">
        <v>46008</v>
      </c>
      <c r="D1668" t="s">
        <v>13</v>
      </c>
      <c r="E1668" t="s">
        <v>43</v>
      </c>
      <c r="F1668" t="s">
        <v>44</v>
      </c>
      <c r="G1668" t="s">
        <v>16</v>
      </c>
      <c r="H1668">
        <v>4</v>
      </c>
      <c r="I1668">
        <v>66.8</v>
      </c>
      <c r="J1668" t="s">
        <v>34</v>
      </c>
      <c r="K1668" t="s">
        <v>18</v>
      </c>
      <c r="L1668">
        <f>WEEKDAY(Table1[[#This Row],[Transaction_Date]],2)</f>
        <v>3</v>
      </c>
      <c r="M1668">
        <f>IF(Table1[[#This Row],[Sale_Type]]="Buffet",1,0)</f>
        <v>0</v>
      </c>
    </row>
    <row r="1669" spans="1:13" x14ac:dyDescent="0.2">
      <c r="A1669" t="s">
        <v>1942</v>
      </c>
      <c r="B1669" t="s">
        <v>260</v>
      </c>
      <c r="C1669" s="1">
        <v>46008</v>
      </c>
      <c r="D1669" t="s">
        <v>13</v>
      </c>
      <c r="E1669" t="s">
        <v>43</v>
      </c>
      <c r="F1669" t="s">
        <v>44</v>
      </c>
      <c r="G1669" t="s">
        <v>16</v>
      </c>
      <c r="H1669">
        <v>3</v>
      </c>
      <c r="I1669">
        <v>77.94</v>
      </c>
      <c r="J1669" t="s">
        <v>28</v>
      </c>
      <c r="K1669" t="s">
        <v>18</v>
      </c>
      <c r="L1669">
        <f>WEEKDAY(Table1[[#This Row],[Transaction_Date]],2)</f>
        <v>3</v>
      </c>
      <c r="M1669">
        <f>IF(Table1[[#This Row],[Sale_Type]]="Buffet",1,0)</f>
        <v>0</v>
      </c>
    </row>
    <row r="1670" spans="1:13" x14ac:dyDescent="0.2">
      <c r="A1670" t="s">
        <v>1943</v>
      </c>
      <c r="B1670" t="s">
        <v>185</v>
      </c>
      <c r="C1670" s="1">
        <v>46008</v>
      </c>
      <c r="D1670" t="s">
        <v>13</v>
      </c>
      <c r="E1670" t="s">
        <v>43</v>
      </c>
      <c r="F1670" t="s">
        <v>44</v>
      </c>
      <c r="G1670" t="s">
        <v>45</v>
      </c>
      <c r="H1670">
        <v>3</v>
      </c>
      <c r="I1670">
        <v>73.5</v>
      </c>
      <c r="J1670" t="s">
        <v>34</v>
      </c>
      <c r="K1670" t="s">
        <v>18</v>
      </c>
      <c r="L1670">
        <f>WEEKDAY(Table1[[#This Row],[Transaction_Date]],2)</f>
        <v>3</v>
      </c>
      <c r="M1670">
        <f>IF(Table1[[#This Row],[Sale_Type]]="Buffet",1,0)</f>
        <v>1</v>
      </c>
    </row>
    <row r="1671" spans="1:13" x14ac:dyDescent="0.2">
      <c r="A1671" t="s">
        <v>1944</v>
      </c>
      <c r="B1671" t="s">
        <v>483</v>
      </c>
      <c r="C1671" s="1">
        <v>46008</v>
      </c>
      <c r="D1671" t="s">
        <v>13</v>
      </c>
      <c r="E1671" t="s">
        <v>43</v>
      </c>
      <c r="F1671" t="s">
        <v>44</v>
      </c>
      <c r="G1671" t="s">
        <v>45</v>
      </c>
      <c r="H1671">
        <v>2</v>
      </c>
      <c r="I1671">
        <v>40</v>
      </c>
      <c r="J1671" t="s">
        <v>17</v>
      </c>
      <c r="K1671" t="s">
        <v>18</v>
      </c>
      <c r="L1671">
        <f>WEEKDAY(Table1[[#This Row],[Transaction_Date]],2)</f>
        <v>3</v>
      </c>
      <c r="M1671">
        <f>IF(Table1[[#This Row],[Sale_Type]]="Buffet",1,0)</f>
        <v>1</v>
      </c>
    </row>
    <row r="1672" spans="1:13" x14ac:dyDescent="0.2">
      <c r="A1672" t="s">
        <v>1945</v>
      </c>
      <c r="B1672" t="s">
        <v>564</v>
      </c>
      <c r="C1672" s="1">
        <v>46008</v>
      </c>
      <c r="D1672" t="s">
        <v>13</v>
      </c>
      <c r="E1672" t="s">
        <v>43</v>
      </c>
      <c r="F1672" t="s">
        <v>44</v>
      </c>
      <c r="G1672" t="s">
        <v>16</v>
      </c>
      <c r="H1672">
        <v>2</v>
      </c>
      <c r="I1672">
        <v>47.53</v>
      </c>
      <c r="J1672" t="s">
        <v>17</v>
      </c>
      <c r="K1672" t="s">
        <v>18</v>
      </c>
      <c r="L1672">
        <f>WEEKDAY(Table1[[#This Row],[Transaction_Date]],2)</f>
        <v>3</v>
      </c>
      <c r="M1672">
        <f>IF(Table1[[#This Row],[Sale_Type]]="Buffet",1,0)</f>
        <v>0</v>
      </c>
    </row>
    <row r="1673" spans="1:13" x14ac:dyDescent="0.2">
      <c r="A1673" t="s">
        <v>1946</v>
      </c>
      <c r="B1673" t="s">
        <v>300</v>
      </c>
      <c r="C1673" s="1">
        <v>46008</v>
      </c>
      <c r="D1673" t="s">
        <v>13</v>
      </c>
      <c r="E1673" t="s">
        <v>43</v>
      </c>
      <c r="F1673" t="s">
        <v>50</v>
      </c>
      <c r="G1673" t="s">
        <v>45</v>
      </c>
      <c r="H1673">
        <v>6</v>
      </c>
      <c r="I1673">
        <v>129</v>
      </c>
      <c r="J1673" t="s">
        <v>17</v>
      </c>
      <c r="K1673" t="s">
        <v>18</v>
      </c>
      <c r="L1673">
        <f>WEEKDAY(Table1[[#This Row],[Transaction_Date]],2)</f>
        <v>3</v>
      </c>
      <c r="M1673">
        <f>IF(Table1[[#This Row],[Sale_Type]]="Buffet",1,0)</f>
        <v>1</v>
      </c>
    </row>
    <row r="1674" spans="1:13" x14ac:dyDescent="0.2">
      <c r="A1674" t="s">
        <v>1947</v>
      </c>
      <c r="B1674" t="s">
        <v>456</v>
      </c>
      <c r="C1674" s="1">
        <v>46008</v>
      </c>
      <c r="D1674" t="s">
        <v>13</v>
      </c>
      <c r="E1674" t="s">
        <v>43</v>
      </c>
      <c r="F1674" t="s">
        <v>50</v>
      </c>
      <c r="G1674" t="s">
        <v>16</v>
      </c>
      <c r="H1674">
        <v>3</v>
      </c>
      <c r="I1674">
        <v>53.55</v>
      </c>
      <c r="J1674" t="s">
        <v>17</v>
      </c>
      <c r="K1674" t="s">
        <v>18</v>
      </c>
      <c r="L1674">
        <f>WEEKDAY(Table1[[#This Row],[Transaction_Date]],2)</f>
        <v>3</v>
      </c>
      <c r="M1674">
        <f>IF(Table1[[#This Row],[Sale_Type]]="Buffet",1,0)</f>
        <v>0</v>
      </c>
    </row>
    <row r="1675" spans="1:13" x14ac:dyDescent="0.2">
      <c r="A1675" t="s">
        <v>1948</v>
      </c>
      <c r="B1675" t="s">
        <v>83</v>
      </c>
      <c r="C1675" s="1">
        <v>46008</v>
      </c>
      <c r="D1675" t="s">
        <v>13</v>
      </c>
      <c r="E1675" t="s">
        <v>43</v>
      </c>
      <c r="F1675" t="s">
        <v>50</v>
      </c>
      <c r="G1675" t="s">
        <v>45</v>
      </c>
      <c r="H1675">
        <v>3</v>
      </c>
      <c r="I1675">
        <v>60</v>
      </c>
      <c r="J1675" t="s">
        <v>17</v>
      </c>
      <c r="K1675" t="s">
        <v>18</v>
      </c>
      <c r="L1675">
        <f>WEEKDAY(Table1[[#This Row],[Transaction_Date]],2)</f>
        <v>3</v>
      </c>
      <c r="M1675">
        <f>IF(Table1[[#This Row],[Sale_Type]]="Buffet",1,0)</f>
        <v>1</v>
      </c>
    </row>
    <row r="1676" spans="1:13" x14ac:dyDescent="0.2">
      <c r="A1676" t="s">
        <v>1949</v>
      </c>
      <c r="B1676" t="s">
        <v>61</v>
      </c>
      <c r="C1676" s="1">
        <v>46008</v>
      </c>
      <c r="D1676" t="s">
        <v>13</v>
      </c>
      <c r="E1676" t="s">
        <v>43</v>
      </c>
      <c r="F1676" t="s">
        <v>53</v>
      </c>
      <c r="G1676" t="s">
        <v>45</v>
      </c>
      <c r="H1676">
        <v>3</v>
      </c>
      <c r="I1676">
        <v>69</v>
      </c>
      <c r="J1676" t="s">
        <v>34</v>
      </c>
      <c r="K1676" t="s">
        <v>18</v>
      </c>
      <c r="L1676">
        <f>WEEKDAY(Table1[[#This Row],[Transaction_Date]],2)</f>
        <v>3</v>
      </c>
      <c r="M1676">
        <f>IF(Table1[[#This Row],[Sale_Type]]="Buffet",1,0)</f>
        <v>1</v>
      </c>
    </row>
    <row r="1677" spans="1:13" x14ac:dyDescent="0.2">
      <c r="A1677" t="s">
        <v>1950</v>
      </c>
      <c r="B1677" t="s">
        <v>737</v>
      </c>
      <c r="C1677" s="1">
        <v>46008</v>
      </c>
      <c r="D1677" t="s">
        <v>13</v>
      </c>
      <c r="E1677" t="s">
        <v>43</v>
      </c>
      <c r="F1677" t="s">
        <v>53</v>
      </c>
      <c r="G1677" t="s">
        <v>45</v>
      </c>
      <c r="H1677">
        <v>2</v>
      </c>
      <c r="I1677">
        <v>44.5</v>
      </c>
      <c r="J1677" t="s">
        <v>28</v>
      </c>
      <c r="K1677" t="s">
        <v>18</v>
      </c>
      <c r="L1677">
        <f>WEEKDAY(Table1[[#This Row],[Transaction_Date]],2)</f>
        <v>3</v>
      </c>
      <c r="M1677">
        <f>IF(Table1[[#This Row],[Sale_Type]]="Buffet",1,0)</f>
        <v>1</v>
      </c>
    </row>
    <row r="1678" spans="1:13" x14ac:dyDescent="0.2">
      <c r="A1678" t="s">
        <v>1951</v>
      </c>
      <c r="B1678" t="s">
        <v>503</v>
      </c>
      <c r="C1678" s="1">
        <v>46008</v>
      </c>
      <c r="D1678" t="s">
        <v>13</v>
      </c>
      <c r="E1678" t="s">
        <v>43</v>
      </c>
      <c r="F1678" t="s">
        <v>53</v>
      </c>
      <c r="G1678" t="s">
        <v>45</v>
      </c>
      <c r="H1678">
        <v>5</v>
      </c>
      <c r="I1678">
        <v>104.5</v>
      </c>
      <c r="J1678" t="s">
        <v>28</v>
      </c>
      <c r="K1678" t="s">
        <v>18</v>
      </c>
      <c r="L1678">
        <f>WEEKDAY(Table1[[#This Row],[Transaction_Date]],2)</f>
        <v>3</v>
      </c>
      <c r="M1678">
        <f>IF(Table1[[#This Row],[Sale_Type]]="Buffet",1,0)</f>
        <v>1</v>
      </c>
    </row>
    <row r="1679" spans="1:13" x14ac:dyDescent="0.2">
      <c r="A1679" t="s">
        <v>1952</v>
      </c>
      <c r="B1679" t="s">
        <v>501</v>
      </c>
      <c r="C1679" s="1">
        <v>46008</v>
      </c>
      <c r="D1679" t="s">
        <v>13</v>
      </c>
      <c r="E1679" t="s">
        <v>43</v>
      </c>
      <c r="F1679" t="s">
        <v>53</v>
      </c>
      <c r="G1679" t="s">
        <v>45</v>
      </c>
      <c r="H1679">
        <v>2</v>
      </c>
      <c r="I1679">
        <v>44.5</v>
      </c>
      <c r="J1679" t="s">
        <v>28</v>
      </c>
      <c r="K1679" t="s">
        <v>18</v>
      </c>
      <c r="L1679">
        <f>WEEKDAY(Table1[[#This Row],[Transaction_Date]],2)</f>
        <v>3</v>
      </c>
      <c r="M1679">
        <f>IF(Table1[[#This Row],[Sale_Type]]="Buffet",1,0)</f>
        <v>1</v>
      </c>
    </row>
    <row r="1680" spans="1:13" x14ac:dyDescent="0.2">
      <c r="A1680" t="s">
        <v>1953</v>
      </c>
      <c r="B1680" t="s">
        <v>658</v>
      </c>
      <c r="C1680" s="1">
        <v>46008</v>
      </c>
      <c r="D1680" t="s">
        <v>13</v>
      </c>
      <c r="E1680" t="s">
        <v>43</v>
      </c>
      <c r="F1680" t="s">
        <v>57</v>
      </c>
      <c r="G1680" t="s">
        <v>45</v>
      </c>
      <c r="H1680">
        <v>3</v>
      </c>
      <c r="I1680">
        <v>60</v>
      </c>
      <c r="J1680" t="s">
        <v>17</v>
      </c>
      <c r="K1680" t="s">
        <v>18</v>
      </c>
      <c r="L1680">
        <f>WEEKDAY(Table1[[#This Row],[Transaction_Date]],2)</f>
        <v>3</v>
      </c>
      <c r="M1680">
        <f>IF(Table1[[#This Row],[Sale_Type]]="Buffet",1,0)</f>
        <v>1</v>
      </c>
    </row>
    <row r="1681" spans="1:13" x14ac:dyDescent="0.2">
      <c r="A1681" t="s">
        <v>1954</v>
      </c>
      <c r="B1681" t="s">
        <v>30</v>
      </c>
      <c r="C1681" s="1">
        <v>46008</v>
      </c>
      <c r="D1681" t="s">
        <v>13</v>
      </c>
      <c r="E1681" t="s">
        <v>43</v>
      </c>
      <c r="F1681" t="s">
        <v>57</v>
      </c>
      <c r="G1681" t="s">
        <v>45</v>
      </c>
      <c r="H1681">
        <v>5</v>
      </c>
      <c r="I1681">
        <v>113.5</v>
      </c>
      <c r="J1681" t="s">
        <v>34</v>
      </c>
      <c r="K1681" t="s">
        <v>18</v>
      </c>
      <c r="L1681">
        <f>WEEKDAY(Table1[[#This Row],[Transaction_Date]],2)</f>
        <v>3</v>
      </c>
      <c r="M1681">
        <f>IF(Table1[[#This Row],[Sale_Type]]="Buffet",1,0)</f>
        <v>1</v>
      </c>
    </row>
    <row r="1682" spans="1:13" x14ac:dyDescent="0.2">
      <c r="A1682" t="s">
        <v>1955</v>
      </c>
      <c r="B1682" t="s">
        <v>122</v>
      </c>
      <c r="C1682" s="1">
        <v>46009</v>
      </c>
      <c r="D1682" t="s">
        <v>62</v>
      </c>
      <c r="E1682" t="s">
        <v>14</v>
      </c>
      <c r="F1682" t="s">
        <v>15</v>
      </c>
      <c r="G1682" t="s">
        <v>16</v>
      </c>
      <c r="H1682">
        <v>6</v>
      </c>
      <c r="I1682">
        <v>162.28</v>
      </c>
      <c r="J1682" t="s">
        <v>28</v>
      </c>
      <c r="K1682" t="s">
        <v>21</v>
      </c>
      <c r="L1682">
        <f>WEEKDAY(Table1[[#This Row],[Transaction_Date]],2)</f>
        <v>4</v>
      </c>
      <c r="M1682">
        <f>IF(Table1[[#This Row],[Sale_Type]]="Buffet",1,0)</f>
        <v>0</v>
      </c>
    </row>
    <row r="1683" spans="1:13" x14ac:dyDescent="0.2">
      <c r="A1683" t="s">
        <v>1956</v>
      </c>
      <c r="B1683" t="s">
        <v>1179</v>
      </c>
      <c r="C1683" s="1">
        <v>46009</v>
      </c>
      <c r="D1683" t="s">
        <v>62</v>
      </c>
      <c r="E1683" t="s">
        <v>14</v>
      </c>
      <c r="F1683" t="s">
        <v>24</v>
      </c>
      <c r="G1683" t="s">
        <v>16</v>
      </c>
      <c r="H1683">
        <v>3</v>
      </c>
      <c r="I1683">
        <v>81.13</v>
      </c>
      <c r="J1683" t="s">
        <v>17</v>
      </c>
      <c r="K1683" t="s">
        <v>18</v>
      </c>
      <c r="L1683">
        <f>WEEKDAY(Table1[[#This Row],[Transaction_Date]],2)</f>
        <v>4</v>
      </c>
      <c r="M1683">
        <f>IF(Table1[[#This Row],[Sale_Type]]="Buffet",1,0)</f>
        <v>0</v>
      </c>
    </row>
    <row r="1684" spans="1:13" x14ac:dyDescent="0.2">
      <c r="A1684" t="s">
        <v>1957</v>
      </c>
      <c r="B1684" t="s">
        <v>400</v>
      </c>
      <c r="C1684" s="1">
        <v>46009</v>
      </c>
      <c r="D1684" t="s">
        <v>62</v>
      </c>
      <c r="E1684" t="s">
        <v>14</v>
      </c>
      <c r="F1684" t="s">
        <v>24</v>
      </c>
      <c r="G1684" t="s">
        <v>16</v>
      </c>
      <c r="H1684">
        <v>3</v>
      </c>
      <c r="I1684">
        <v>73.81</v>
      </c>
      <c r="J1684" t="s">
        <v>17</v>
      </c>
      <c r="K1684" t="s">
        <v>21</v>
      </c>
      <c r="L1684">
        <f>WEEKDAY(Table1[[#This Row],[Transaction_Date]],2)</f>
        <v>4</v>
      </c>
      <c r="M1684">
        <f>IF(Table1[[#This Row],[Sale_Type]]="Buffet",1,0)</f>
        <v>0</v>
      </c>
    </row>
    <row r="1685" spans="1:13" x14ac:dyDescent="0.2">
      <c r="A1685" t="s">
        <v>1958</v>
      </c>
      <c r="B1685" t="s">
        <v>372</v>
      </c>
      <c r="C1685" s="1">
        <v>46009</v>
      </c>
      <c r="D1685" t="s">
        <v>62</v>
      </c>
      <c r="E1685" t="s">
        <v>14</v>
      </c>
      <c r="F1685" t="s">
        <v>27</v>
      </c>
      <c r="G1685" t="s">
        <v>16</v>
      </c>
      <c r="H1685">
        <v>3</v>
      </c>
      <c r="I1685">
        <v>114.24</v>
      </c>
      <c r="J1685" t="s">
        <v>28</v>
      </c>
      <c r="K1685" t="s">
        <v>18</v>
      </c>
      <c r="L1685">
        <f>WEEKDAY(Table1[[#This Row],[Transaction_Date]],2)</f>
        <v>4</v>
      </c>
      <c r="M1685">
        <f>IF(Table1[[#This Row],[Sale_Type]]="Buffet",1,0)</f>
        <v>0</v>
      </c>
    </row>
    <row r="1686" spans="1:13" x14ac:dyDescent="0.2">
      <c r="A1686" t="s">
        <v>1959</v>
      </c>
      <c r="B1686" t="s">
        <v>537</v>
      </c>
      <c r="C1686" s="1">
        <v>46009</v>
      </c>
      <c r="D1686" t="s">
        <v>62</v>
      </c>
      <c r="E1686" t="s">
        <v>14</v>
      </c>
      <c r="F1686" t="s">
        <v>27</v>
      </c>
      <c r="G1686" t="s">
        <v>16</v>
      </c>
      <c r="H1686">
        <v>6</v>
      </c>
      <c r="I1686">
        <v>225.97</v>
      </c>
      <c r="J1686" t="s">
        <v>34</v>
      </c>
      <c r="K1686" t="s">
        <v>18</v>
      </c>
      <c r="L1686">
        <f>WEEKDAY(Table1[[#This Row],[Transaction_Date]],2)</f>
        <v>4</v>
      </c>
      <c r="M1686">
        <f>IF(Table1[[#This Row],[Sale_Type]]="Buffet",1,0)</f>
        <v>0</v>
      </c>
    </row>
    <row r="1687" spans="1:13" x14ac:dyDescent="0.2">
      <c r="A1687" t="s">
        <v>1960</v>
      </c>
      <c r="B1687" t="s">
        <v>76</v>
      </c>
      <c r="C1687" s="1">
        <v>46009</v>
      </c>
      <c r="D1687" t="s">
        <v>62</v>
      </c>
      <c r="E1687" t="s">
        <v>14</v>
      </c>
      <c r="F1687" t="s">
        <v>27</v>
      </c>
      <c r="G1687" t="s">
        <v>16</v>
      </c>
      <c r="H1687">
        <v>3</v>
      </c>
      <c r="I1687">
        <v>71.349999999999994</v>
      </c>
      <c r="J1687" t="s">
        <v>28</v>
      </c>
      <c r="K1687" t="s">
        <v>18</v>
      </c>
      <c r="L1687">
        <f>WEEKDAY(Table1[[#This Row],[Transaction_Date]],2)</f>
        <v>4</v>
      </c>
      <c r="M1687">
        <f>IF(Table1[[#This Row],[Sale_Type]]="Buffet",1,0)</f>
        <v>0</v>
      </c>
    </row>
    <row r="1688" spans="1:13" x14ac:dyDescent="0.2">
      <c r="A1688" t="s">
        <v>1961</v>
      </c>
      <c r="B1688" t="s">
        <v>39</v>
      </c>
      <c r="C1688" s="1">
        <v>46009</v>
      </c>
      <c r="D1688" t="s">
        <v>62</v>
      </c>
      <c r="E1688" t="s">
        <v>14</v>
      </c>
      <c r="F1688" t="s">
        <v>27</v>
      </c>
      <c r="G1688" t="s">
        <v>16</v>
      </c>
      <c r="H1688">
        <v>4</v>
      </c>
      <c r="I1688">
        <v>156.31</v>
      </c>
      <c r="J1688" t="s">
        <v>34</v>
      </c>
      <c r="K1688" t="s">
        <v>18</v>
      </c>
      <c r="L1688">
        <f>WEEKDAY(Table1[[#This Row],[Transaction_Date]],2)</f>
        <v>4</v>
      </c>
      <c r="M1688">
        <f>IF(Table1[[#This Row],[Sale_Type]]="Buffet",1,0)</f>
        <v>0</v>
      </c>
    </row>
    <row r="1689" spans="1:13" x14ac:dyDescent="0.2">
      <c r="A1689" t="s">
        <v>1962</v>
      </c>
      <c r="B1689" t="s">
        <v>313</v>
      </c>
      <c r="C1689" s="1">
        <v>46009</v>
      </c>
      <c r="D1689" t="s">
        <v>62</v>
      </c>
      <c r="E1689" t="s">
        <v>14</v>
      </c>
      <c r="F1689" t="s">
        <v>31</v>
      </c>
      <c r="G1689" t="s">
        <v>16</v>
      </c>
      <c r="H1689">
        <v>3</v>
      </c>
      <c r="I1689">
        <v>52.34</v>
      </c>
      <c r="J1689" t="s">
        <v>34</v>
      </c>
      <c r="K1689" t="s">
        <v>18</v>
      </c>
      <c r="L1689">
        <f>WEEKDAY(Table1[[#This Row],[Transaction_Date]],2)</f>
        <v>4</v>
      </c>
      <c r="M1689">
        <f>IF(Table1[[#This Row],[Sale_Type]]="Buffet",1,0)</f>
        <v>0</v>
      </c>
    </row>
    <row r="1690" spans="1:13" x14ac:dyDescent="0.2">
      <c r="A1690" t="s">
        <v>1963</v>
      </c>
      <c r="B1690" t="s">
        <v>122</v>
      </c>
      <c r="C1690" s="1">
        <v>46009</v>
      </c>
      <c r="D1690" t="s">
        <v>62</v>
      </c>
      <c r="E1690" t="s">
        <v>14</v>
      </c>
      <c r="F1690" t="s">
        <v>40</v>
      </c>
      <c r="G1690" t="s">
        <v>16</v>
      </c>
      <c r="H1690">
        <v>5</v>
      </c>
      <c r="I1690">
        <v>141.87</v>
      </c>
      <c r="J1690" t="s">
        <v>34</v>
      </c>
      <c r="K1690" t="s">
        <v>18</v>
      </c>
      <c r="L1690">
        <f>WEEKDAY(Table1[[#This Row],[Transaction_Date]],2)</f>
        <v>4</v>
      </c>
      <c r="M1690">
        <f>IF(Table1[[#This Row],[Sale_Type]]="Buffet",1,0)</f>
        <v>0</v>
      </c>
    </row>
    <row r="1691" spans="1:13" x14ac:dyDescent="0.2">
      <c r="A1691" t="s">
        <v>1964</v>
      </c>
      <c r="B1691" t="s">
        <v>907</v>
      </c>
      <c r="C1691" s="1">
        <v>46009</v>
      </c>
      <c r="D1691" t="s">
        <v>62</v>
      </c>
      <c r="E1691" t="s">
        <v>14</v>
      </c>
      <c r="F1691" t="s">
        <v>40</v>
      </c>
      <c r="G1691" t="s">
        <v>16</v>
      </c>
      <c r="H1691">
        <v>5</v>
      </c>
      <c r="I1691">
        <v>144.94</v>
      </c>
      <c r="J1691" t="s">
        <v>17</v>
      </c>
      <c r="K1691" t="s">
        <v>18</v>
      </c>
      <c r="L1691">
        <f>WEEKDAY(Table1[[#This Row],[Transaction_Date]],2)</f>
        <v>4</v>
      </c>
      <c r="M1691">
        <f>IF(Table1[[#This Row],[Sale_Type]]="Buffet",1,0)</f>
        <v>0</v>
      </c>
    </row>
    <row r="1692" spans="1:13" x14ac:dyDescent="0.2">
      <c r="A1692" t="s">
        <v>1965</v>
      </c>
      <c r="B1692" t="s">
        <v>989</v>
      </c>
      <c r="C1692" s="1">
        <v>46009</v>
      </c>
      <c r="D1692" t="s">
        <v>62</v>
      </c>
      <c r="E1692" t="s">
        <v>14</v>
      </c>
      <c r="F1692" t="s">
        <v>40</v>
      </c>
      <c r="G1692" t="s">
        <v>16</v>
      </c>
      <c r="H1692">
        <v>1</v>
      </c>
      <c r="I1692">
        <v>22.78</v>
      </c>
      <c r="J1692" t="s">
        <v>28</v>
      </c>
      <c r="K1692" t="s">
        <v>18</v>
      </c>
      <c r="L1692">
        <f>WEEKDAY(Table1[[#This Row],[Transaction_Date]],2)</f>
        <v>4</v>
      </c>
      <c r="M1692">
        <f>IF(Table1[[#This Row],[Sale_Type]]="Buffet",1,0)</f>
        <v>0</v>
      </c>
    </row>
    <row r="1693" spans="1:13" x14ac:dyDescent="0.2">
      <c r="A1693" t="s">
        <v>1966</v>
      </c>
      <c r="B1693" t="s">
        <v>1231</v>
      </c>
      <c r="C1693" s="1">
        <v>46009</v>
      </c>
      <c r="D1693" t="s">
        <v>62</v>
      </c>
      <c r="E1693" t="s">
        <v>14</v>
      </c>
      <c r="F1693" t="s">
        <v>40</v>
      </c>
      <c r="G1693" t="s">
        <v>16</v>
      </c>
      <c r="H1693">
        <v>4</v>
      </c>
      <c r="I1693">
        <v>170.52</v>
      </c>
      <c r="J1693" t="s">
        <v>17</v>
      </c>
      <c r="K1693" t="s">
        <v>18</v>
      </c>
      <c r="L1693">
        <f>WEEKDAY(Table1[[#This Row],[Transaction_Date]],2)</f>
        <v>4</v>
      </c>
      <c r="M1693">
        <f>IF(Table1[[#This Row],[Sale_Type]]="Buffet",1,0)</f>
        <v>0</v>
      </c>
    </row>
    <row r="1694" spans="1:13" x14ac:dyDescent="0.2">
      <c r="A1694" t="s">
        <v>1967</v>
      </c>
      <c r="B1694" t="s">
        <v>476</v>
      </c>
      <c r="C1694" s="1">
        <v>46009</v>
      </c>
      <c r="D1694" t="s">
        <v>62</v>
      </c>
      <c r="E1694" t="s">
        <v>14</v>
      </c>
      <c r="F1694" t="s">
        <v>40</v>
      </c>
      <c r="G1694" t="s">
        <v>16</v>
      </c>
      <c r="H1694">
        <v>2</v>
      </c>
      <c r="I1694">
        <v>61.57</v>
      </c>
      <c r="J1694" t="s">
        <v>34</v>
      </c>
      <c r="K1694" t="s">
        <v>18</v>
      </c>
      <c r="L1694">
        <f>WEEKDAY(Table1[[#This Row],[Transaction_Date]],2)</f>
        <v>4</v>
      </c>
      <c r="M1694">
        <f>IF(Table1[[#This Row],[Sale_Type]]="Buffet",1,0)</f>
        <v>0</v>
      </c>
    </row>
    <row r="1695" spans="1:13" x14ac:dyDescent="0.2">
      <c r="A1695" t="s">
        <v>1968</v>
      </c>
      <c r="B1695" t="s">
        <v>379</v>
      </c>
      <c r="C1695" s="1">
        <v>46009</v>
      </c>
      <c r="D1695" t="s">
        <v>62</v>
      </c>
      <c r="E1695" t="s">
        <v>14</v>
      </c>
      <c r="F1695" t="s">
        <v>40</v>
      </c>
      <c r="G1695" t="s">
        <v>16</v>
      </c>
      <c r="H1695">
        <v>4</v>
      </c>
      <c r="I1695">
        <v>65.739999999999995</v>
      </c>
      <c r="J1695" t="s">
        <v>17</v>
      </c>
      <c r="K1695" t="s">
        <v>18</v>
      </c>
      <c r="L1695">
        <f>WEEKDAY(Table1[[#This Row],[Transaction_Date]],2)</f>
        <v>4</v>
      </c>
      <c r="M1695">
        <f>IF(Table1[[#This Row],[Sale_Type]]="Buffet",1,0)</f>
        <v>0</v>
      </c>
    </row>
    <row r="1696" spans="1:13" x14ac:dyDescent="0.2">
      <c r="A1696" t="s">
        <v>1969</v>
      </c>
      <c r="B1696" t="s">
        <v>334</v>
      </c>
      <c r="C1696" s="1">
        <v>46009</v>
      </c>
      <c r="D1696" t="s">
        <v>62</v>
      </c>
      <c r="E1696" t="s">
        <v>14</v>
      </c>
      <c r="F1696" t="s">
        <v>40</v>
      </c>
      <c r="G1696" t="s">
        <v>16</v>
      </c>
      <c r="H1696">
        <v>3</v>
      </c>
      <c r="I1696">
        <v>107.94</v>
      </c>
      <c r="J1696" t="s">
        <v>28</v>
      </c>
      <c r="K1696" t="s">
        <v>21</v>
      </c>
      <c r="L1696">
        <f>WEEKDAY(Table1[[#This Row],[Transaction_Date]],2)</f>
        <v>4</v>
      </c>
      <c r="M1696">
        <f>IF(Table1[[#This Row],[Sale_Type]]="Buffet",1,0)</f>
        <v>0</v>
      </c>
    </row>
    <row r="1697" spans="1:13" x14ac:dyDescent="0.2">
      <c r="A1697" t="s">
        <v>1970</v>
      </c>
      <c r="B1697" t="s">
        <v>737</v>
      </c>
      <c r="C1697" s="1">
        <v>46009</v>
      </c>
      <c r="D1697" t="s">
        <v>62</v>
      </c>
      <c r="E1697" t="s">
        <v>43</v>
      </c>
      <c r="F1697" t="s">
        <v>44</v>
      </c>
      <c r="G1697" t="s">
        <v>16</v>
      </c>
      <c r="H1697">
        <v>3</v>
      </c>
      <c r="I1697">
        <v>59.55</v>
      </c>
      <c r="J1697" t="s">
        <v>17</v>
      </c>
      <c r="K1697" t="s">
        <v>18</v>
      </c>
      <c r="L1697">
        <f>WEEKDAY(Table1[[#This Row],[Transaction_Date]],2)</f>
        <v>4</v>
      </c>
      <c r="M1697">
        <f>IF(Table1[[#This Row],[Sale_Type]]="Buffet",1,0)</f>
        <v>0</v>
      </c>
    </row>
    <row r="1698" spans="1:13" x14ac:dyDescent="0.2">
      <c r="A1698" t="s">
        <v>1971</v>
      </c>
      <c r="B1698" t="s">
        <v>235</v>
      </c>
      <c r="C1698" s="1">
        <v>46009</v>
      </c>
      <c r="D1698" t="s">
        <v>62</v>
      </c>
      <c r="E1698" t="s">
        <v>43</v>
      </c>
      <c r="F1698" t="s">
        <v>44</v>
      </c>
      <c r="G1698" t="s">
        <v>45</v>
      </c>
      <c r="H1698">
        <v>4</v>
      </c>
      <c r="I1698">
        <v>98</v>
      </c>
      <c r="J1698" t="s">
        <v>34</v>
      </c>
      <c r="K1698" t="s">
        <v>18</v>
      </c>
      <c r="L1698">
        <f>WEEKDAY(Table1[[#This Row],[Transaction_Date]],2)</f>
        <v>4</v>
      </c>
      <c r="M1698">
        <f>IF(Table1[[#This Row],[Sale_Type]]="Buffet",1,0)</f>
        <v>1</v>
      </c>
    </row>
    <row r="1699" spans="1:13" x14ac:dyDescent="0.2">
      <c r="A1699" t="s">
        <v>1972</v>
      </c>
      <c r="B1699" t="s">
        <v>495</v>
      </c>
      <c r="C1699" s="1">
        <v>46009</v>
      </c>
      <c r="D1699" t="s">
        <v>62</v>
      </c>
      <c r="E1699" t="s">
        <v>43</v>
      </c>
      <c r="F1699" t="s">
        <v>44</v>
      </c>
      <c r="G1699" t="s">
        <v>45</v>
      </c>
      <c r="H1699">
        <v>3</v>
      </c>
      <c r="I1699">
        <v>64.5</v>
      </c>
      <c r="J1699" t="s">
        <v>17</v>
      </c>
      <c r="K1699" t="s">
        <v>18</v>
      </c>
      <c r="L1699">
        <f>WEEKDAY(Table1[[#This Row],[Transaction_Date]],2)</f>
        <v>4</v>
      </c>
      <c r="M1699">
        <f>IF(Table1[[#This Row],[Sale_Type]]="Buffet",1,0)</f>
        <v>1</v>
      </c>
    </row>
    <row r="1700" spans="1:13" x14ac:dyDescent="0.2">
      <c r="A1700" t="s">
        <v>1973</v>
      </c>
      <c r="B1700" t="s">
        <v>83</v>
      </c>
      <c r="C1700" s="1">
        <v>46009</v>
      </c>
      <c r="D1700" t="s">
        <v>62</v>
      </c>
      <c r="E1700" t="s">
        <v>43</v>
      </c>
      <c r="F1700" t="s">
        <v>44</v>
      </c>
      <c r="G1700" t="s">
        <v>45</v>
      </c>
      <c r="H1700">
        <v>1</v>
      </c>
      <c r="I1700">
        <v>24.5</v>
      </c>
      <c r="J1700" t="s">
        <v>17</v>
      </c>
      <c r="K1700" t="s">
        <v>18</v>
      </c>
      <c r="L1700">
        <f>WEEKDAY(Table1[[#This Row],[Transaction_Date]],2)</f>
        <v>4</v>
      </c>
      <c r="M1700">
        <f>IF(Table1[[#This Row],[Sale_Type]]="Buffet",1,0)</f>
        <v>1</v>
      </c>
    </row>
    <row r="1701" spans="1:13" x14ac:dyDescent="0.2">
      <c r="A1701" t="s">
        <v>1974</v>
      </c>
      <c r="B1701" t="s">
        <v>624</v>
      </c>
      <c r="C1701" s="1">
        <v>46009</v>
      </c>
      <c r="D1701" t="s">
        <v>62</v>
      </c>
      <c r="E1701" t="s">
        <v>43</v>
      </c>
      <c r="F1701" t="s">
        <v>44</v>
      </c>
      <c r="G1701" t="s">
        <v>45</v>
      </c>
      <c r="H1701">
        <v>5</v>
      </c>
      <c r="I1701">
        <v>109</v>
      </c>
      <c r="J1701" t="s">
        <v>17</v>
      </c>
      <c r="K1701" t="s">
        <v>21</v>
      </c>
      <c r="L1701">
        <f>WEEKDAY(Table1[[#This Row],[Transaction_Date]],2)</f>
        <v>4</v>
      </c>
      <c r="M1701">
        <f>IF(Table1[[#This Row],[Sale_Type]]="Buffet",1,0)</f>
        <v>1</v>
      </c>
    </row>
    <row r="1702" spans="1:13" x14ac:dyDescent="0.2">
      <c r="A1702" t="s">
        <v>1975</v>
      </c>
      <c r="B1702" t="s">
        <v>185</v>
      </c>
      <c r="C1702" s="1">
        <v>46009</v>
      </c>
      <c r="D1702" t="s">
        <v>62</v>
      </c>
      <c r="E1702" t="s">
        <v>43</v>
      </c>
      <c r="F1702" t="s">
        <v>50</v>
      </c>
      <c r="G1702" t="s">
        <v>16</v>
      </c>
      <c r="H1702">
        <v>3</v>
      </c>
      <c r="I1702">
        <v>77.489999999999995</v>
      </c>
      <c r="J1702" t="s">
        <v>17</v>
      </c>
      <c r="K1702" t="s">
        <v>21</v>
      </c>
      <c r="L1702">
        <f>WEEKDAY(Table1[[#This Row],[Transaction_Date]],2)</f>
        <v>4</v>
      </c>
      <c r="M1702">
        <f>IF(Table1[[#This Row],[Sale_Type]]="Buffet",1,0)</f>
        <v>0</v>
      </c>
    </row>
    <row r="1703" spans="1:13" x14ac:dyDescent="0.2">
      <c r="A1703" t="s">
        <v>1976</v>
      </c>
      <c r="B1703" t="s">
        <v>30</v>
      </c>
      <c r="C1703" s="1">
        <v>46009</v>
      </c>
      <c r="D1703" t="s">
        <v>62</v>
      </c>
      <c r="E1703" t="s">
        <v>43</v>
      </c>
      <c r="F1703" t="s">
        <v>53</v>
      </c>
      <c r="G1703" t="s">
        <v>16</v>
      </c>
      <c r="H1703">
        <v>2</v>
      </c>
      <c r="I1703">
        <v>61.5</v>
      </c>
      <c r="J1703" t="s">
        <v>34</v>
      </c>
      <c r="K1703" t="s">
        <v>18</v>
      </c>
      <c r="L1703">
        <f>WEEKDAY(Table1[[#This Row],[Transaction_Date]],2)</f>
        <v>4</v>
      </c>
      <c r="M1703">
        <f>IF(Table1[[#This Row],[Sale_Type]]="Buffet",1,0)</f>
        <v>0</v>
      </c>
    </row>
    <row r="1704" spans="1:13" x14ac:dyDescent="0.2">
      <c r="A1704" t="s">
        <v>1977</v>
      </c>
      <c r="B1704" t="s">
        <v>341</v>
      </c>
      <c r="C1704" s="1">
        <v>46009</v>
      </c>
      <c r="D1704" t="s">
        <v>62</v>
      </c>
      <c r="E1704" t="s">
        <v>43</v>
      </c>
      <c r="F1704" t="s">
        <v>53</v>
      </c>
      <c r="G1704" t="s">
        <v>45</v>
      </c>
      <c r="H1704">
        <v>4</v>
      </c>
      <c r="I1704">
        <v>84.5</v>
      </c>
      <c r="J1704" t="s">
        <v>17</v>
      </c>
      <c r="K1704" t="s">
        <v>18</v>
      </c>
      <c r="L1704">
        <f>WEEKDAY(Table1[[#This Row],[Transaction_Date]],2)</f>
        <v>4</v>
      </c>
      <c r="M1704">
        <f>IF(Table1[[#This Row],[Sale_Type]]="Buffet",1,0)</f>
        <v>1</v>
      </c>
    </row>
    <row r="1705" spans="1:13" x14ac:dyDescent="0.2">
      <c r="A1705" t="s">
        <v>1978</v>
      </c>
      <c r="B1705" t="s">
        <v>185</v>
      </c>
      <c r="C1705" s="1">
        <v>46009</v>
      </c>
      <c r="D1705" t="s">
        <v>62</v>
      </c>
      <c r="E1705" t="s">
        <v>43</v>
      </c>
      <c r="F1705" t="s">
        <v>57</v>
      </c>
      <c r="G1705" t="s">
        <v>45</v>
      </c>
      <c r="H1705">
        <v>3</v>
      </c>
      <c r="I1705">
        <v>60</v>
      </c>
      <c r="J1705" t="s">
        <v>34</v>
      </c>
      <c r="K1705" t="s">
        <v>21</v>
      </c>
      <c r="L1705">
        <f>WEEKDAY(Table1[[#This Row],[Transaction_Date]],2)</f>
        <v>4</v>
      </c>
      <c r="M1705">
        <f>IF(Table1[[#This Row],[Sale_Type]]="Buffet",1,0)</f>
        <v>1</v>
      </c>
    </row>
    <row r="1706" spans="1:13" x14ac:dyDescent="0.2">
      <c r="A1706" t="s">
        <v>1979</v>
      </c>
      <c r="B1706" t="s">
        <v>124</v>
      </c>
      <c r="C1706" s="1">
        <v>46009</v>
      </c>
      <c r="D1706" t="s">
        <v>62</v>
      </c>
      <c r="E1706" t="s">
        <v>43</v>
      </c>
      <c r="F1706" t="s">
        <v>57</v>
      </c>
      <c r="G1706" t="s">
        <v>16</v>
      </c>
      <c r="H1706">
        <v>3</v>
      </c>
      <c r="I1706">
        <v>84.55</v>
      </c>
      <c r="J1706" t="s">
        <v>34</v>
      </c>
      <c r="K1706" t="s">
        <v>21</v>
      </c>
      <c r="L1706">
        <f>WEEKDAY(Table1[[#This Row],[Transaction_Date]],2)</f>
        <v>4</v>
      </c>
      <c r="M1706">
        <f>IF(Table1[[#This Row],[Sale_Type]]="Buffet",1,0)</f>
        <v>0</v>
      </c>
    </row>
    <row r="1707" spans="1:13" x14ac:dyDescent="0.2">
      <c r="A1707" t="s">
        <v>1980</v>
      </c>
      <c r="B1707" t="s">
        <v>309</v>
      </c>
      <c r="C1707" s="1">
        <v>46009</v>
      </c>
      <c r="D1707" t="s">
        <v>62</v>
      </c>
      <c r="E1707" t="s">
        <v>43</v>
      </c>
      <c r="F1707" t="s">
        <v>57</v>
      </c>
      <c r="G1707" t="s">
        <v>45</v>
      </c>
      <c r="H1707">
        <v>3</v>
      </c>
      <c r="I1707">
        <v>64.5</v>
      </c>
      <c r="J1707" t="s">
        <v>34</v>
      </c>
      <c r="K1707" t="s">
        <v>21</v>
      </c>
      <c r="L1707">
        <f>WEEKDAY(Table1[[#This Row],[Transaction_Date]],2)</f>
        <v>4</v>
      </c>
      <c r="M1707">
        <f>IF(Table1[[#This Row],[Sale_Type]]="Buffet",1,0)</f>
        <v>1</v>
      </c>
    </row>
    <row r="1708" spans="1:13" x14ac:dyDescent="0.2">
      <c r="A1708" t="s">
        <v>1981</v>
      </c>
      <c r="B1708" t="s">
        <v>445</v>
      </c>
      <c r="C1708" s="1">
        <v>46010</v>
      </c>
      <c r="D1708" t="s">
        <v>96</v>
      </c>
      <c r="E1708" t="s">
        <v>14</v>
      </c>
      <c r="F1708" t="s">
        <v>15</v>
      </c>
      <c r="G1708" t="s">
        <v>16</v>
      </c>
      <c r="H1708">
        <v>1</v>
      </c>
      <c r="I1708">
        <v>36.49</v>
      </c>
      <c r="J1708" t="s">
        <v>17</v>
      </c>
      <c r="K1708" t="s">
        <v>18</v>
      </c>
      <c r="L1708">
        <f>WEEKDAY(Table1[[#This Row],[Transaction_Date]],2)</f>
        <v>5</v>
      </c>
      <c r="M1708">
        <f>IF(Table1[[#This Row],[Sale_Type]]="Buffet",1,0)</f>
        <v>0</v>
      </c>
    </row>
    <row r="1709" spans="1:13" x14ac:dyDescent="0.2">
      <c r="A1709" t="s">
        <v>1982</v>
      </c>
      <c r="B1709" t="s">
        <v>61</v>
      </c>
      <c r="C1709" s="1">
        <v>46010</v>
      </c>
      <c r="D1709" t="s">
        <v>96</v>
      </c>
      <c r="E1709" t="s">
        <v>14</v>
      </c>
      <c r="F1709" t="s">
        <v>15</v>
      </c>
      <c r="G1709" t="s">
        <v>16</v>
      </c>
      <c r="H1709">
        <v>2</v>
      </c>
      <c r="I1709">
        <v>107.87</v>
      </c>
      <c r="J1709" t="s">
        <v>17</v>
      </c>
      <c r="K1709" t="s">
        <v>18</v>
      </c>
      <c r="L1709">
        <f>WEEKDAY(Table1[[#This Row],[Transaction_Date]],2)</f>
        <v>5</v>
      </c>
      <c r="M1709">
        <f>IF(Table1[[#This Row],[Sale_Type]]="Buffet",1,0)</f>
        <v>0</v>
      </c>
    </row>
    <row r="1710" spans="1:13" x14ac:dyDescent="0.2">
      <c r="A1710" t="s">
        <v>1983</v>
      </c>
      <c r="B1710" t="s">
        <v>208</v>
      </c>
      <c r="C1710" s="1">
        <v>46010</v>
      </c>
      <c r="D1710" t="s">
        <v>96</v>
      </c>
      <c r="E1710" t="s">
        <v>14</v>
      </c>
      <c r="F1710" t="s">
        <v>24</v>
      </c>
      <c r="G1710" t="s">
        <v>16</v>
      </c>
      <c r="H1710">
        <v>2</v>
      </c>
      <c r="I1710">
        <v>56.68</v>
      </c>
      <c r="J1710" t="s">
        <v>17</v>
      </c>
      <c r="K1710" t="s">
        <v>18</v>
      </c>
      <c r="L1710">
        <f>WEEKDAY(Table1[[#This Row],[Transaction_Date]],2)</f>
        <v>5</v>
      </c>
      <c r="M1710">
        <f>IF(Table1[[#This Row],[Sale_Type]]="Buffet",1,0)</f>
        <v>0</v>
      </c>
    </row>
    <row r="1711" spans="1:13" x14ac:dyDescent="0.2">
      <c r="A1711" t="s">
        <v>1984</v>
      </c>
      <c r="B1711" t="s">
        <v>537</v>
      </c>
      <c r="C1711" s="1">
        <v>46010</v>
      </c>
      <c r="D1711" t="s">
        <v>96</v>
      </c>
      <c r="E1711" t="s">
        <v>14</v>
      </c>
      <c r="F1711" t="s">
        <v>27</v>
      </c>
      <c r="G1711" t="s">
        <v>16</v>
      </c>
      <c r="H1711">
        <v>4</v>
      </c>
      <c r="I1711">
        <v>101.89</v>
      </c>
      <c r="J1711" t="s">
        <v>17</v>
      </c>
      <c r="K1711" t="s">
        <v>18</v>
      </c>
      <c r="L1711">
        <f>WEEKDAY(Table1[[#This Row],[Transaction_Date]],2)</f>
        <v>5</v>
      </c>
      <c r="M1711">
        <f>IF(Table1[[#This Row],[Sale_Type]]="Buffet",1,0)</f>
        <v>0</v>
      </c>
    </row>
    <row r="1712" spans="1:13" x14ac:dyDescent="0.2">
      <c r="A1712" t="s">
        <v>1985</v>
      </c>
      <c r="B1712" t="s">
        <v>304</v>
      </c>
      <c r="C1712" s="1">
        <v>46010</v>
      </c>
      <c r="D1712" t="s">
        <v>96</v>
      </c>
      <c r="E1712" t="s">
        <v>14</v>
      </c>
      <c r="F1712" t="s">
        <v>27</v>
      </c>
      <c r="G1712" t="s">
        <v>16</v>
      </c>
      <c r="H1712">
        <v>2</v>
      </c>
      <c r="I1712">
        <v>63.44</v>
      </c>
      <c r="J1712" t="s">
        <v>17</v>
      </c>
      <c r="K1712" t="s">
        <v>18</v>
      </c>
      <c r="L1712">
        <f>WEEKDAY(Table1[[#This Row],[Transaction_Date]],2)</f>
        <v>5</v>
      </c>
      <c r="M1712">
        <f>IF(Table1[[#This Row],[Sale_Type]]="Buffet",1,0)</f>
        <v>0</v>
      </c>
    </row>
    <row r="1713" spans="1:13" x14ac:dyDescent="0.2">
      <c r="A1713" t="s">
        <v>1986</v>
      </c>
      <c r="B1713" t="s">
        <v>467</v>
      </c>
      <c r="C1713" s="1">
        <v>46010</v>
      </c>
      <c r="D1713" t="s">
        <v>96</v>
      </c>
      <c r="E1713" t="s">
        <v>14</v>
      </c>
      <c r="F1713" t="s">
        <v>40</v>
      </c>
      <c r="G1713" t="s">
        <v>16</v>
      </c>
      <c r="H1713">
        <v>4</v>
      </c>
      <c r="I1713">
        <v>105.88</v>
      </c>
      <c r="J1713" t="s">
        <v>17</v>
      </c>
      <c r="K1713" t="s">
        <v>18</v>
      </c>
      <c r="L1713">
        <f>WEEKDAY(Table1[[#This Row],[Transaction_Date]],2)</f>
        <v>5</v>
      </c>
      <c r="M1713">
        <f>IF(Table1[[#This Row],[Sale_Type]]="Buffet",1,0)</f>
        <v>0</v>
      </c>
    </row>
    <row r="1714" spans="1:13" x14ac:dyDescent="0.2">
      <c r="A1714" t="s">
        <v>1987</v>
      </c>
      <c r="B1714" t="s">
        <v>100</v>
      </c>
      <c r="C1714" s="1">
        <v>46010</v>
      </c>
      <c r="D1714" t="s">
        <v>96</v>
      </c>
      <c r="E1714" t="s">
        <v>43</v>
      </c>
      <c r="F1714" t="s">
        <v>44</v>
      </c>
      <c r="G1714" t="s">
        <v>45</v>
      </c>
      <c r="H1714">
        <v>2</v>
      </c>
      <c r="I1714">
        <v>44.5</v>
      </c>
      <c r="J1714" t="s">
        <v>17</v>
      </c>
      <c r="K1714" t="s">
        <v>18</v>
      </c>
      <c r="L1714">
        <f>WEEKDAY(Table1[[#This Row],[Transaction_Date]],2)</f>
        <v>5</v>
      </c>
      <c r="M1714">
        <f>IF(Table1[[#This Row],[Sale_Type]]="Buffet",1,0)</f>
        <v>1</v>
      </c>
    </row>
    <row r="1715" spans="1:13" x14ac:dyDescent="0.2">
      <c r="A1715" t="s">
        <v>1988</v>
      </c>
      <c r="B1715" t="s">
        <v>394</v>
      </c>
      <c r="C1715" s="1">
        <v>46010</v>
      </c>
      <c r="D1715" t="s">
        <v>96</v>
      </c>
      <c r="E1715" t="s">
        <v>43</v>
      </c>
      <c r="F1715" t="s">
        <v>44</v>
      </c>
      <c r="G1715" t="s">
        <v>16</v>
      </c>
      <c r="H1715">
        <v>1</v>
      </c>
      <c r="I1715">
        <v>18.7</v>
      </c>
      <c r="J1715" t="s">
        <v>34</v>
      </c>
      <c r="K1715" t="s">
        <v>21</v>
      </c>
      <c r="L1715">
        <f>WEEKDAY(Table1[[#This Row],[Transaction_Date]],2)</f>
        <v>5</v>
      </c>
      <c r="M1715">
        <f>IF(Table1[[#This Row],[Sale_Type]]="Buffet",1,0)</f>
        <v>0</v>
      </c>
    </row>
    <row r="1716" spans="1:13" x14ac:dyDescent="0.2">
      <c r="A1716" t="s">
        <v>1989</v>
      </c>
      <c r="B1716" t="s">
        <v>56</v>
      </c>
      <c r="C1716" s="1">
        <v>46010</v>
      </c>
      <c r="D1716" t="s">
        <v>96</v>
      </c>
      <c r="E1716" t="s">
        <v>43</v>
      </c>
      <c r="F1716" t="s">
        <v>44</v>
      </c>
      <c r="G1716" t="s">
        <v>16</v>
      </c>
      <c r="H1716">
        <v>3</v>
      </c>
      <c r="I1716">
        <v>132.75</v>
      </c>
      <c r="J1716" t="s">
        <v>34</v>
      </c>
      <c r="K1716" t="s">
        <v>18</v>
      </c>
      <c r="L1716">
        <f>WEEKDAY(Table1[[#This Row],[Transaction_Date]],2)</f>
        <v>5</v>
      </c>
      <c r="M1716">
        <f>IF(Table1[[#This Row],[Sale_Type]]="Buffet",1,0)</f>
        <v>0</v>
      </c>
    </row>
    <row r="1717" spans="1:13" x14ac:dyDescent="0.2">
      <c r="A1717" t="s">
        <v>1990</v>
      </c>
      <c r="B1717" t="s">
        <v>180</v>
      </c>
      <c r="C1717" s="1">
        <v>46010</v>
      </c>
      <c r="D1717" t="s">
        <v>96</v>
      </c>
      <c r="E1717" t="s">
        <v>43</v>
      </c>
      <c r="F1717" t="s">
        <v>44</v>
      </c>
      <c r="G1717" t="s">
        <v>16</v>
      </c>
      <c r="H1717">
        <v>2</v>
      </c>
      <c r="I1717">
        <v>37.08</v>
      </c>
      <c r="J1717" t="s">
        <v>17</v>
      </c>
      <c r="K1717" t="s">
        <v>18</v>
      </c>
      <c r="L1717">
        <f>WEEKDAY(Table1[[#This Row],[Transaction_Date]],2)</f>
        <v>5</v>
      </c>
      <c r="M1717">
        <f>IF(Table1[[#This Row],[Sale_Type]]="Buffet",1,0)</f>
        <v>0</v>
      </c>
    </row>
    <row r="1718" spans="1:13" x14ac:dyDescent="0.2">
      <c r="A1718" t="s">
        <v>1991</v>
      </c>
      <c r="B1718" t="s">
        <v>678</v>
      </c>
      <c r="C1718" s="1">
        <v>46010</v>
      </c>
      <c r="D1718" t="s">
        <v>96</v>
      </c>
      <c r="E1718" t="s">
        <v>43</v>
      </c>
      <c r="F1718" t="s">
        <v>50</v>
      </c>
      <c r="G1718" t="s">
        <v>16</v>
      </c>
      <c r="H1718">
        <v>3</v>
      </c>
      <c r="I1718">
        <v>46.41</v>
      </c>
      <c r="J1718" t="s">
        <v>34</v>
      </c>
      <c r="K1718" t="s">
        <v>18</v>
      </c>
      <c r="L1718">
        <f>WEEKDAY(Table1[[#This Row],[Transaction_Date]],2)</f>
        <v>5</v>
      </c>
      <c r="M1718">
        <f>IF(Table1[[#This Row],[Sale_Type]]="Buffet",1,0)</f>
        <v>0</v>
      </c>
    </row>
    <row r="1719" spans="1:13" x14ac:dyDescent="0.2">
      <c r="A1719" t="s">
        <v>1992</v>
      </c>
      <c r="B1719" t="s">
        <v>704</v>
      </c>
      <c r="C1719" s="1">
        <v>46010</v>
      </c>
      <c r="D1719" t="s">
        <v>96</v>
      </c>
      <c r="E1719" t="s">
        <v>43</v>
      </c>
      <c r="F1719" t="s">
        <v>50</v>
      </c>
      <c r="G1719" t="s">
        <v>16</v>
      </c>
      <c r="H1719">
        <v>4</v>
      </c>
      <c r="I1719">
        <v>79.930000000000007</v>
      </c>
      <c r="J1719" t="s">
        <v>17</v>
      </c>
      <c r="K1719" t="s">
        <v>18</v>
      </c>
      <c r="L1719">
        <f>WEEKDAY(Table1[[#This Row],[Transaction_Date]],2)</f>
        <v>5</v>
      </c>
      <c r="M1719">
        <f>IF(Table1[[#This Row],[Sale_Type]]="Buffet",1,0)</f>
        <v>0</v>
      </c>
    </row>
    <row r="1720" spans="1:13" x14ac:dyDescent="0.2">
      <c r="A1720" t="s">
        <v>1993</v>
      </c>
      <c r="B1720" t="s">
        <v>381</v>
      </c>
      <c r="C1720" s="1">
        <v>46010</v>
      </c>
      <c r="D1720" t="s">
        <v>96</v>
      </c>
      <c r="E1720" t="s">
        <v>43</v>
      </c>
      <c r="F1720" t="s">
        <v>50</v>
      </c>
      <c r="G1720" t="s">
        <v>16</v>
      </c>
      <c r="H1720">
        <v>3</v>
      </c>
      <c r="I1720">
        <v>34.29</v>
      </c>
      <c r="J1720" t="s">
        <v>17</v>
      </c>
      <c r="K1720" t="s">
        <v>21</v>
      </c>
      <c r="L1720">
        <f>WEEKDAY(Table1[[#This Row],[Transaction_Date]],2)</f>
        <v>5</v>
      </c>
      <c r="M1720">
        <f>IF(Table1[[#This Row],[Sale_Type]]="Buffet",1,0)</f>
        <v>0</v>
      </c>
    </row>
    <row r="1721" spans="1:13" x14ac:dyDescent="0.2">
      <c r="A1721" t="s">
        <v>1994</v>
      </c>
      <c r="B1721" t="s">
        <v>907</v>
      </c>
      <c r="C1721" s="1">
        <v>46010</v>
      </c>
      <c r="D1721" t="s">
        <v>96</v>
      </c>
      <c r="E1721" t="s">
        <v>43</v>
      </c>
      <c r="F1721" t="s">
        <v>50</v>
      </c>
      <c r="G1721" t="s">
        <v>45</v>
      </c>
      <c r="H1721">
        <v>7</v>
      </c>
      <c r="I1721">
        <v>149</v>
      </c>
      <c r="J1721" t="s">
        <v>28</v>
      </c>
      <c r="K1721" t="s">
        <v>18</v>
      </c>
      <c r="L1721">
        <f>WEEKDAY(Table1[[#This Row],[Transaction_Date]],2)</f>
        <v>5</v>
      </c>
      <c r="M1721">
        <f>IF(Table1[[#This Row],[Sale_Type]]="Buffet",1,0)</f>
        <v>1</v>
      </c>
    </row>
    <row r="1722" spans="1:13" x14ac:dyDescent="0.2">
      <c r="A1722" t="s">
        <v>1995</v>
      </c>
      <c r="B1722" t="s">
        <v>72</v>
      </c>
      <c r="C1722" s="1">
        <v>46010</v>
      </c>
      <c r="D1722" t="s">
        <v>96</v>
      </c>
      <c r="E1722" t="s">
        <v>43</v>
      </c>
      <c r="F1722" t="s">
        <v>50</v>
      </c>
      <c r="G1722" t="s">
        <v>45</v>
      </c>
      <c r="H1722">
        <v>2</v>
      </c>
      <c r="I1722">
        <v>40</v>
      </c>
      <c r="J1722" t="s">
        <v>17</v>
      </c>
      <c r="K1722" t="s">
        <v>18</v>
      </c>
      <c r="L1722">
        <f>WEEKDAY(Table1[[#This Row],[Transaction_Date]],2)</f>
        <v>5</v>
      </c>
      <c r="M1722">
        <f>IF(Table1[[#This Row],[Sale_Type]]="Buffet",1,0)</f>
        <v>1</v>
      </c>
    </row>
    <row r="1723" spans="1:13" x14ac:dyDescent="0.2">
      <c r="A1723" t="s">
        <v>1996</v>
      </c>
      <c r="B1723" t="s">
        <v>300</v>
      </c>
      <c r="C1723" s="1">
        <v>46010</v>
      </c>
      <c r="D1723" t="s">
        <v>96</v>
      </c>
      <c r="E1723" t="s">
        <v>43</v>
      </c>
      <c r="F1723" t="s">
        <v>50</v>
      </c>
      <c r="G1723" t="s">
        <v>45</v>
      </c>
      <c r="H1723">
        <v>3</v>
      </c>
      <c r="I1723">
        <v>69</v>
      </c>
      <c r="J1723" t="s">
        <v>17</v>
      </c>
      <c r="K1723" t="s">
        <v>18</v>
      </c>
      <c r="L1723">
        <f>WEEKDAY(Table1[[#This Row],[Transaction_Date]],2)</f>
        <v>5</v>
      </c>
      <c r="M1723">
        <f>IF(Table1[[#This Row],[Sale_Type]]="Buffet",1,0)</f>
        <v>1</v>
      </c>
    </row>
    <row r="1724" spans="1:13" x14ac:dyDescent="0.2">
      <c r="A1724" t="s">
        <v>1997</v>
      </c>
      <c r="B1724" t="s">
        <v>778</v>
      </c>
      <c r="C1724" s="1">
        <v>46010</v>
      </c>
      <c r="D1724" t="s">
        <v>96</v>
      </c>
      <c r="E1724" t="s">
        <v>43</v>
      </c>
      <c r="F1724" t="s">
        <v>53</v>
      </c>
      <c r="G1724" t="s">
        <v>16</v>
      </c>
      <c r="H1724">
        <v>6</v>
      </c>
      <c r="I1724">
        <v>131.88999999999999</v>
      </c>
      <c r="J1724" t="s">
        <v>28</v>
      </c>
      <c r="K1724" t="s">
        <v>18</v>
      </c>
      <c r="L1724">
        <f>WEEKDAY(Table1[[#This Row],[Transaction_Date]],2)</f>
        <v>5</v>
      </c>
      <c r="M1724">
        <f>IF(Table1[[#This Row],[Sale_Type]]="Buffet",1,0)</f>
        <v>0</v>
      </c>
    </row>
    <row r="1725" spans="1:13" x14ac:dyDescent="0.2">
      <c r="A1725" t="s">
        <v>1998</v>
      </c>
      <c r="B1725" t="s">
        <v>486</v>
      </c>
      <c r="C1725" s="1">
        <v>46010</v>
      </c>
      <c r="D1725" t="s">
        <v>96</v>
      </c>
      <c r="E1725" t="s">
        <v>43</v>
      </c>
      <c r="F1725" t="s">
        <v>57</v>
      </c>
      <c r="G1725" t="s">
        <v>45</v>
      </c>
      <c r="H1725">
        <v>3</v>
      </c>
      <c r="I1725">
        <v>64.5</v>
      </c>
      <c r="J1725" t="s">
        <v>34</v>
      </c>
      <c r="K1725" t="s">
        <v>21</v>
      </c>
      <c r="L1725">
        <f>WEEKDAY(Table1[[#This Row],[Transaction_Date]],2)</f>
        <v>5</v>
      </c>
      <c r="M1725">
        <f>IF(Table1[[#This Row],[Sale_Type]]="Buffet",1,0)</f>
        <v>1</v>
      </c>
    </row>
    <row r="1726" spans="1:13" x14ac:dyDescent="0.2">
      <c r="A1726" t="s">
        <v>1999</v>
      </c>
      <c r="B1726" t="s">
        <v>196</v>
      </c>
      <c r="C1726" s="1">
        <v>46010</v>
      </c>
      <c r="D1726" t="s">
        <v>96</v>
      </c>
      <c r="E1726" t="s">
        <v>43</v>
      </c>
      <c r="F1726" t="s">
        <v>57</v>
      </c>
      <c r="G1726" t="s">
        <v>16</v>
      </c>
      <c r="H1726">
        <v>5</v>
      </c>
      <c r="I1726">
        <v>104.06</v>
      </c>
      <c r="J1726" t="s">
        <v>34</v>
      </c>
      <c r="K1726" t="s">
        <v>18</v>
      </c>
      <c r="L1726">
        <f>WEEKDAY(Table1[[#This Row],[Transaction_Date]],2)</f>
        <v>5</v>
      </c>
      <c r="M1726">
        <f>IF(Table1[[#This Row],[Sale_Type]]="Buffet",1,0)</f>
        <v>0</v>
      </c>
    </row>
    <row r="1727" spans="1:13" x14ac:dyDescent="0.2">
      <c r="A1727" t="s">
        <v>2000</v>
      </c>
      <c r="B1727" t="s">
        <v>337</v>
      </c>
      <c r="C1727" s="1">
        <v>46010</v>
      </c>
      <c r="D1727" t="s">
        <v>96</v>
      </c>
      <c r="E1727" t="s">
        <v>43</v>
      </c>
      <c r="F1727" t="s">
        <v>57</v>
      </c>
      <c r="G1727" t="s">
        <v>45</v>
      </c>
      <c r="H1727">
        <v>1</v>
      </c>
      <c r="I1727">
        <v>24.5</v>
      </c>
      <c r="J1727" t="s">
        <v>34</v>
      </c>
      <c r="K1727" t="s">
        <v>18</v>
      </c>
      <c r="L1727">
        <f>WEEKDAY(Table1[[#This Row],[Transaction_Date]],2)</f>
        <v>5</v>
      </c>
      <c r="M1727">
        <f>IF(Table1[[#This Row],[Sale_Type]]="Buffet",1,0)</f>
        <v>1</v>
      </c>
    </row>
    <row r="1728" spans="1:13" x14ac:dyDescent="0.2">
      <c r="A1728" t="s">
        <v>2001</v>
      </c>
      <c r="B1728" t="s">
        <v>49</v>
      </c>
      <c r="C1728" s="1">
        <v>46010</v>
      </c>
      <c r="D1728" t="s">
        <v>96</v>
      </c>
      <c r="E1728" t="s">
        <v>43</v>
      </c>
      <c r="F1728" t="s">
        <v>57</v>
      </c>
      <c r="G1728" t="s">
        <v>45</v>
      </c>
      <c r="H1728">
        <v>3</v>
      </c>
      <c r="I1728">
        <v>60</v>
      </c>
      <c r="J1728" t="s">
        <v>17</v>
      </c>
      <c r="K1728" t="s">
        <v>18</v>
      </c>
      <c r="L1728">
        <f>WEEKDAY(Table1[[#This Row],[Transaction_Date]],2)</f>
        <v>5</v>
      </c>
      <c r="M1728">
        <f>IF(Table1[[#This Row],[Sale_Type]]="Buffet",1,0)</f>
        <v>1</v>
      </c>
    </row>
    <row r="1729" spans="1:13" x14ac:dyDescent="0.2">
      <c r="A1729" t="s">
        <v>2002</v>
      </c>
      <c r="B1729" t="s">
        <v>833</v>
      </c>
      <c r="C1729" s="1">
        <v>46011</v>
      </c>
      <c r="D1729" t="s">
        <v>127</v>
      </c>
      <c r="E1729" t="s">
        <v>14</v>
      </c>
      <c r="F1729" t="s">
        <v>15</v>
      </c>
      <c r="G1729" t="s">
        <v>16</v>
      </c>
      <c r="H1729">
        <v>3</v>
      </c>
      <c r="I1729">
        <v>89.61</v>
      </c>
      <c r="J1729" t="s">
        <v>17</v>
      </c>
      <c r="K1729" t="s">
        <v>18</v>
      </c>
      <c r="L1729">
        <f>WEEKDAY(Table1[[#This Row],[Transaction_Date]],2)</f>
        <v>6</v>
      </c>
      <c r="M1729">
        <f>IF(Table1[[#This Row],[Sale_Type]]="Buffet",1,0)</f>
        <v>0</v>
      </c>
    </row>
    <row r="1730" spans="1:13" x14ac:dyDescent="0.2">
      <c r="A1730" t="s">
        <v>2003</v>
      </c>
      <c r="B1730" t="s">
        <v>39</v>
      </c>
      <c r="C1730" s="1">
        <v>46011</v>
      </c>
      <c r="D1730" t="s">
        <v>127</v>
      </c>
      <c r="E1730" t="s">
        <v>14</v>
      </c>
      <c r="F1730" t="s">
        <v>15</v>
      </c>
      <c r="G1730" t="s">
        <v>16</v>
      </c>
      <c r="H1730">
        <v>4</v>
      </c>
      <c r="I1730">
        <v>85.66</v>
      </c>
      <c r="J1730" t="s">
        <v>17</v>
      </c>
      <c r="K1730" t="s">
        <v>18</v>
      </c>
      <c r="L1730">
        <f>WEEKDAY(Table1[[#This Row],[Transaction_Date]],2)</f>
        <v>6</v>
      </c>
      <c r="M1730">
        <f>IF(Table1[[#This Row],[Sale_Type]]="Buffet",1,0)</f>
        <v>0</v>
      </c>
    </row>
    <row r="1731" spans="1:13" x14ac:dyDescent="0.2">
      <c r="A1731" t="s">
        <v>2004</v>
      </c>
      <c r="B1731" t="s">
        <v>1880</v>
      </c>
      <c r="C1731" s="1">
        <v>46011</v>
      </c>
      <c r="D1731" t="s">
        <v>127</v>
      </c>
      <c r="E1731" t="s">
        <v>14</v>
      </c>
      <c r="F1731" t="s">
        <v>24</v>
      </c>
      <c r="G1731" t="s">
        <v>16</v>
      </c>
      <c r="H1731">
        <v>7</v>
      </c>
      <c r="I1731">
        <v>210.49</v>
      </c>
      <c r="J1731" t="s">
        <v>34</v>
      </c>
      <c r="K1731" t="s">
        <v>18</v>
      </c>
      <c r="L1731">
        <f>WEEKDAY(Table1[[#This Row],[Transaction_Date]],2)</f>
        <v>6</v>
      </c>
      <c r="M1731">
        <f>IF(Table1[[#This Row],[Sale_Type]]="Buffet",1,0)</f>
        <v>0</v>
      </c>
    </row>
    <row r="1732" spans="1:13" x14ac:dyDescent="0.2">
      <c r="A1732" t="s">
        <v>2005</v>
      </c>
      <c r="B1732" t="s">
        <v>176</v>
      </c>
      <c r="C1732" s="1">
        <v>46011</v>
      </c>
      <c r="D1732" t="s">
        <v>127</v>
      </c>
      <c r="E1732" t="s">
        <v>14</v>
      </c>
      <c r="F1732" t="s">
        <v>24</v>
      </c>
      <c r="G1732" t="s">
        <v>16</v>
      </c>
      <c r="H1732">
        <v>1</v>
      </c>
      <c r="I1732">
        <v>34.54</v>
      </c>
      <c r="J1732" t="s">
        <v>17</v>
      </c>
      <c r="K1732" t="s">
        <v>21</v>
      </c>
      <c r="L1732">
        <f>WEEKDAY(Table1[[#This Row],[Transaction_Date]],2)</f>
        <v>6</v>
      </c>
      <c r="M1732">
        <f>IF(Table1[[#This Row],[Sale_Type]]="Buffet",1,0)</f>
        <v>0</v>
      </c>
    </row>
    <row r="1733" spans="1:13" x14ac:dyDescent="0.2">
      <c r="A1733" t="s">
        <v>2006</v>
      </c>
      <c r="B1733" t="s">
        <v>200</v>
      </c>
      <c r="C1733" s="1">
        <v>46011</v>
      </c>
      <c r="D1733" t="s">
        <v>127</v>
      </c>
      <c r="E1733" t="s">
        <v>14</v>
      </c>
      <c r="F1733" t="s">
        <v>24</v>
      </c>
      <c r="G1733" t="s">
        <v>16</v>
      </c>
      <c r="H1733">
        <v>1</v>
      </c>
      <c r="I1733">
        <v>30.34</v>
      </c>
      <c r="J1733" t="s">
        <v>17</v>
      </c>
      <c r="K1733" t="s">
        <v>18</v>
      </c>
      <c r="L1733">
        <f>WEEKDAY(Table1[[#This Row],[Transaction_Date]],2)</f>
        <v>6</v>
      </c>
      <c r="M1733">
        <f>IF(Table1[[#This Row],[Sale_Type]]="Buffet",1,0)</f>
        <v>0</v>
      </c>
    </row>
    <row r="1734" spans="1:13" x14ac:dyDescent="0.2">
      <c r="A1734" t="s">
        <v>2007</v>
      </c>
      <c r="B1734" t="s">
        <v>222</v>
      </c>
      <c r="C1734" s="1">
        <v>46011</v>
      </c>
      <c r="D1734" t="s">
        <v>127</v>
      </c>
      <c r="E1734" t="s">
        <v>14</v>
      </c>
      <c r="F1734" t="s">
        <v>24</v>
      </c>
      <c r="G1734" t="s">
        <v>16</v>
      </c>
      <c r="H1734">
        <v>5</v>
      </c>
      <c r="I1734">
        <v>96.66</v>
      </c>
      <c r="J1734" t="s">
        <v>28</v>
      </c>
      <c r="K1734" t="s">
        <v>18</v>
      </c>
      <c r="L1734">
        <f>WEEKDAY(Table1[[#This Row],[Transaction_Date]],2)</f>
        <v>6</v>
      </c>
      <c r="M1734">
        <f>IF(Table1[[#This Row],[Sale_Type]]="Buffet",1,0)</f>
        <v>0</v>
      </c>
    </row>
    <row r="1735" spans="1:13" x14ac:dyDescent="0.2">
      <c r="A1735" t="s">
        <v>2008</v>
      </c>
      <c r="B1735" t="s">
        <v>503</v>
      </c>
      <c r="C1735" s="1">
        <v>46011</v>
      </c>
      <c r="D1735" t="s">
        <v>127</v>
      </c>
      <c r="E1735" t="s">
        <v>14</v>
      </c>
      <c r="F1735" t="s">
        <v>24</v>
      </c>
      <c r="G1735" t="s">
        <v>16</v>
      </c>
      <c r="H1735">
        <v>2</v>
      </c>
      <c r="I1735">
        <v>41.1</v>
      </c>
      <c r="J1735" t="s">
        <v>34</v>
      </c>
      <c r="K1735" t="s">
        <v>18</v>
      </c>
      <c r="L1735">
        <f>WEEKDAY(Table1[[#This Row],[Transaction_Date]],2)</f>
        <v>6</v>
      </c>
      <c r="M1735">
        <f>IF(Table1[[#This Row],[Sale_Type]]="Buffet",1,0)</f>
        <v>0</v>
      </c>
    </row>
    <row r="1736" spans="1:13" x14ac:dyDescent="0.2">
      <c r="A1736" t="s">
        <v>2009</v>
      </c>
      <c r="B1736" t="s">
        <v>323</v>
      </c>
      <c r="C1736" s="1">
        <v>46011</v>
      </c>
      <c r="D1736" t="s">
        <v>127</v>
      </c>
      <c r="E1736" t="s">
        <v>14</v>
      </c>
      <c r="F1736" t="s">
        <v>27</v>
      </c>
      <c r="G1736" t="s">
        <v>16</v>
      </c>
      <c r="H1736">
        <v>3</v>
      </c>
      <c r="I1736">
        <v>83.31</v>
      </c>
      <c r="J1736" t="s">
        <v>17</v>
      </c>
      <c r="K1736" t="s">
        <v>18</v>
      </c>
      <c r="L1736">
        <f>WEEKDAY(Table1[[#This Row],[Transaction_Date]],2)</f>
        <v>6</v>
      </c>
      <c r="M1736">
        <f>IF(Table1[[#This Row],[Sale_Type]]="Buffet",1,0)</f>
        <v>0</v>
      </c>
    </row>
    <row r="1737" spans="1:13" x14ac:dyDescent="0.2">
      <c r="A1737" t="s">
        <v>2010</v>
      </c>
      <c r="B1737" t="s">
        <v>68</v>
      </c>
      <c r="C1737" s="1">
        <v>46011</v>
      </c>
      <c r="D1737" t="s">
        <v>127</v>
      </c>
      <c r="E1737" t="s">
        <v>14</v>
      </c>
      <c r="F1737" t="s">
        <v>27</v>
      </c>
      <c r="G1737" t="s">
        <v>16</v>
      </c>
      <c r="H1737">
        <v>4</v>
      </c>
      <c r="I1737">
        <v>87.84</v>
      </c>
      <c r="J1737" t="s">
        <v>28</v>
      </c>
      <c r="K1737" t="s">
        <v>21</v>
      </c>
      <c r="L1737">
        <f>WEEKDAY(Table1[[#This Row],[Transaction_Date]],2)</f>
        <v>6</v>
      </c>
      <c r="M1737">
        <f>IF(Table1[[#This Row],[Sale_Type]]="Buffet",1,0)</f>
        <v>0</v>
      </c>
    </row>
    <row r="1738" spans="1:13" x14ac:dyDescent="0.2">
      <c r="A1738" t="s">
        <v>2011</v>
      </c>
      <c r="B1738" t="s">
        <v>948</v>
      </c>
      <c r="C1738" s="1">
        <v>46011</v>
      </c>
      <c r="D1738" t="s">
        <v>127</v>
      </c>
      <c r="E1738" t="s">
        <v>14</v>
      </c>
      <c r="F1738" t="s">
        <v>27</v>
      </c>
      <c r="G1738" t="s">
        <v>16</v>
      </c>
      <c r="H1738">
        <v>3</v>
      </c>
      <c r="I1738">
        <v>94.89</v>
      </c>
      <c r="J1738" t="s">
        <v>28</v>
      </c>
      <c r="K1738" t="s">
        <v>18</v>
      </c>
      <c r="L1738">
        <f>WEEKDAY(Table1[[#This Row],[Transaction_Date]],2)</f>
        <v>6</v>
      </c>
      <c r="M1738">
        <f>IF(Table1[[#This Row],[Sale_Type]]="Buffet",1,0)</f>
        <v>0</v>
      </c>
    </row>
    <row r="1739" spans="1:13" x14ac:dyDescent="0.2">
      <c r="A1739" t="s">
        <v>2012</v>
      </c>
      <c r="B1739" t="s">
        <v>272</v>
      </c>
      <c r="C1739" s="1">
        <v>46011</v>
      </c>
      <c r="D1739" t="s">
        <v>127</v>
      </c>
      <c r="E1739" t="s">
        <v>14</v>
      </c>
      <c r="F1739" t="s">
        <v>27</v>
      </c>
      <c r="G1739" t="s">
        <v>16</v>
      </c>
      <c r="H1739">
        <v>3</v>
      </c>
      <c r="I1739">
        <v>97.72</v>
      </c>
      <c r="J1739" t="s">
        <v>17</v>
      </c>
      <c r="K1739" t="s">
        <v>18</v>
      </c>
      <c r="L1739">
        <f>WEEKDAY(Table1[[#This Row],[Transaction_Date]],2)</f>
        <v>6</v>
      </c>
      <c r="M1739">
        <f>IF(Table1[[#This Row],[Sale_Type]]="Buffet",1,0)</f>
        <v>0</v>
      </c>
    </row>
    <row r="1740" spans="1:13" x14ac:dyDescent="0.2">
      <c r="A1740" t="s">
        <v>2013</v>
      </c>
      <c r="B1740" t="s">
        <v>79</v>
      </c>
      <c r="C1740" s="1">
        <v>46011</v>
      </c>
      <c r="D1740" t="s">
        <v>127</v>
      </c>
      <c r="E1740" t="s">
        <v>14</v>
      </c>
      <c r="F1740" t="s">
        <v>27</v>
      </c>
      <c r="G1740" t="s">
        <v>16</v>
      </c>
      <c r="H1740">
        <v>3</v>
      </c>
      <c r="I1740">
        <v>106.05</v>
      </c>
      <c r="J1740" t="s">
        <v>28</v>
      </c>
      <c r="K1740" t="s">
        <v>21</v>
      </c>
      <c r="L1740">
        <f>WEEKDAY(Table1[[#This Row],[Transaction_Date]],2)</f>
        <v>6</v>
      </c>
      <c r="M1740">
        <f>IF(Table1[[#This Row],[Sale_Type]]="Buffet",1,0)</f>
        <v>0</v>
      </c>
    </row>
    <row r="1741" spans="1:13" x14ac:dyDescent="0.2">
      <c r="A1741" t="s">
        <v>2014</v>
      </c>
      <c r="B1741" t="s">
        <v>87</v>
      </c>
      <c r="C1741" s="1">
        <v>46011</v>
      </c>
      <c r="D1741" t="s">
        <v>127</v>
      </c>
      <c r="E1741" t="s">
        <v>14</v>
      </c>
      <c r="F1741" t="s">
        <v>31</v>
      </c>
      <c r="G1741" t="s">
        <v>16</v>
      </c>
      <c r="H1741">
        <v>3</v>
      </c>
      <c r="I1741">
        <v>69.16</v>
      </c>
      <c r="J1741" t="s">
        <v>28</v>
      </c>
      <c r="K1741" t="s">
        <v>18</v>
      </c>
      <c r="L1741">
        <f>WEEKDAY(Table1[[#This Row],[Transaction_Date]],2)</f>
        <v>6</v>
      </c>
      <c r="M1741">
        <f>IF(Table1[[#This Row],[Sale_Type]]="Buffet",1,0)</f>
        <v>0</v>
      </c>
    </row>
    <row r="1742" spans="1:13" x14ac:dyDescent="0.2">
      <c r="A1742" t="s">
        <v>2015</v>
      </c>
      <c r="B1742" t="s">
        <v>260</v>
      </c>
      <c r="C1742" s="1">
        <v>46011</v>
      </c>
      <c r="D1742" t="s">
        <v>127</v>
      </c>
      <c r="E1742" t="s">
        <v>14</v>
      </c>
      <c r="F1742" t="s">
        <v>31</v>
      </c>
      <c r="G1742" t="s">
        <v>16</v>
      </c>
      <c r="H1742">
        <v>4</v>
      </c>
      <c r="I1742">
        <v>63.24</v>
      </c>
      <c r="J1742" t="s">
        <v>28</v>
      </c>
      <c r="K1742" t="s">
        <v>18</v>
      </c>
      <c r="L1742">
        <f>WEEKDAY(Table1[[#This Row],[Transaction_Date]],2)</f>
        <v>6</v>
      </c>
      <c r="M1742">
        <f>IF(Table1[[#This Row],[Sale_Type]]="Buffet",1,0)</f>
        <v>0</v>
      </c>
    </row>
    <row r="1743" spans="1:13" x14ac:dyDescent="0.2">
      <c r="A1743" t="s">
        <v>2016</v>
      </c>
      <c r="B1743" t="s">
        <v>1880</v>
      </c>
      <c r="C1743" s="1">
        <v>46011</v>
      </c>
      <c r="D1743" t="s">
        <v>127</v>
      </c>
      <c r="E1743" t="s">
        <v>14</v>
      </c>
      <c r="F1743" t="s">
        <v>31</v>
      </c>
      <c r="G1743" t="s">
        <v>16</v>
      </c>
      <c r="H1743">
        <v>2</v>
      </c>
      <c r="I1743">
        <v>51.36</v>
      </c>
      <c r="J1743" t="s">
        <v>17</v>
      </c>
      <c r="K1743" t="s">
        <v>21</v>
      </c>
      <c r="L1743">
        <f>WEEKDAY(Table1[[#This Row],[Transaction_Date]],2)</f>
        <v>6</v>
      </c>
      <c r="M1743">
        <f>IF(Table1[[#This Row],[Sale_Type]]="Buffet",1,0)</f>
        <v>0</v>
      </c>
    </row>
    <row r="1744" spans="1:13" x14ac:dyDescent="0.2">
      <c r="A1744" t="s">
        <v>2017</v>
      </c>
      <c r="B1744" t="s">
        <v>597</v>
      </c>
      <c r="C1744" s="1">
        <v>46011</v>
      </c>
      <c r="D1744" t="s">
        <v>127</v>
      </c>
      <c r="E1744" t="s">
        <v>14</v>
      </c>
      <c r="F1744" t="s">
        <v>31</v>
      </c>
      <c r="G1744" t="s">
        <v>16</v>
      </c>
      <c r="H1744">
        <v>7</v>
      </c>
      <c r="I1744">
        <v>266.33</v>
      </c>
      <c r="J1744" t="s">
        <v>34</v>
      </c>
      <c r="K1744" t="s">
        <v>18</v>
      </c>
      <c r="L1744">
        <f>WEEKDAY(Table1[[#This Row],[Transaction_Date]],2)</f>
        <v>6</v>
      </c>
      <c r="M1744">
        <f>IF(Table1[[#This Row],[Sale_Type]]="Buffet",1,0)</f>
        <v>0</v>
      </c>
    </row>
    <row r="1745" spans="1:13" x14ac:dyDescent="0.2">
      <c r="A1745" t="s">
        <v>2018</v>
      </c>
      <c r="B1745" t="s">
        <v>26</v>
      </c>
      <c r="C1745" s="1">
        <v>46011</v>
      </c>
      <c r="D1745" t="s">
        <v>127</v>
      </c>
      <c r="E1745" t="s">
        <v>14</v>
      </c>
      <c r="F1745" t="s">
        <v>40</v>
      </c>
      <c r="G1745" t="s">
        <v>16</v>
      </c>
      <c r="H1745">
        <v>2</v>
      </c>
      <c r="I1745">
        <v>55.68</v>
      </c>
      <c r="J1745" t="s">
        <v>28</v>
      </c>
      <c r="K1745" t="s">
        <v>18</v>
      </c>
      <c r="L1745">
        <f>WEEKDAY(Table1[[#This Row],[Transaction_Date]],2)</f>
        <v>6</v>
      </c>
      <c r="M1745">
        <f>IF(Table1[[#This Row],[Sale_Type]]="Buffet",1,0)</f>
        <v>0</v>
      </c>
    </row>
    <row r="1746" spans="1:13" x14ac:dyDescent="0.2">
      <c r="A1746" t="s">
        <v>2019</v>
      </c>
      <c r="B1746" t="s">
        <v>377</v>
      </c>
      <c r="C1746" s="1">
        <v>46011</v>
      </c>
      <c r="D1746" t="s">
        <v>127</v>
      </c>
      <c r="E1746" t="s">
        <v>14</v>
      </c>
      <c r="F1746" t="s">
        <v>40</v>
      </c>
      <c r="G1746" t="s">
        <v>16</v>
      </c>
      <c r="H1746">
        <v>3</v>
      </c>
      <c r="I1746">
        <v>46.73</v>
      </c>
      <c r="J1746" t="s">
        <v>17</v>
      </c>
      <c r="K1746" t="s">
        <v>18</v>
      </c>
      <c r="L1746">
        <f>WEEKDAY(Table1[[#This Row],[Transaction_Date]],2)</f>
        <v>6</v>
      </c>
      <c r="M1746">
        <f>IF(Table1[[#This Row],[Sale_Type]]="Buffet",1,0)</f>
        <v>0</v>
      </c>
    </row>
    <row r="1747" spans="1:13" x14ac:dyDescent="0.2">
      <c r="A1747" t="s">
        <v>2020</v>
      </c>
      <c r="B1747" t="s">
        <v>624</v>
      </c>
      <c r="C1747" s="1">
        <v>46011</v>
      </c>
      <c r="D1747" t="s">
        <v>127</v>
      </c>
      <c r="E1747" t="s">
        <v>14</v>
      </c>
      <c r="F1747" t="s">
        <v>40</v>
      </c>
      <c r="G1747" t="s">
        <v>16</v>
      </c>
      <c r="H1747">
        <v>1</v>
      </c>
      <c r="I1747">
        <v>30.13</v>
      </c>
      <c r="J1747" t="s">
        <v>34</v>
      </c>
      <c r="K1747" t="s">
        <v>21</v>
      </c>
      <c r="L1747">
        <f>WEEKDAY(Table1[[#This Row],[Transaction_Date]],2)</f>
        <v>6</v>
      </c>
      <c r="M1747">
        <f>IF(Table1[[#This Row],[Sale_Type]]="Buffet",1,0)</f>
        <v>0</v>
      </c>
    </row>
    <row r="1748" spans="1:13" x14ac:dyDescent="0.2">
      <c r="A1748" t="s">
        <v>2021</v>
      </c>
      <c r="B1748" t="s">
        <v>131</v>
      </c>
      <c r="C1748" s="1">
        <v>46011</v>
      </c>
      <c r="D1748" t="s">
        <v>127</v>
      </c>
      <c r="E1748" t="s">
        <v>14</v>
      </c>
      <c r="F1748" t="s">
        <v>40</v>
      </c>
      <c r="G1748" t="s">
        <v>16</v>
      </c>
      <c r="H1748">
        <v>4</v>
      </c>
      <c r="I1748">
        <v>141.05000000000001</v>
      </c>
      <c r="J1748" t="s">
        <v>17</v>
      </c>
      <c r="K1748" t="s">
        <v>21</v>
      </c>
      <c r="L1748">
        <f>WEEKDAY(Table1[[#This Row],[Transaction_Date]],2)</f>
        <v>6</v>
      </c>
      <c r="M1748">
        <f>IF(Table1[[#This Row],[Sale_Type]]="Buffet",1,0)</f>
        <v>0</v>
      </c>
    </row>
    <row r="1749" spans="1:13" x14ac:dyDescent="0.2">
      <c r="A1749" t="s">
        <v>2022</v>
      </c>
      <c r="B1749" t="s">
        <v>76</v>
      </c>
      <c r="C1749" s="1">
        <v>46011</v>
      </c>
      <c r="D1749" t="s">
        <v>127</v>
      </c>
      <c r="E1749" t="s">
        <v>14</v>
      </c>
      <c r="F1749" t="s">
        <v>40</v>
      </c>
      <c r="G1749" t="s">
        <v>16</v>
      </c>
      <c r="H1749">
        <v>2</v>
      </c>
      <c r="I1749">
        <v>95.15</v>
      </c>
      <c r="J1749" t="s">
        <v>34</v>
      </c>
      <c r="K1749" t="s">
        <v>21</v>
      </c>
      <c r="L1749">
        <f>WEEKDAY(Table1[[#This Row],[Transaction_Date]],2)</f>
        <v>6</v>
      </c>
      <c r="M1749">
        <f>IF(Table1[[#This Row],[Sale_Type]]="Buffet",1,0)</f>
        <v>0</v>
      </c>
    </row>
    <row r="1750" spans="1:13" x14ac:dyDescent="0.2">
      <c r="A1750" t="s">
        <v>2023</v>
      </c>
      <c r="B1750" t="s">
        <v>532</v>
      </c>
      <c r="C1750" s="1">
        <v>46011</v>
      </c>
      <c r="D1750" t="s">
        <v>127</v>
      </c>
      <c r="E1750" t="s">
        <v>43</v>
      </c>
      <c r="F1750" t="s">
        <v>44</v>
      </c>
      <c r="G1750" t="s">
        <v>16</v>
      </c>
      <c r="H1750">
        <v>4</v>
      </c>
      <c r="I1750">
        <v>80.05</v>
      </c>
      <c r="J1750" t="s">
        <v>17</v>
      </c>
      <c r="K1750" t="s">
        <v>21</v>
      </c>
      <c r="L1750">
        <f>WEEKDAY(Table1[[#This Row],[Transaction_Date]],2)</f>
        <v>6</v>
      </c>
      <c r="M1750">
        <f>IF(Table1[[#This Row],[Sale_Type]]="Buffet",1,0)</f>
        <v>0</v>
      </c>
    </row>
    <row r="1751" spans="1:13" x14ac:dyDescent="0.2">
      <c r="A1751" t="s">
        <v>2024</v>
      </c>
      <c r="B1751" t="s">
        <v>656</v>
      </c>
      <c r="C1751" s="1">
        <v>46011</v>
      </c>
      <c r="D1751" t="s">
        <v>127</v>
      </c>
      <c r="E1751" t="s">
        <v>43</v>
      </c>
      <c r="F1751" t="s">
        <v>50</v>
      </c>
      <c r="G1751" t="s">
        <v>16</v>
      </c>
      <c r="H1751">
        <v>1</v>
      </c>
      <c r="I1751">
        <v>16.149999999999999</v>
      </c>
      <c r="J1751" t="s">
        <v>17</v>
      </c>
      <c r="K1751" t="s">
        <v>18</v>
      </c>
      <c r="L1751">
        <f>WEEKDAY(Table1[[#This Row],[Transaction_Date]],2)</f>
        <v>6</v>
      </c>
      <c r="M1751">
        <f>IF(Table1[[#This Row],[Sale_Type]]="Buffet",1,0)</f>
        <v>0</v>
      </c>
    </row>
    <row r="1752" spans="1:13" x14ac:dyDescent="0.2">
      <c r="A1752" t="s">
        <v>2025</v>
      </c>
      <c r="B1752" t="s">
        <v>56</v>
      </c>
      <c r="C1752" s="1">
        <v>46011</v>
      </c>
      <c r="D1752" t="s">
        <v>127</v>
      </c>
      <c r="E1752" t="s">
        <v>43</v>
      </c>
      <c r="F1752" t="s">
        <v>50</v>
      </c>
      <c r="G1752" t="s">
        <v>16</v>
      </c>
      <c r="H1752">
        <v>1</v>
      </c>
      <c r="I1752">
        <v>16.690000000000001</v>
      </c>
      <c r="J1752" t="s">
        <v>34</v>
      </c>
      <c r="K1752" t="s">
        <v>21</v>
      </c>
      <c r="L1752">
        <f>WEEKDAY(Table1[[#This Row],[Transaction_Date]],2)</f>
        <v>6</v>
      </c>
      <c r="M1752">
        <f>IF(Table1[[#This Row],[Sale_Type]]="Buffet",1,0)</f>
        <v>0</v>
      </c>
    </row>
    <row r="1753" spans="1:13" x14ac:dyDescent="0.2">
      <c r="A1753" t="s">
        <v>2026</v>
      </c>
      <c r="B1753" t="s">
        <v>755</v>
      </c>
      <c r="C1753" s="1">
        <v>46012</v>
      </c>
      <c r="D1753" t="s">
        <v>171</v>
      </c>
      <c r="E1753" t="s">
        <v>14</v>
      </c>
      <c r="F1753" t="s">
        <v>15</v>
      </c>
      <c r="G1753" t="s">
        <v>16</v>
      </c>
      <c r="H1753">
        <v>2</v>
      </c>
      <c r="I1753">
        <v>47.22</v>
      </c>
      <c r="J1753" t="s">
        <v>17</v>
      </c>
      <c r="K1753" t="s">
        <v>21</v>
      </c>
      <c r="L1753">
        <f>WEEKDAY(Table1[[#This Row],[Transaction_Date]],2)</f>
        <v>7</v>
      </c>
      <c r="M1753">
        <f>IF(Table1[[#This Row],[Sale_Type]]="Buffet",1,0)</f>
        <v>0</v>
      </c>
    </row>
    <row r="1754" spans="1:13" x14ac:dyDescent="0.2">
      <c r="A1754" t="s">
        <v>2027</v>
      </c>
      <c r="B1754" t="s">
        <v>144</v>
      </c>
      <c r="C1754" s="1">
        <v>46012</v>
      </c>
      <c r="D1754" t="s">
        <v>171</v>
      </c>
      <c r="E1754" t="s">
        <v>14</v>
      </c>
      <c r="F1754" t="s">
        <v>24</v>
      </c>
      <c r="G1754" t="s">
        <v>16</v>
      </c>
      <c r="H1754">
        <v>4</v>
      </c>
      <c r="I1754">
        <v>129.63</v>
      </c>
      <c r="J1754" t="s">
        <v>34</v>
      </c>
      <c r="K1754" t="s">
        <v>18</v>
      </c>
      <c r="L1754">
        <f>WEEKDAY(Table1[[#This Row],[Transaction_Date]],2)</f>
        <v>7</v>
      </c>
      <c r="M1754">
        <f>IF(Table1[[#This Row],[Sale_Type]]="Buffet",1,0)</f>
        <v>0</v>
      </c>
    </row>
    <row r="1755" spans="1:13" x14ac:dyDescent="0.2">
      <c r="A1755" t="s">
        <v>2028</v>
      </c>
      <c r="B1755" t="s">
        <v>208</v>
      </c>
      <c r="C1755" s="1">
        <v>46012</v>
      </c>
      <c r="D1755" t="s">
        <v>171</v>
      </c>
      <c r="E1755" t="s">
        <v>14</v>
      </c>
      <c r="F1755" t="s">
        <v>24</v>
      </c>
      <c r="G1755" t="s">
        <v>16</v>
      </c>
      <c r="H1755">
        <v>5</v>
      </c>
      <c r="I1755">
        <v>204.59</v>
      </c>
      <c r="J1755" t="s">
        <v>17</v>
      </c>
      <c r="K1755" t="s">
        <v>18</v>
      </c>
      <c r="L1755">
        <f>WEEKDAY(Table1[[#This Row],[Transaction_Date]],2)</f>
        <v>7</v>
      </c>
      <c r="M1755">
        <f>IF(Table1[[#This Row],[Sale_Type]]="Buffet",1,0)</f>
        <v>0</v>
      </c>
    </row>
    <row r="1756" spans="1:13" x14ac:dyDescent="0.2">
      <c r="A1756" t="s">
        <v>2029</v>
      </c>
      <c r="B1756" t="s">
        <v>233</v>
      </c>
      <c r="C1756" s="1">
        <v>46012</v>
      </c>
      <c r="D1756" t="s">
        <v>171</v>
      </c>
      <c r="E1756" t="s">
        <v>14</v>
      </c>
      <c r="F1756" t="s">
        <v>24</v>
      </c>
      <c r="G1756" t="s">
        <v>16</v>
      </c>
      <c r="H1756">
        <v>5</v>
      </c>
      <c r="I1756">
        <v>141.44999999999999</v>
      </c>
      <c r="J1756" t="s">
        <v>34</v>
      </c>
      <c r="K1756" t="s">
        <v>18</v>
      </c>
      <c r="L1756">
        <f>WEEKDAY(Table1[[#This Row],[Transaction_Date]],2)</f>
        <v>7</v>
      </c>
      <c r="M1756">
        <f>IF(Table1[[#This Row],[Sale_Type]]="Buffet",1,0)</f>
        <v>0</v>
      </c>
    </row>
    <row r="1757" spans="1:13" x14ac:dyDescent="0.2">
      <c r="A1757" t="s">
        <v>2030</v>
      </c>
      <c r="B1757" t="s">
        <v>1017</v>
      </c>
      <c r="C1757" s="1">
        <v>46012</v>
      </c>
      <c r="D1757" t="s">
        <v>171</v>
      </c>
      <c r="E1757" t="s">
        <v>14</v>
      </c>
      <c r="F1757" t="s">
        <v>27</v>
      </c>
      <c r="G1757" t="s">
        <v>16</v>
      </c>
      <c r="H1757">
        <v>1</v>
      </c>
      <c r="I1757">
        <v>24.06</v>
      </c>
      <c r="J1757" t="s">
        <v>17</v>
      </c>
      <c r="K1757" t="s">
        <v>18</v>
      </c>
      <c r="L1757">
        <f>WEEKDAY(Table1[[#This Row],[Transaction_Date]],2)</f>
        <v>7</v>
      </c>
      <c r="M1757">
        <f>IF(Table1[[#This Row],[Sale_Type]]="Buffet",1,0)</f>
        <v>0</v>
      </c>
    </row>
    <row r="1758" spans="1:13" x14ac:dyDescent="0.2">
      <c r="A1758" t="s">
        <v>2031</v>
      </c>
      <c r="B1758" t="s">
        <v>192</v>
      </c>
      <c r="C1758" s="1">
        <v>46012</v>
      </c>
      <c r="D1758" t="s">
        <v>171</v>
      </c>
      <c r="E1758" t="s">
        <v>14</v>
      </c>
      <c r="F1758" t="s">
        <v>27</v>
      </c>
      <c r="G1758" t="s">
        <v>16</v>
      </c>
      <c r="H1758">
        <v>2</v>
      </c>
      <c r="I1758">
        <v>55.62</v>
      </c>
      <c r="J1758" t="s">
        <v>17</v>
      </c>
      <c r="K1758" t="s">
        <v>18</v>
      </c>
      <c r="L1758">
        <f>WEEKDAY(Table1[[#This Row],[Transaction_Date]],2)</f>
        <v>7</v>
      </c>
      <c r="M1758">
        <f>IF(Table1[[#This Row],[Sale_Type]]="Buffet",1,0)</f>
        <v>0</v>
      </c>
    </row>
    <row r="1759" spans="1:13" x14ac:dyDescent="0.2">
      <c r="A1759" t="s">
        <v>2032</v>
      </c>
      <c r="B1759" t="s">
        <v>624</v>
      </c>
      <c r="C1759" s="1">
        <v>46012</v>
      </c>
      <c r="D1759" t="s">
        <v>171</v>
      </c>
      <c r="E1759" t="s">
        <v>14</v>
      </c>
      <c r="F1759" t="s">
        <v>27</v>
      </c>
      <c r="G1759" t="s">
        <v>16</v>
      </c>
      <c r="H1759">
        <v>3</v>
      </c>
      <c r="I1759">
        <v>62.75</v>
      </c>
      <c r="J1759" t="s">
        <v>17</v>
      </c>
      <c r="K1759" t="s">
        <v>18</v>
      </c>
      <c r="L1759">
        <f>WEEKDAY(Table1[[#This Row],[Transaction_Date]],2)</f>
        <v>7</v>
      </c>
      <c r="M1759">
        <f>IF(Table1[[#This Row],[Sale_Type]]="Buffet",1,0)</f>
        <v>0</v>
      </c>
    </row>
    <row r="1760" spans="1:13" x14ac:dyDescent="0.2">
      <c r="A1760" t="s">
        <v>2033</v>
      </c>
      <c r="B1760" t="s">
        <v>493</v>
      </c>
      <c r="C1760" s="1">
        <v>46012</v>
      </c>
      <c r="D1760" t="s">
        <v>171</v>
      </c>
      <c r="E1760" t="s">
        <v>14</v>
      </c>
      <c r="F1760" t="s">
        <v>27</v>
      </c>
      <c r="G1760" t="s">
        <v>16</v>
      </c>
      <c r="H1760">
        <v>5</v>
      </c>
      <c r="I1760">
        <v>185.11</v>
      </c>
      <c r="J1760" t="s">
        <v>34</v>
      </c>
      <c r="K1760" t="s">
        <v>18</v>
      </c>
      <c r="L1760">
        <f>WEEKDAY(Table1[[#This Row],[Transaction_Date]],2)</f>
        <v>7</v>
      </c>
      <c r="M1760">
        <f>IF(Table1[[#This Row],[Sale_Type]]="Buffet",1,0)</f>
        <v>0</v>
      </c>
    </row>
    <row r="1761" spans="1:13" x14ac:dyDescent="0.2">
      <c r="A1761" t="s">
        <v>2034</v>
      </c>
      <c r="B1761" t="s">
        <v>59</v>
      </c>
      <c r="C1761" s="1">
        <v>46012</v>
      </c>
      <c r="D1761" t="s">
        <v>171</v>
      </c>
      <c r="E1761" t="s">
        <v>14</v>
      </c>
      <c r="F1761" t="s">
        <v>31</v>
      </c>
      <c r="G1761" t="s">
        <v>16</v>
      </c>
      <c r="H1761">
        <v>1</v>
      </c>
      <c r="I1761">
        <v>21.4</v>
      </c>
      <c r="J1761" t="s">
        <v>28</v>
      </c>
      <c r="K1761" t="s">
        <v>18</v>
      </c>
      <c r="L1761">
        <f>WEEKDAY(Table1[[#This Row],[Transaction_Date]],2)</f>
        <v>7</v>
      </c>
      <c r="M1761">
        <f>IF(Table1[[#This Row],[Sale_Type]]="Buffet",1,0)</f>
        <v>0</v>
      </c>
    </row>
    <row r="1762" spans="1:13" x14ac:dyDescent="0.2">
      <c r="A1762" t="s">
        <v>2035</v>
      </c>
      <c r="B1762" t="s">
        <v>1880</v>
      </c>
      <c r="C1762" s="1">
        <v>46012</v>
      </c>
      <c r="D1762" t="s">
        <v>171</v>
      </c>
      <c r="E1762" t="s">
        <v>14</v>
      </c>
      <c r="F1762" t="s">
        <v>31</v>
      </c>
      <c r="G1762" t="s">
        <v>16</v>
      </c>
      <c r="H1762">
        <v>1</v>
      </c>
      <c r="I1762">
        <v>18.45</v>
      </c>
      <c r="J1762" t="s">
        <v>17</v>
      </c>
      <c r="K1762" t="s">
        <v>18</v>
      </c>
      <c r="L1762">
        <f>WEEKDAY(Table1[[#This Row],[Transaction_Date]],2)</f>
        <v>7</v>
      </c>
      <c r="M1762">
        <f>IF(Table1[[#This Row],[Sale_Type]]="Buffet",1,0)</f>
        <v>0</v>
      </c>
    </row>
    <row r="1763" spans="1:13" x14ac:dyDescent="0.2">
      <c r="A1763" t="s">
        <v>2036</v>
      </c>
      <c r="B1763" t="s">
        <v>76</v>
      </c>
      <c r="C1763" s="1">
        <v>46012</v>
      </c>
      <c r="D1763" t="s">
        <v>171</v>
      </c>
      <c r="E1763" t="s">
        <v>14</v>
      </c>
      <c r="F1763" t="s">
        <v>31</v>
      </c>
      <c r="G1763" t="s">
        <v>16</v>
      </c>
      <c r="H1763">
        <v>1</v>
      </c>
      <c r="I1763">
        <v>15.04</v>
      </c>
      <c r="J1763" t="s">
        <v>28</v>
      </c>
      <c r="K1763" t="s">
        <v>21</v>
      </c>
      <c r="L1763">
        <f>WEEKDAY(Table1[[#This Row],[Transaction_Date]],2)</f>
        <v>7</v>
      </c>
      <c r="M1763">
        <f>IF(Table1[[#This Row],[Sale_Type]]="Buffet",1,0)</f>
        <v>0</v>
      </c>
    </row>
    <row r="1764" spans="1:13" x14ac:dyDescent="0.2">
      <c r="A1764" t="s">
        <v>2037</v>
      </c>
      <c r="B1764" t="s">
        <v>1017</v>
      </c>
      <c r="C1764" s="1">
        <v>46012</v>
      </c>
      <c r="D1764" t="s">
        <v>171</v>
      </c>
      <c r="E1764" t="s">
        <v>14</v>
      </c>
      <c r="F1764" t="s">
        <v>31</v>
      </c>
      <c r="G1764" t="s">
        <v>16</v>
      </c>
      <c r="H1764">
        <v>2</v>
      </c>
      <c r="I1764">
        <v>33.72</v>
      </c>
      <c r="J1764" t="s">
        <v>17</v>
      </c>
      <c r="K1764" t="s">
        <v>18</v>
      </c>
      <c r="L1764">
        <f>WEEKDAY(Table1[[#This Row],[Transaction_Date]],2)</f>
        <v>7</v>
      </c>
      <c r="M1764">
        <f>IF(Table1[[#This Row],[Sale_Type]]="Buffet",1,0)</f>
        <v>0</v>
      </c>
    </row>
    <row r="1765" spans="1:13" x14ac:dyDescent="0.2">
      <c r="A1765" t="s">
        <v>2038</v>
      </c>
      <c r="B1765" t="s">
        <v>293</v>
      </c>
      <c r="C1765" s="1">
        <v>46012</v>
      </c>
      <c r="D1765" t="s">
        <v>171</v>
      </c>
      <c r="E1765" t="s">
        <v>14</v>
      </c>
      <c r="F1765" t="s">
        <v>31</v>
      </c>
      <c r="G1765" t="s">
        <v>16</v>
      </c>
      <c r="H1765">
        <v>3</v>
      </c>
      <c r="I1765">
        <v>72.290000000000006</v>
      </c>
      <c r="J1765" t="s">
        <v>28</v>
      </c>
      <c r="K1765" t="s">
        <v>18</v>
      </c>
      <c r="L1765">
        <f>WEEKDAY(Table1[[#This Row],[Transaction_Date]],2)</f>
        <v>7</v>
      </c>
      <c r="M1765">
        <f>IF(Table1[[#This Row],[Sale_Type]]="Buffet",1,0)</f>
        <v>0</v>
      </c>
    </row>
    <row r="1766" spans="1:13" x14ac:dyDescent="0.2">
      <c r="A1766" t="s">
        <v>2039</v>
      </c>
      <c r="B1766" t="s">
        <v>144</v>
      </c>
      <c r="C1766" s="1">
        <v>46012</v>
      </c>
      <c r="D1766" t="s">
        <v>171</v>
      </c>
      <c r="E1766" t="s">
        <v>14</v>
      </c>
      <c r="F1766" t="s">
        <v>31</v>
      </c>
      <c r="G1766" t="s">
        <v>16</v>
      </c>
      <c r="H1766">
        <v>2</v>
      </c>
      <c r="I1766">
        <v>45.24</v>
      </c>
      <c r="J1766" t="s">
        <v>17</v>
      </c>
      <c r="K1766" t="s">
        <v>18</v>
      </c>
      <c r="L1766">
        <f>WEEKDAY(Table1[[#This Row],[Transaction_Date]],2)</f>
        <v>7</v>
      </c>
      <c r="M1766">
        <f>IF(Table1[[#This Row],[Sale_Type]]="Buffet",1,0)</f>
        <v>0</v>
      </c>
    </row>
    <row r="1767" spans="1:13" x14ac:dyDescent="0.2">
      <c r="A1767" t="s">
        <v>2040</v>
      </c>
      <c r="B1767" t="s">
        <v>222</v>
      </c>
      <c r="C1767" s="1">
        <v>46012</v>
      </c>
      <c r="D1767" t="s">
        <v>171</v>
      </c>
      <c r="E1767" t="s">
        <v>14</v>
      </c>
      <c r="F1767" t="s">
        <v>31</v>
      </c>
      <c r="G1767" t="s">
        <v>16</v>
      </c>
      <c r="H1767">
        <v>5</v>
      </c>
      <c r="I1767">
        <v>261.39</v>
      </c>
      <c r="J1767" t="s">
        <v>28</v>
      </c>
      <c r="K1767" t="s">
        <v>18</v>
      </c>
      <c r="L1767">
        <f>WEEKDAY(Table1[[#This Row],[Transaction_Date]],2)</f>
        <v>7</v>
      </c>
      <c r="M1767">
        <f>IF(Table1[[#This Row],[Sale_Type]]="Buffet",1,0)</f>
        <v>0</v>
      </c>
    </row>
    <row r="1768" spans="1:13" x14ac:dyDescent="0.2">
      <c r="A1768" t="s">
        <v>2041</v>
      </c>
      <c r="B1768" t="s">
        <v>56</v>
      </c>
      <c r="C1768" s="1">
        <v>46012</v>
      </c>
      <c r="D1768" t="s">
        <v>171</v>
      </c>
      <c r="E1768" t="s">
        <v>14</v>
      </c>
      <c r="F1768" t="s">
        <v>40</v>
      </c>
      <c r="G1768" t="s">
        <v>16</v>
      </c>
      <c r="H1768">
        <v>6</v>
      </c>
      <c r="I1768">
        <v>102.43</v>
      </c>
      <c r="J1768" t="s">
        <v>17</v>
      </c>
      <c r="K1768" t="s">
        <v>18</v>
      </c>
      <c r="L1768">
        <f>WEEKDAY(Table1[[#This Row],[Transaction_Date]],2)</f>
        <v>7</v>
      </c>
      <c r="M1768">
        <f>IF(Table1[[#This Row],[Sale_Type]]="Buffet",1,0)</f>
        <v>0</v>
      </c>
    </row>
    <row r="1769" spans="1:13" x14ac:dyDescent="0.2">
      <c r="A1769" t="s">
        <v>2042</v>
      </c>
      <c r="B1769" t="s">
        <v>402</v>
      </c>
      <c r="C1769" s="1">
        <v>46012</v>
      </c>
      <c r="D1769" t="s">
        <v>171</v>
      </c>
      <c r="E1769" t="s">
        <v>14</v>
      </c>
      <c r="F1769" t="s">
        <v>40</v>
      </c>
      <c r="G1769" t="s">
        <v>16</v>
      </c>
      <c r="H1769">
        <v>1</v>
      </c>
      <c r="I1769">
        <v>44.19</v>
      </c>
      <c r="J1769" t="s">
        <v>34</v>
      </c>
      <c r="K1769" t="s">
        <v>18</v>
      </c>
      <c r="L1769">
        <f>WEEKDAY(Table1[[#This Row],[Transaction_Date]],2)</f>
        <v>7</v>
      </c>
      <c r="M1769">
        <f>IF(Table1[[#This Row],[Sale_Type]]="Buffet",1,0)</f>
        <v>0</v>
      </c>
    </row>
    <row r="1770" spans="1:13" x14ac:dyDescent="0.2">
      <c r="A1770" t="s">
        <v>2043</v>
      </c>
      <c r="B1770" t="s">
        <v>266</v>
      </c>
      <c r="C1770" s="1">
        <v>46012</v>
      </c>
      <c r="D1770" t="s">
        <v>171</v>
      </c>
      <c r="E1770" t="s">
        <v>14</v>
      </c>
      <c r="F1770" t="s">
        <v>40</v>
      </c>
      <c r="G1770" t="s">
        <v>16</v>
      </c>
      <c r="H1770">
        <v>3</v>
      </c>
      <c r="I1770">
        <v>100.25</v>
      </c>
      <c r="J1770" t="s">
        <v>28</v>
      </c>
      <c r="K1770" t="s">
        <v>18</v>
      </c>
      <c r="L1770">
        <f>WEEKDAY(Table1[[#This Row],[Transaction_Date]],2)</f>
        <v>7</v>
      </c>
      <c r="M1770">
        <f>IF(Table1[[#This Row],[Sale_Type]]="Buffet",1,0)</f>
        <v>0</v>
      </c>
    </row>
    <row r="1771" spans="1:13" x14ac:dyDescent="0.2">
      <c r="A1771" t="s">
        <v>2044</v>
      </c>
      <c r="B1771" t="s">
        <v>260</v>
      </c>
      <c r="C1771" s="1">
        <v>46012</v>
      </c>
      <c r="D1771" t="s">
        <v>171</v>
      </c>
      <c r="E1771" t="s">
        <v>43</v>
      </c>
      <c r="F1771" t="s">
        <v>50</v>
      </c>
      <c r="G1771" t="s">
        <v>16</v>
      </c>
      <c r="H1771">
        <v>2</v>
      </c>
      <c r="I1771">
        <v>25.22</v>
      </c>
      <c r="J1771" t="s">
        <v>17</v>
      </c>
      <c r="K1771" t="s">
        <v>21</v>
      </c>
      <c r="L1771">
        <f>WEEKDAY(Table1[[#This Row],[Transaction_Date]],2)</f>
        <v>7</v>
      </c>
      <c r="M1771">
        <f>IF(Table1[[#This Row],[Sale_Type]]="Buffet",1,0)</f>
        <v>0</v>
      </c>
    </row>
    <row r="1772" spans="1:13" x14ac:dyDescent="0.2">
      <c r="A1772" t="s">
        <v>2045</v>
      </c>
      <c r="B1772" t="s">
        <v>283</v>
      </c>
      <c r="C1772" s="1">
        <v>46012</v>
      </c>
      <c r="D1772" t="s">
        <v>171</v>
      </c>
      <c r="E1772" t="s">
        <v>43</v>
      </c>
      <c r="F1772" t="s">
        <v>53</v>
      </c>
      <c r="G1772" t="s">
        <v>16</v>
      </c>
      <c r="H1772">
        <v>4</v>
      </c>
      <c r="I1772">
        <v>66.33</v>
      </c>
      <c r="J1772" t="s">
        <v>17</v>
      </c>
      <c r="K1772" t="s">
        <v>18</v>
      </c>
      <c r="L1772">
        <f>WEEKDAY(Table1[[#This Row],[Transaction_Date]],2)</f>
        <v>7</v>
      </c>
      <c r="M1772">
        <f>IF(Table1[[#This Row],[Sale_Type]]="Buffet",1,0)</f>
        <v>0</v>
      </c>
    </row>
    <row r="1773" spans="1:13" x14ac:dyDescent="0.2">
      <c r="A1773" t="s">
        <v>2046</v>
      </c>
      <c r="B1773" t="s">
        <v>66</v>
      </c>
      <c r="C1773" s="1">
        <v>46013</v>
      </c>
      <c r="D1773" t="s">
        <v>213</v>
      </c>
      <c r="E1773" t="s">
        <v>14</v>
      </c>
      <c r="F1773" t="s">
        <v>15</v>
      </c>
      <c r="G1773" t="s">
        <v>16</v>
      </c>
      <c r="H1773">
        <v>4</v>
      </c>
      <c r="I1773">
        <v>90.96</v>
      </c>
      <c r="J1773" t="s">
        <v>17</v>
      </c>
      <c r="K1773" t="s">
        <v>18</v>
      </c>
      <c r="L1773">
        <f>WEEKDAY(Table1[[#This Row],[Transaction_Date]],2)</f>
        <v>1</v>
      </c>
      <c r="M1773">
        <f>IF(Table1[[#This Row],[Sale_Type]]="Buffet",1,0)</f>
        <v>0</v>
      </c>
    </row>
    <row r="1774" spans="1:13" x14ac:dyDescent="0.2">
      <c r="A1774" t="s">
        <v>2047</v>
      </c>
      <c r="B1774" t="s">
        <v>264</v>
      </c>
      <c r="C1774" s="1">
        <v>46013</v>
      </c>
      <c r="D1774" t="s">
        <v>213</v>
      </c>
      <c r="E1774" t="s">
        <v>14</v>
      </c>
      <c r="F1774" t="s">
        <v>15</v>
      </c>
      <c r="G1774" t="s">
        <v>16</v>
      </c>
      <c r="H1774">
        <v>1</v>
      </c>
      <c r="I1774">
        <v>42.67</v>
      </c>
      <c r="J1774" t="s">
        <v>17</v>
      </c>
      <c r="K1774" t="s">
        <v>18</v>
      </c>
      <c r="L1774">
        <f>WEEKDAY(Table1[[#This Row],[Transaction_Date]],2)</f>
        <v>1</v>
      </c>
      <c r="M1774">
        <f>IF(Table1[[#This Row],[Sale_Type]]="Buffet",1,0)</f>
        <v>0</v>
      </c>
    </row>
    <row r="1775" spans="1:13" x14ac:dyDescent="0.2">
      <c r="A1775" t="s">
        <v>2048</v>
      </c>
      <c r="B1775" t="s">
        <v>518</v>
      </c>
      <c r="C1775" s="1">
        <v>46013</v>
      </c>
      <c r="D1775" t="s">
        <v>213</v>
      </c>
      <c r="E1775" t="s">
        <v>14</v>
      </c>
      <c r="F1775" t="s">
        <v>15</v>
      </c>
      <c r="G1775" t="s">
        <v>16</v>
      </c>
      <c r="H1775">
        <v>3</v>
      </c>
      <c r="I1775">
        <v>112.44</v>
      </c>
      <c r="J1775" t="s">
        <v>34</v>
      </c>
      <c r="K1775" t="s">
        <v>18</v>
      </c>
      <c r="L1775">
        <f>WEEKDAY(Table1[[#This Row],[Transaction_Date]],2)</f>
        <v>1</v>
      </c>
      <c r="M1775">
        <f>IF(Table1[[#This Row],[Sale_Type]]="Buffet",1,0)</f>
        <v>0</v>
      </c>
    </row>
    <row r="1776" spans="1:13" x14ac:dyDescent="0.2">
      <c r="A1776" t="s">
        <v>2049</v>
      </c>
      <c r="B1776" t="s">
        <v>252</v>
      </c>
      <c r="C1776" s="1">
        <v>46013</v>
      </c>
      <c r="D1776" t="s">
        <v>213</v>
      </c>
      <c r="E1776" t="s">
        <v>14</v>
      </c>
      <c r="F1776" t="s">
        <v>24</v>
      </c>
      <c r="G1776" t="s">
        <v>16</v>
      </c>
      <c r="H1776">
        <v>3</v>
      </c>
      <c r="I1776">
        <v>100.65</v>
      </c>
      <c r="J1776" t="s">
        <v>34</v>
      </c>
      <c r="K1776" t="s">
        <v>18</v>
      </c>
      <c r="L1776">
        <f>WEEKDAY(Table1[[#This Row],[Transaction_Date]],2)</f>
        <v>1</v>
      </c>
      <c r="M1776">
        <f>IF(Table1[[#This Row],[Sale_Type]]="Buffet",1,0)</f>
        <v>0</v>
      </c>
    </row>
    <row r="1777" spans="1:13" x14ac:dyDescent="0.2">
      <c r="A1777" t="s">
        <v>2050</v>
      </c>
      <c r="B1777" t="s">
        <v>68</v>
      </c>
      <c r="C1777" s="1">
        <v>46013</v>
      </c>
      <c r="D1777" t="s">
        <v>213</v>
      </c>
      <c r="E1777" t="s">
        <v>14</v>
      </c>
      <c r="F1777" t="s">
        <v>24</v>
      </c>
      <c r="G1777" t="s">
        <v>16</v>
      </c>
      <c r="H1777">
        <v>4</v>
      </c>
      <c r="I1777">
        <v>123.49</v>
      </c>
      <c r="J1777" t="s">
        <v>34</v>
      </c>
      <c r="K1777" t="s">
        <v>18</v>
      </c>
      <c r="L1777">
        <f>WEEKDAY(Table1[[#This Row],[Transaction_Date]],2)</f>
        <v>1</v>
      </c>
      <c r="M1777">
        <f>IF(Table1[[#This Row],[Sale_Type]]="Buffet",1,0)</f>
        <v>0</v>
      </c>
    </row>
    <row r="1778" spans="1:13" x14ac:dyDescent="0.2">
      <c r="A1778" t="s">
        <v>2051</v>
      </c>
      <c r="B1778" t="s">
        <v>102</v>
      </c>
      <c r="C1778" s="1">
        <v>46013</v>
      </c>
      <c r="D1778" t="s">
        <v>213</v>
      </c>
      <c r="E1778" t="s">
        <v>14</v>
      </c>
      <c r="F1778" t="s">
        <v>24</v>
      </c>
      <c r="G1778" t="s">
        <v>16</v>
      </c>
      <c r="H1778">
        <v>2</v>
      </c>
      <c r="I1778">
        <v>48.48</v>
      </c>
      <c r="J1778" t="s">
        <v>28</v>
      </c>
      <c r="K1778" t="s">
        <v>18</v>
      </c>
      <c r="L1778">
        <f>WEEKDAY(Table1[[#This Row],[Transaction_Date]],2)</f>
        <v>1</v>
      </c>
      <c r="M1778">
        <f>IF(Table1[[#This Row],[Sale_Type]]="Buffet",1,0)</f>
        <v>0</v>
      </c>
    </row>
    <row r="1779" spans="1:13" x14ac:dyDescent="0.2">
      <c r="A1779" t="s">
        <v>2052</v>
      </c>
      <c r="B1779" t="s">
        <v>233</v>
      </c>
      <c r="C1779" s="1">
        <v>46013</v>
      </c>
      <c r="D1779" t="s">
        <v>213</v>
      </c>
      <c r="E1779" t="s">
        <v>14</v>
      </c>
      <c r="F1779" t="s">
        <v>24</v>
      </c>
      <c r="G1779" t="s">
        <v>16</v>
      </c>
      <c r="H1779">
        <v>3</v>
      </c>
      <c r="I1779">
        <v>89.64</v>
      </c>
      <c r="J1779" t="s">
        <v>34</v>
      </c>
      <c r="K1779" t="s">
        <v>21</v>
      </c>
      <c r="L1779">
        <f>WEEKDAY(Table1[[#This Row],[Transaction_Date]],2)</f>
        <v>1</v>
      </c>
      <c r="M1779">
        <f>IF(Table1[[#This Row],[Sale_Type]]="Buffet",1,0)</f>
        <v>0</v>
      </c>
    </row>
    <row r="1780" spans="1:13" x14ac:dyDescent="0.2">
      <c r="A1780" t="s">
        <v>2053</v>
      </c>
      <c r="B1780" t="s">
        <v>148</v>
      </c>
      <c r="C1780" s="1">
        <v>46013</v>
      </c>
      <c r="D1780" t="s">
        <v>213</v>
      </c>
      <c r="E1780" t="s">
        <v>14</v>
      </c>
      <c r="F1780" t="s">
        <v>27</v>
      </c>
      <c r="G1780" t="s">
        <v>16</v>
      </c>
      <c r="H1780">
        <v>1</v>
      </c>
      <c r="I1780">
        <v>37.75</v>
      </c>
      <c r="J1780" t="s">
        <v>34</v>
      </c>
      <c r="K1780" t="s">
        <v>18</v>
      </c>
      <c r="L1780">
        <f>WEEKDAY(Table1[[#This Row],[Transaction_Date]],2)</f>
        <v>1</v>
      </c>
      <c r="M1780">
        <f>IF(Table1[[#This Row],[Sale_Type]]="Buffet",1,0)</f>
        <v>0</v>
      </c>
    </row>
    <row r="1781" spans="1:13" x14ac:dyDescent="0.2">
      <c r="A1781" t="s">
        <v>2054</v>
      </c>
      <c r="B1781" t="s">
        <v>293</v>
      </c>
      <c r="C1781" s="1">
        <v>46013</v>
      </c>
      <c r="D1781" t="s">
        <v>213</v>
      </c>
      <c r="E1781" t="s">
        <v>14</v>
      </c>
      <c r="F1781" t="s">
        <v>27</v>
      </c>
      <c r="G1781" t="s">
        <v>16</v>
      </c>
      <c r="H1781">
        <v>5</v>
      </c>
      <c r="I1781">
        <v>205.1</v>
      </c>
      <c r="J1781" t="s">
        <v>34</v>
      </c>
      <c r="K1781" t="s">
        <v>21</v>
      </c>
      <c r="L1781">
        <f>WEEKDAY(Table1[[#This Row],[Transaction_Date]],2)</f>
        <v>1</v>
      </c>
      <c r="M1781">
        <f>IF(Table1[[#This Row],[Sale_Type]]="Buffet",1,0)</f>
        <v>0</v>
      </c>
    </row>
    <row r="1782" spans="1:13" x14ac:dyDescent="0.2">
      <c r="A1782" t="s">
        <v>2055</v>
      </c>
      <c r="B1782" t="s">
        <v>733</v>
      </c>
      <c r="C1782" s="1">
        <v>46013</v>
      </c>
      <c r="D1782" t="s">
        <v>213</v>
      </c>
      <c r="E1782" t="s">
        <v>14</v>
      </c>
      <c r="F1782" t="s">
        <v>31</v>
      </c>
      <c r="G1782" t="s">
        <v>16</v>
      </c>
      <c r="H1782">
        <v>2</v>
      </c>
      <c r="I1782">
        <v>90.99</v>
      </c>
      <c r="J1782" t="s">
        <v>34</v>
      </c>
      <c r="K1782" t="s">
        <v>18</v>
      </c>
      <c r="L1782">
        <f>WEEKDAY(Table1[[#This Row],[Transaction_Date]],2)</f>
        <v>1</v>
      </c>
      <c r="M1782">
        <f>IF(Table1[[#This Row],[Sale_Type]]="Buffet",1,0)</f>
        <v>0</v>
      </c>
    </row>
    <row r="1783" spans="1:13" x14ac:dyDescent="0.2">
      <c r="A1783" t="s">
        <v>2056</v>
      </c>
      <c r="B1783" t="s">
        <v>486</v>
      </c>
      <c r="C1783" s="1">
        <v>46013</v>
      </c>
      <c r="D1783" t="s">
        <v>213</v>
      </c>
      <c r="E1783" t="s">
        <v>14</v>
      </c>
      <c r="F1783" t="s">
        <v>31</v>
      </c>
      <c r="G1783" t="s">
        <v>16</v>
      </c>
      <c r="H1783">
        <v>3</v>
      </c>
      <c r="I1783">
        <v>98.16</v>
      </c>
      <c r="J1783" t="s">
        <v>17</v>
      </c>
      <c r="K1783" t="s">
        <v>21</v>
      </c>
      <c r="L1783">
        <f>WEEKDAY(Table1[[#This Row],[Transaction_Date]],2)</f>
        <v>1</v>
      </c>
      <c r="M1783">
        <f>IF(Table1[[#This Row],[Sale_Type]]="Buffet",1,0)</f>
        <v>0</v>
      </c>
    </row>
    <row r="1784" spans="1:13" x14ac:dyDescent="0.2">
      <c r="A1784" t="s">
        <v>2057</v>
      </c>
      <c r="B1784" t="s">
        <v>102</v>
      </c>
      <c r="C1784" s="1">
        <v>46013</v>
      </c>
      <c r="D1784" t="s">
        <v>213</v>
      </c>
      <c r="E1784" t="s">
        <v>14</v>
      </c>
      <c r="F1784" t="s">
        <v>31</v>
      </c>
      <c r="G1784" t="s">
        <v>16</v>
      </c>
      <c r="H1784">
        <v>3</v>
      </c>
      <c r="I1784">
        <v>51.81</v>
      </c>
      <c r="J1784" t="s">
        <v>28</v>
      </c>
      <c r="K1784" t="s">
        <v>21</v>
      </c>
      <c r="L1784">
        <f>WEEKDAY(Table1[[#This Row],[Transaction_Date]],2)</f>
        <v>1</v>
      </c>
      <c r="M1784">
        <f>IF(Table1[[#This Row],[Sale_Type]]="Buffet",1,0)</f>
        <v>0</v>
      </c>
    </row>
    <row r="1785" spans="1:13" x14ac:dyDescent="0.2">
      <c r="A1785" t="s">
        <v>2058</v>
      </c>
      <c r="B1785" t="s">
        <v>755</v>
      </c>
      <c r="C1785" s="1">
        <v>46013</v>
      </c>
      <c r="D1785" t="s">
        <v>213</v>
      </c>
      <c r="E1785" t="s">
        <v>14</v>
      </c>
      <c r="F1785" t="s">
        <v>31</v>
      </c>
      <c r="G1785" t="s">
        <v>16</v>
      </c>
      <c r="H1785">
        <v>4</v>
      </c>
      <c r="I1785">
        <v>160.22</v>
      </c>
      <c r="J1785" t="s">
        <v>17</v>
      </c>
      <c r="K1785" t="s">
        <v>18</v>
      </c>
      <c r="L1785">
        <f>WEEKDAY(Table1[[#This Row],[Transaction_Date]],2)</f>
        <v>1</v>
      </c>
      <c r="M1785">
        <f>IF(Table1[[#This Row],[Sale_Type]]="Buffet",1,0)</f>
        <v>0</v>
      </c>
    </row>
    <row r="1786" spans="1:13" x14ac:dyDescent="0.2">
      <c r="A1786" t="s">
        <v>2059</v>
      </c>
      <c r="B1786" t="s">
        <v>351</v>
      </c>
      <c r="C1786" s="1">
        <v>46013</v>
      </c>
      <c r="D1786" t="s">
        <v>213</v>
      </c>
      <c r="E1786" t="s">
        <v>14</v>
      </c>
      <c r="F1786" t="s">
        <v>31</v>
      </c>
      <c r="G1786" t="s">
        <v>16</v>
      </c>
      <c r="H1786">
        <v>5</v>
      </c>
      <c r="I1786">
        <v>158.32</v>
      </c>
      <c r="J1786" t="s">
        <v>28</v>
      </c>
      <c r="K1786" t="s">
        <v>18</v>
      </c>
      <c r="L1786">
        <f>WEEKDAY(Table1[[#This Row],[Transaction_Date]],2)</f>
        <v>1</v>
      </c>
      <c r="M1786">
        <f>IF(Table1[[#This Row],[Sale_Type]]="Buffet",1,0)</f>
        <v>0</v>
      </c>
    </row>
    <row r="1787" spans="1:13" x14ac:dyDescent="0.2">
      <c r="A1787" t="s">
        <v>2060</v>
      </c>
      <c r="B1787" t="s">
        <v>131</v>
      </c>
      <c r="C1787" s="1">
        <v>46013</v>
      </c>
      <c r="D1787" t="s">
        <v>213</v>
      </c>
      <c r="E1787" t="s">
        <v>14</v>
      </c>
      <c r="F1787" t="s">
        <v>40</v>
      </c>
      <c r="G1787" t="s">
        <v>16</v>
      </c>
      <c r="H1787">
        <v>1</v>
      </c>
      <c r="I1787">
        <v>32.71</v>
      </c>
      <c r="J1787" t="s">
        <v>17</v>
      </c>
      <c r="K1787" t="s">
        <v>18</v>
      </c>
      <c r="L1787">
        <f>WEEKDAY(Table1[[#This Row],[Transaction_Date]],2)</f>
        <v>1</v>
      </c>
      <c r="M1787">
        <f>IF(Table1[[#This Row],[Sale_Type]]="Buffet",1,0)</f>
        <v>0</v>
      </c>
    </row>
    <row r="1788" spans="1:13" x14ac:dyDescent="0.2">
      <c r="A1788" t="s">
        <v>2061</v>
      </c>
      <c r="B1788" t="s">
        <v>59</v>
      </c>
      <c r="C1788" s="1">
        <v>46013</v>
      </c>
      <c r="D1788" t="s">
        <v>213</v>
      </c>
      <c r="E1788" t="s">
        <v>14</v>
      </c>
      <c r="F1788" t="s">
        <v>40</v>
      </c>
      <c r="G1788" t="s">
        <v>16</v>
      </c>
      <c r="H1788">
        <v>3</v>
      </c>
      <c r="I1788">
        <v>76.83</v>
      </c>
      <c r="J1788" t="s">
        <v>17</v>
      </c>
      <c r="K1788" t="s">
        <v>18</v>
      </c>
      <c r="L1788">
        <f>WEEKDAY(Table1[[#This Row],[Transaction_Date]],2)</f>
        <v>1</v>
      </c>
      <c r="M1788">
        <f>IF(Table1[[#This Row],[Sale_Type]]="Buffet",1,0)</f>
        <v>0</v>
      </c>
    </row>
    <row r="1789" spans="1:13" x14ac:dyDescent="0.2">
      <c r="A1789" t="s">
        <v>2062</v>
      </c>
      <c r="B1789" t="s">
        <v>304</v>
      </c>
      <c r="C1789" s="1">
        <v>46013</v>
      </c>
      <c r="D1789" t="s">
        <v>213</v>
      </c>
      <c r="E1789" t="s">
        <v>14</v>
      </c>
      <c r="F1789" t="s">
        <v>40</v>
      </c>
      <c r="G1789" t="s">
        <v>16</v>
      </c>
      <c r="H1789">
        <v>3</v>
      </c>
      <c r="I1789">
        <v>87.49</v>
      </c>
      <c r="J1789" t="s">
        <v>17</v>
      </c>
      <c r="K1789" t="s">
        <v>18</v>
      </c>
      <c r="L1789">
        <f>WEEKDAY(Table1[[#This Row],[Transaction_Date]],2)</f>
        <v>1</v>
      </c>
      <c r="M1789">
        <f>IF(Table1[[#This Row],[Sale_Type]]="Buffet",1,0)</f>
        <v>0</v>
      </c>
    </row>
    <row r="1790" spans="1:13" x14ac:dyDescent="0.2">
      <c r="A1790" t="s">
        <v>2063</v>
      </c>
      <c r="B1790" t="s">
        <v>258</v>
      </c>
      <c r="C1790" s="1">
        <v>46013</v>
      </c>
      <c r="D1790" t="s">
        <v>213</v>
      </c>
      <c r="E1790" t="s">
        <v>14</v>
      </c>
      <c r="F1790" t="s">
        <v>40</v>
      </c>
      <c r="G1790" t="s">
        <v>16</v>
      </c>
      <c r="H1790">
        <v>2</v>
      </c>
      <c r="I1790">
        <v>59.01</v>
      </c>
      <c r="J1790" t="s">
        <v>17</v>
      </c>
      <c r="K1790" t="s">
        <v>21</v>
      </c>
      <c r="L1790">
        <f>WEEKDAY(Table1[[#This Row],[Transaction_Date]],2)</f>
        <v>1</v>
      </c>
      <c r="M1790">
        <f>IF(Table1[[#This Row],[Sale_Type]]="Buffet",1,0)</f>
        <v>0</v>
      </c>
    </row>
    <row r="1791" spans="1:13" x14ac:dyDescent="0.2">
      <c r="A1791" t="s">
        <v>2064</v>
      </c>
      <c r="B1791" t="s">
        <v>178</v>
      </c>
      <c r="C1791" s="1">
        <v>46013</v>
      </c>
      <c r="D1791" t="s">
        <v>213</v>
      </c>
      <c r="E1791" t="s">
        <v>14</v>
      </c>
      <c r="F1791" t="s">
        <v>40</v>
      </c>
      <c r="G1791" t="s">
        <v>16</v>
      </c>
      <c r="H1791">
        <v>2</v>
      </c>
      <c r="I1791">
        <v>81.97</v>
      </c>
      <c r="J1791" t="s">
        <v>17</v>
      </c>
      <c r="K1791" t="s">
        <v>18</v>
      </c>
      <c r="L1791">
        <f>WEEKDAY(Table1[[#This Row],[Transaction_Date]],2)</f>
        <v>1</v>
      </c>
      <c r="M1791">
        <f>IF(Table1[[#This Row],[Sale_Type]]="Buffet",1,0)</f>
        <v>0</v>
      </c>
    </row>
    <row r="1792" spans="1:13" x14ac:dyDescent="0.2">
      <c r="A1792" t="s">
        <v>2065</v>
      </c>
      <c r="B1792" t="s">
        <v>329</v>
      </c>
      <c r="C1792" s="1">
        <v>46013</v>
      </c>
      <c r="D1792" t="s">
        <v>213</v>
      </c>
      <c r="E1792" t="s">
        <v>43</v>
      </c>
      <c r="F1792" t="s">
        <v>44</v>
      </c>
      <c r="G1792" t="s">
        <v>16</v>
      </c>
      <c r="H1792">
        <v>2</v>
      </c>
      <c r="I1792">
        <v>49.91</v>
      </c>
      <c r="J1792" t="s">
        <v>28</v>
      </c>
      <c r="K1792" t="s">
        <v>18</v>
      </c>
      <c r="L1792">
        <f>WEEKDAY(Table1[[#This Row],[Transaction_Date]],2)</f>
        <v>1</v>
      </c>
      <c r="M1792">
        <f>IF(Table1[[#This Row],[Sale_Type]]="Buffet",1,0)</f>
        <v>0</v>
      </c>
    </row>
    <row r="1793" spans="1:13" x14ac:dyDescent="0.2">
      <c r="A1793" t="s">
        <v>2066</v>
      </c>
      <c r="B1793" t="s">
        <v>332</v>
      </c>
      <c r="C1793" s="1">
        <v>46013</v>
      </c>
      <c r="D1793" t="s">
        <v>213</v>
      </c>
      <c r="E1793" t="s">
        <v>43</v>
      </c>
      <c r="F1793" t="s">
        <v>44</v>
      </c>
      <c r="G1793" t="s">
        <v>16</v>
      </c>
      <c r="H1793">
        <v>4</v>
      </c>
      <c r="I1793">
        <v>48.39</v>
      </c>
      <c r="J1793" t="s">
        <v>34</v>
      </c>
      <c r="K1793" t="s">
        <v>18</v>
      </c>
      <c r="L1793">
        <f>WEEKDAY(Table1[[#This Row],[Transaction_Date]],2)</f>
        <v>1</v>
      </c>
      <c r="M1793">
        <f>IF(Table1[[#This Row],[Sale_Type]]="Buffet",1,0)</f>
        <v>0</v>
      </c>
    </row>
    <row r="1794" spans="1:13" x14ac:dyDescent="0.2">
      <c r="A1794" t="s">
        <v>2067</v>
      </c>
      <c r="B1794" t="s">
        <v>106</v>
      </c>
      <c r="C1794" s="1">
        <v>46013</v>
      </c>
      <c r="D1794" t="s">
        <v>213</v>
      </c>
      <c r="E1794" t="s">
        <v>43</v>
      </c>
      <c r="F1794" t="s">
        <v>50</v>
      </c>
      <c r="G1794" t="s">
        <v>16</v>
      </c>
      <c r="H1794">
        <v>2</v>
      </c>
      <c r="I1794">
        <v>25.33</v>
      </c>
      <c r="J1794" t="s">
        <v>28</v>
      </c>
      <c r="K1794" t="s">
        <v>21</v>
      </c>
      <c r="L1794">
        <f>WEEKDAY(Table1[[#This Row],[Transaction_Date]],2)</f>
        <v>1</v>
      </c>
      <c r="M1794">
        <f>IF(Table1[[#This Row],[Sale_Type]]="Buffet",1,0)</f>
        <v>0</v>
      </c>
    </row>
    <row r="1795" spans="1:13" x14ac:dyDescent="0.2">
      <c r="A1795" t="s">
        <v>2068</v>
      </c>
      <c r="B1795" t="s">
        <v>858</v>
      </c>
      <c r="C1795" s="1">
        <v>46013</v>
      </c>
      <c r="D1795" t="s">
        <v>213</v>
      </c>
      <c r="E1795" t="s">
        <v>43</v>
      </c>
      <c r="F1795" t="s">
        <v>50</v>
      </c>
      <c r="G1795" t="s">
        <v>16</v>
      </c>
      <c r="H1795">
        <v>3</v>
      </c>
      <c r="I1795">
        <v>40.35</v>
      </c>
      <c r="J1795" t="s">
        <v>17</v>
      </c>
      <c r="K1795" t="s">
        <v>18</v>
      </c>
      <c r="L1795">
        <f>WEEKDAY(Table1[[#This Row],[Transaction_Date]],2)</f>
        <v>1</v>
      </c>
      <c r="M1795">
        <f>IF(Table1[[#This Row],[Sale_Type]]="Buffet",1,0)</f>
        <v>0</v>
      </c>
    </row>
    <row r="1796" spans="1:13" x14ac:dyDescent="0.2">
      <c r="A1796" t="s">
        <v>2069</v>
      </c>
      <c r="B1796" t="s">
        <v>624</v>
      </c>
      <c r="C1796" s="1">
        <v>46013</v>
      </c>
      <c r="D1796" t="s">
        <v>213</v>
      </c>
      <c r="E1796" t="s">
        <v>43</v>
      </c>
      <c r="F1796" t="s">
        <v>50</v>
      </c>
      <c r="G1796" t="s">
        <v>16</v>
      </c>
      <c r="H1796">
        <v>4</v>
      </c>
      <c r="I1796">
        <v>78.41</v>
      </c>
      <c r="J1796" t="s">
        <v>34</v>
      </c>
      <c r="K1796" t="s">
        <v>21</v>
      </c>
      <c r="L1796">
        <f>WEEKDAY(Table1[[#This Row],[Transaction_Date]],2)</f>
        <v>1</v>
      </c>
      <c r="M1796">
        <f>IF(Table1[[#This Row],[Sale_Type]]="Buffet",1,0)</f>
        <v>0</v>
      </c>
    </row>
    <row r="1797" spans="1:13" x14ac:dyDescent="0.2">
      <c r="A1797" t="s">
        <v>2070</v>
      </c>
      <c r="B1797" t="s">
        <v>740</v>
      </c>
      <c r="C1797" s="1">
        <v>46013</v>
      </c>
      <c r="D1797" t="s">
        <v>213</v>
      </c>
      <c r="E1797" t="s">
        <v>43</v>
      </c>
      <c r="F1797" t="s">
        <v>50</v>
      </c>
      <c r="G1797" t="s">
        <v>16</v>
      </c>
      <c r="H1797">
        <v>3</v>
      </c>
      <c r="I1797">
        <v>32.07</v>
      </c>
      <c r="J1797" t="s">
        <v>17</v>
      </c>
      <c r="K1797" t="s">
        <v>21</v>
      </c>
      <c r="L1797">
        <f>WEEKDAY(Table1[[#This Row],[Transaction_Date]],2)</f>
        <v>1</v>
      </c>
      <c r="M1797">
        <f>IF(Table1[[#This Row],[Sale_Type]]="Buffet",1,0)</f>
        <v>0</v>
      </c>
    </row>
    <row r="1798" spans="1:13" x14ac:dyDescent="0.2">
      <c r="A1798" t="s">
        <v>2071</v>
      </c>
      <c r="B1798" t="s">
        <v>952</v>
      </c>
      <c r="C1798" s="1">
        <v>46013</v>
      </c>
      <c r="D1798" t="s">
        <v>213</v>
      </c>
      <c r="E1798" t="s">
        <v>43</v>
      </c>
      <c r="F1798" t="s">
        <v>53</v>
      </c>
      <c r="G1798" t="s">
        <v>16</v>
      </c>
      <c r="H1798">
        <v>2</v>
      </c>
      <c r="I1798">
        <v>28.71</v>
      </c>
      <c r="J1798" t="s">
        <v>17</v>
      </c>
      <c r="K1798" t="s">
        <v>18</v>
      </c>
      <c r="L1798">
        <f>WEEKDAY(Table1[[#This Row],[Transaction_Date]],2)</f>
        <v>1</v>
      </c>
      <c r="M1798">
        <f>IF(Table1[[#This Row],[Sale_Type]]="Buffet",1,0)</f>
        <v>0</v>
      </c>
    </row>
    <row r="1799" spans="1:13" x14ac:dyDescent="0.2">
      <c r="A1799" t="s">
        <v>2072</v>
      </c>
      <c r="B1799" t="s">
        <v>79</v>
      </c>
      <c r="C1799" s="1">
        <v>46013</v>
      </c>
      <c r="D1799" t="s">
        <v>213</v>
      </c>
      <c r="E1799" t="s">
        <v>43</v>
      </c>
      <c r="F1799" t="s">
        <v>53</v>
      </c>
      <c r="G1799" t="s">
        <v>16</v>
      </c>
      <c r="H1799">
        <v>2</v>
      </c>
      <c r="I1799">
        <v>18.579999999999998</v>
      </c>
      <c r="J1799" t="s">
        <v>17</v>
      </c>
      <c r="K1799" t="s">
        <v>18</v>
      </c>
      <c r="L1799">
        <f>WEEKDAY(Table1[[#This Row],[Transaction_Date]],2)</f>
        <v>1</v>
      </c>
      <c r="M1799">
        <f>IF(Table1[[#This Row],[Sale_Type]]="Buffet",1,0)</f>
        <v>0</v>
      </c>
    </row>
    <row r="1800" spans="1:13" x14ac:dyDescent="0.2">
      <c r="A1800" t="s">
        <v>2073</v>
      </c>
      <c r="B1800" t="s">
        <v>797</v>
      </c>
      <c r="C1800" s="1">
        <v>46013</v>
      </c>
      <c r="D1800" t="s">
        <v>213</v>
      </c>
      <c r="E1800" t="s">
        <v>43</v>
      </c>
      <c r="F1800" t="s">
        <v>53</v>
      </c>
      <c r="G1800" t="s">
        <v>16</v>
      </c>
      <c r="H1800">
        <v>2</v>
      </c>
      <c r="I1800">
        <v>21.56</v>
      </c>
      <c r="J1800" t="s">
        <v>17</v>
      </c>
      <c r="K1800" t="s">
        <v>18</v>
      </c>
      <c r="L1800">
        <f>WEEKDAY(Table1[[#This Row],[Transaction_Date]],2)</f>
        <v>1</v>
      </c>
      <c r="M1800">
        <f>IF(Table1[[#This Row],[Sale_Type]]="Buffet",1,0)</f>
        <v>0</v>
      </c>
    </row>
    <row r="1801" spans="1:13" x14ac:dyDescent="0.2">
      <c r="A1801" t="s">
        <v>2074</v>
      </c>
      <c r="B1801" t="s">
        <v>433</v>
      </c>
      <c r="C1801" s="1">
        <v>46013</v>
      </c>
      <c r="D1801" t="s">
        <v>213</v>
      </c>
      <c r="E1801" t="s">
        <v>43</v>
      </c>
      <c r="F1801" t="s">
        <v>53</v>
      </c>
      <c r="G1801" t="s">
        <v>16</v>
      </c>
      <c r="H1801">
        <v>2</v>
      </c>
      <c r="I1801">
        <v>46.36</v>
      </c>
      <c r="J1801" t="s">
        <v>34</v>
      </c>
      <c r="K1801" t="s">
        <v>21</v>
      </c>
      <c r="L1801">
        <f>WEEKDAY(Table1[[#This Row],[Transaction_Date]],2)</f>
        <v>1</v>
      </c>
      <c r="M1801">
        <f>IF(Table1[[#This Row],[Sale_Type]]="Buffet",1,0)</f>
        <v>0</v>
      </c>
    </row>
    <row r="1802" spans="1:13" x14ac:dyDescent="0.2">
      <c r="A1802" t="s">
        <v>2075</v>
      </c>
      <c r="B1802" t="s">
        <v>140</v>
      </c>
      <c r="C1802" s="1">
        <v>46013</v>
      </c>
      <c r="D1802" t="s">
        <v>213</v>
      </c>
      <c r="E1802" t="s">
        <v>43</v>
      </c>
      <c r="F1802" t="s">
        <v>57</v>
      </c>
      <c r="G1802" t="s">
        <v>16</v>
      </c>
      <c r="H1802">
        <v>3</v>
      </c>
      <c r="I1802">
        <v>41.03</v>
      </c>
      <c r="J1802" t="s">
        <v>28</v>
      </c>
      <c r="K1802" t="s">
        <v>18</v>
      </c>
      <c r="L1802">
        <f>WEEKDAY(Table1[[#This Row],[Transaction_Date]],2)</f>
        <v>1</v>
      </c>
      <c r="M1802">
        <f>IF(Table1[[#This Row],[Sale_Type]]="Buffet",1,0)</f>
        <v>0</v>
      </c>
    </row>
    <row r="1803" spans="1:13" x14ac:dyDescent="0.2">
      <c r="A1803" t="s">
        <v>2076</v>
      </c>
      <c r="B1803" t="s">
        <v>1082</v>
      </c>
      <c r="C1803" s="1">
        <v>46014</v>
      </c>
      <c r="D1803" t="s">
        <v>250</v>
      </c>
      <c r="E1803" t="s">
        <v>14</v>
      </c>
      <c r="F1803" t="s">
        <v>15</v>
      </c>
      <c r="G1803" t="s">
        <v>16</v>
      </c>
      <c r="H1803">
        <v>4</v>
      </c>
      <c r="I1803">
        <v>61.7</v>
      </c>
      <c r="J1803" t="s">
        <v>17</v>
      </c>
      <c r="K1803" t="s">
        <v>18</v>
      </c>
      <c r="L1803">
        <f>WEEKDAY(Table1[[#This Row],[Transaction_Date]],2)</f>
        <v>2</v>
      </c>
      <c r="M1803">
        <f>IF(Table1[[#This Row],[Sale_Type]]="Buffet",1,0)</f>
        <v>0</v>
      </c>
    </row>
    <row r="1804" spans="1:13" x14ac:dyDescent="0.2">
      <c r="A1804" t="s">
        <v>2077</v>
      </c>
      <c r="B1804" t="s">
        <v>30</v>
      </c>
      <c r="C1804" s="1">
        <v>46014</v>
      </c>
      <c r="D1804" t="s">
        <v>250</v>
      </c>
      <c r="E1804" t="s">
        <v>14</v>
      </c>
      <c r="F1804" t="s">
        <v>15</v>
      </c>
      <c r="G1804" t="s">
        <v>16</v>
      </c>
      <c r="H1804">
        <v>2</v>
      </c>
      <c r="I1804">
        <v>71.16</v>
      </c>
      <c r="J1804" t="s">
        <v>28</v>
      </c>
      <c r="K1804" t="s">
        <v>18</v>
      </c>
      <c r="L1804">
        <f>WEEKDAY(Table1[[#This Row],[Transaction_Date]],2)</f>
        <v>2</v>
      </c>
      <c r="M1804">
        <f>IF(Table1[[#This Row],[Sale_Type]]="Buffet",1,0)</f>
        <v>0</v>
      </c>
    </row>
    <row r="1805" spans="1:13" x14ac:dyDescent="0.2">
      <c r="A1805" t="s">
        <v>2078</v>
      </c>
      <c r="B1805" t="s">
        <v>1079</v>
      </c>
      <c r="C1805" s="1">
        <v>46014</v>
      </c>
      <c r="D1805" t="s">
        <v>250</v>
      </c>
      <c r="E1805" t="s">
        <v>14</v>
      </c>
      <c r="F1805" t="s">
        <v>15</v>
      </c>
      <c r="G1805" t="s">
        <v>16</v>
      </c>
      <c r="H1805">
        <v>1</v>
      </c>
      <c r="I1805">
        <v>30.29</v>
      </c>
      <c r="J1805" t="s">
        <v>28</v>
      </c>
      <c r="K1805" t="s">
        <v>18</v>
      </c>
      <c r="L1805">
        <f>WEEKDAY(Table1[[#This Row],[Transaction_Date]],2)</f>
        <v>2</v>
      </c>
      <c r="M1805">
        <f>IF(Table1[[#This Row],[Sale_Type]]="Buffet",1,0)</f>
        <v>0</v>
      </c>
    </row>
    <row r="1806" spans="1:13" x14ac:dyDescent="0.2">
      <c r="A1806" t="s">
        <v>2079</v>
      </c>
      <c r="B1806" t="s">
        <v>699</v>
      </c>
      <c r="C1806" s="1">
        <v>46014</v>
      </c>
      <c r="D1806" t="s">
        <v>250</v>
      </c>
      <c r="E1806" t="s">
        <v>14</v>
      </c>
      <c r="F1806" t="s">
        <v>24</v>
      </c>
      <c r="G1806" t="s">
        <v>16</v>
      </c>
      <c r="H1806">
        <v>3</v>
      </c>
      <c r="I1806">
        <v>74.28</v>
      </c>
      <c r="J1806" t="s">
        <v>17</v>
      </c>
      <c r="K1806" t="s">
        <v>18</v>
      </c>
      <c r="L1806">
        <f>WEEKDAY(Table1[[#This Row],[Transaction_Date]],2)</f>
        <v>2</v>
      </c>
      <c r="M1806">
        <f>IF(Table1[[#This Row],[Sale_Type]]="Buffet",1,0)</f>
        <v>0</v>
      </c>
    </row>
    <row r="1807" spans="1:13" x14ac:dyDescent="0.2">
      <c r="A1807" t="s">
        <v>2080</v>
      </c>
      <c r="B1807" t="s">
        <v>245</v>
      </c>
      <c r="C1807" s="1">
        <v>46014</v>
      </c>
      <c r="D1807" t="s">
        <v>250</v>
      </c>
      <c r="E1807" t="s">
        <v>14</v>
      </c>
      <c r="F1807" t="s">
        <v>24</v>
      </c>
      <c r="G1807" t="s">
        <v>16</v>
      </c>
      <c r="H1807">
        <v>3</v>
      </c>
      <c r="I1807">
        <v>163.53</v>
      </c>
      <c r="J1807" t="s">
        <v>17</v>
      </c>
      <c r="K1807" t="s">
        <v>18</v>
      </c>
      <c r="L1807">
        <f>WEEKDAY(Table1[[#This Row],[Transaction_Date]],2)</f>
        <v>2</v>
      </c>
      <c r="M1807">
        <f>IF(Table1[[#This Row],[Sale_Type]]="Buffet",1,0)</f>
        <v>0</v>
      </c>
    </row>
    <row r="1808" spans="1:13" x14ac:dyDescent="0.2">
      <c r="A1808" t="s">
        <v>2081</v>
      </c>
      <c r="B1808" t="s">
        <v>59</v>
      </c>
      <c r="C1808" s="1">
        <v>46014</v>
      </c>
      <c r="D1808" t="s">
        <v>250</v>
      </c>
      <c r="E1808" t="s">
        <v>14</v>
      </c>
      <c r="F1808" t="s">
        <v>27</v>
      </c>
      <c r="G1808" t="s">
        <v>16</v>
      </c>
      <c r="H1808">
        <v>1</v>
      </c>
      <c r="I1808">
        <v>40.549999999999997</v>
      </c>
      <c r="J1808" t="s">
        <v>28</v>
      </c>
      <c r="K1808" t="s">
        <v>18</v>
      </c>
      <c r="L1808">
        <f>WEEKDAY(Table1[[#This Row],[Transaction_Date]],2)</f>
        <v>2</v>
      </c>
      <c r="M1808">
        <f>IF(Table1[[#This Row],[Sale_Type]]="Buffet",1,0)</f>
        <v>0</v>
      </c>
    </row>
    <row r="1809" spans="1:13" x14ac:dyDescent="0.2">
      <c r="A1809" t="s">
        <v>2082</v>
      </c>
      <c r="B1809" t="s">
        <v>222</v>
      </c>
      <c r="C1809" s="1">
        <v>46014</v>
      </c>
      <c r="D1809" t="s">
        <v>250</v>
      </c>
      <c r="E1809" t="s">
        <v>14</v>
      </c>
      <c r="F1809" t="s">
        <v>31</v>
      </c>
      <c r="G1809" t="s">
        <v>16</v>
      </c>
      <c r="H1809">
        <v>3</v>
      </c>
      <c r="I1809">
        <v>86.98</v>
      </c>
      <c r="J1809" t="s">
        <v>17</v>
      </c>
      <c r="K1809" t="s">
        <v>21</v>
      </c>
      <c r="L1809">
        <f>WEEKDAY(Table1[[#This Row],[Transaction_Date]],2)</f>
        <v>2</v>
      </c>
      <c r="M1809">
        <f>IF(Table1[[#This Row],[Sale_Type]]="Buffet",1,0)</f>
        <v>0</v>
      </c>
    </row>
    <row r="1810" spans="1:13" x14ac:dyDescent="0.2">
      <c r="A1810" t="s">
        <v>2083</v>
      </c>
      <c r="B1810" t="s">
        <v>180</v>
      </c>
      <c r="C1810" s="1">
        <v>46014</v>
      </c>
      <c r="D1810" t="s">
        <v>250</v>
      </c>
      <c r="E1810" t="s">
        <v>14</v>
      </c>
      <c r="F1810" t="s">
        <v>31</v>
      </c>
      <c r="G1810" t="s">
        <v>16</v>
      </c>
      <c r="H1810">
        <v>5</v>
      </c>
      <c r="I1810">
        <v>232.77</v>
      </c>
      <c r="J1810" t="s">
        <v>17</v>
      </c>
      <c r="K1810" t="s">
        <v>21</v>
      </c>
      <c r="L1810">
        <f>WEEKDAY(Table1[[#This Row],[Transaction_Date]],2)</f>
        <v>2</v>
      </c>
      <c r="M1810">
        <f>IF(Table1[[#This Row],[Sale_Type]]="Buffet",1,0)</f>
        <v>0</v>
      </c>
    </row>
    <row r="1811" spans="1:13" x14ac:dyDescent="0.2">
      <c r="A1811" t="s">
        <v>2084</v>
      </c>
      <c r="B1811" t="s">
        <v>318</v>
      </c>
      <c r="C1811" s="1">
        <v>46014</v>
      </c>
      <c r="D1811" t="s">
        <v>250</v>
      </c>
      <c r="E1811" t="s">
        <v>14</v>
      </c>
      <c r="F1811" t="s">
        <v>31</v>
      </c>
      <c r="G1811" t="s">
        <v>16</v>
      </c>
      <c r="H1811">
        <v>2</v>
      </c>
      <c r="I1811">
        <v>54.73</v>
      </c>
      <c r="J1811" t="s">
        <v>17</v>
      </c>
      <c r="K1811" t="s">
        <v>18</v>
      </c>
      <c r="L1811">
        <f>WEEKDAY(Table1[[#This Row],[Transaction_Date]],2)</f>
        <v>2</v>
      </c>
      <c r="M1811">
        <f>IF(Table1[[#This Row],[Sale_Type]]="Buffet",1,0)</f>
        <v>0</v>
      </c>
    </row>
    <row r="1812" spans="1:13" x14ac:dyDescent="0.2">
      <c r="A1812" t="s">
        <v>2085</v>
      </c>
      <c r="B1812" t="s">
        <v>68</v>
      </c>
      <c r="C1812" s="1">
        <v>46014</v>
      </c>
      <c r="D1812" t="s">
        <v>250</v>
      </c>
      <c r="E1812" t="s">
        <v>14</v>
      </c>
      <c r="F1812" t="s">
        <v>31</v>
      </c>
      <c r="G1812" t="s">
        <v>16</v>
      </c>
      <c r="H1812">
        <v>2</v>
      </c>
      <c r="I1812">
        <v>36.5</v>
      </c>
      <c r="J1812" t="s">
        <v>28</v>
      </c>
      <c r="K1812" t="s">
        <v>18</v>
      </c>
      <c r="L1812">
        <f>WEEKDAY(Table1[[#This Row],[Transaction_Date]],2)</f>
        <v>2</v>
      </c>
      <c r="M1812">
        <f>IF(Table1[[#This Row],[Sale_Type]]="Buffet",1,0)</f>
        <v>0</v>
      </c>
    </row>
    <row r="1813" spans="1:13" x14ac:dyDescent="0.2">
      <c r="A1813" t="s">
        <v>2086</v>
      </c>
      <c r="B1813" t="s">
        <v>410</v>
      </c>
      <c r="C1813" s="1">
        <v>46014</v>
      </c>
      <c r="D1813" t="s">
        <v>250</v>
      </c>
      <c r="E1813" t="s">
        <v>14</v>
      </c>
      <c r="F1813" t="s">
        <v>31</v>
      </c>
      <c r="G1813" t="s">
        <v>16</v>
      </c>
      <c r="H1813">
        <v>4</v>
      </c>
      <c r="I1813">
        <v>177.28</v>
      </c>
      <c r="J1813" t="s">
        <v>34</v>
      </c>
      <c r="K1813" t="s">
        <v>21</v>
      </c>
      <c r="L1813">
        <f>WEEKDAY(Table1[[#This Row],[Transaction_Date]],2)</f>
        <v>2</v>
      </c>
      <c r="M1813">
        <f>IF(Table1[[#This Row],[Sale_Type]]="Buffet",1,0)</f>
        <v>0</v>
      </c>
    </row>
    <row r="1814" spans="1:13" x14ac:dyDescent="0.2">
      <c r="A1814" t="s">
        <v>2087</v>
      </c>
      <c r="B1814" t="s">
        <v>348</v>
      </c>
      <c r="C1814" s="1">
        <v>46014</v>
      </c>
      <c r="D1814" t="s">
        <v>250</v>
      </c>
      <c r="E1814" t="s">
        <v>14</v>
      </c>
      <c r="F1814" t="s">
        <v>40</v>
      </c>
      <c r="G1814" t="s">
        <v>16</v>
      </c>
      <c r="H1814">
        <v>3</v>
      </c>
      <c r="I1814">
        <v>146.32</v>
      </c>
      <c r="J1814" t="s">
        <v>28</v>
      </c>
      <c r="K1814" t="s">
        <v>21</v>
      </c>
      <c r="L1814">
        <f>WEEKDAY(Table1[[#This Row],[Transaction_Date]],2)</f>
        <v>2</v>
      </c>
      <c r="M1814">
        <f>IF(Table1[[#This Row],[Sale_Type]]="Buffet",1,0)</f>
        <v>0</v>
      </c>
    </row>
    <row r="1815" spans="1:13" x14ac:dyDescent="0.2">
      <c r="A1815" t="s">
        <v>2088</v>
      </c>
      <c r="B1815" t="s">
        <v>637</v>
      </c>
      <c r="C1815" s="1">
        <v>46014</v>
      </c>
      <c r="D1815" t="s">
        <v>250</v>
      </c>
      <c r="E1815" t="s">
        <v>14</v>
      </c>
      <c r="F1815" t="s">
        <v>40</v>
      </c>
      <c r="G1815" t="s">
        <v>16</v>
      </c>
      <c r="H1815">
        <v>1</v>
      </c>
      <c r="I1815">
        <v>22.82</v>
      </c>
      <c r="J1815" t="s">
        <v>34</v>
      </c>
      <c r="K1815" t="s">
        <v>18</v>
      </c>
      <c r="L1815">
        <f>WEEKDAY(Table1[[#This Row],[Transaction_Date]],2)</f>
        <v>2</v>
      </c>
      <c r="M1815">
        <f>IF(Table1[[#This Row],[Sale_Type]]="Buffet",1,0)</f>
        <v>0</v>
      </c>
    </row>
    <row r="1816" spans="1:13" x14ac:dyDescent="0.2">
      <c r="A1816" t="s">
        <v>2089</v>
      </c>
      <c r="B1816" t="s">
        <v>249</v>
      </c>
      <c r="C1816" s="1">
        <v>46014</v>
      </c>
      <c r="D1816" t="s">
        <v>250</v>
      </c>
      <c r="E1816" t="s">
        <v>14</v>
      </c>
      <c r="F1816" t="s">
        <v>40</v>
      </c>
      <c r="G1816" t="s">
        <v>16</v>
      </c>
      <c r="H1816">
        <v>2</v>
      </c>
      <c r="I1816">
        <v>42.06</v>
      </c>
      <c r="J1816" t="s">
        <v>34</v>
      </c>
      <c r="K1816" t="s">
        <v>18</v>
      </c>
      <c r="L1816">
        <f>WEEKDAY(Table1[[#This Row],[Transaction_Date]],2)</f>
        <v>2</v>
      </c>
      <c r="M1816">
        <f>IF(Table1[[#This Row],[Sale_Type]]="Buffet",1,0)</f>
        <v>0</v>
      </c>
    </row>
    <row r="1817" spans="1:13" x14ac:dyDescent="0.2">
      <c r="A1817" t="s">
        <v>2090</v>
      </c>
      <c r="B1817" t="s">
        <v>725</v>
      </c>
      <c r="C1817" s="1">
        <v>46014</v>
      </c>
      <c r="D1817" t="s">
        <v>250</v>
      </c>
      <c r="E1817" t="s">
        <v>43</v>
      </c>
      <c r="F1817" t="s">
        <v>44</v>
      </c>
      <c r="G1817" t="s">
        <v>16</v>
      </c>
      <c r="H1817">
        <v>3</v>
      </c>
      <c r="I1817">
        <v>34.26</v>
      </c>
      <c r="J1817" t="s">
        <v>17</v>
      </c>
      <c r="K1817" t="s">
        <v>18</v>
      </c>
      <c r="L1817">
        <f>WEEKDAY(Table1[[#This Row],[Transaction_Date]],2)</f>
        <v>2</v>
      </c>
      <c r="M1817">
        <f>IF(Table1[[#This Row],[Sale_Type]]="Buffet",1,0)</f>
        <v>0</v>
      </c>
    </row>
    <row r="1818" spans="1:13" x14ac:dyDescent="0.2">
      <c r="A1818" t="s">
        <v>2091</v>
      </c>
      <c r="B1818" t="s">
        <v>266</v>
      </c>
      <c r="C1818" s="1">
        <v>46014</v>
      </c>
      <c r="D1818" t="s">
        <v>250</v>
      </c>
      <c r="E1818" t="s">
        <v>43</v>
      </c>
      <c r="F1818" t="s">
        <v>50</v>
      </c>
      <c r="G1818" t="s">
        <v>16</v>
      </c>
      <c r="H1818">
        <v>4</v>
      </c>
      <c r="I1818">
        <v>70.61</v>
      </c>
      <c r="J1818" t="s">
        <v>17</v>
      </c>
      <c r="K1818" t="s">
        <v>18</v>
      </c>
      <c r="L1818">
        <f>WEEKDAY(Table1[[#This Row],[Transaction_Date]],2)</f>
        <v>2</v>
      </c>
      <c r="M1818">
        <f>IF(Table1[[#This Row],[Sale_Type]]="Buffet",1,0)</f>
        <v>0</v>
      </c>
    </row>
    <row r="1819" spans="1:13" x14ac:dyDescent="0.2">
      <c r="A1819" t="s">
        <v>2092</v>
      </c>
      <c r="B1819" t="s">
        <v>545</v>
      </c>
      <c r="C1819" s="1">
        <v>46014</v>
      </c>
      <c r="D1819" t="s">
        <v>250</v>
      </c>
      <c r="E1819" t="s">
        <v>43</v>
      </c>
      <c r="F1819" t="s">
        <v>50</v>
      </c>
      <c r="G1819" t="s">
        <v>16</v>
      </c>
      <c r="H1819">
        <v>4</v>
      </c>
      <c r="I1819">
        <v>97.25</v>
      </c>
      <c r="J1819" t="s">
        <v>17</v>
      </c>
      <c r="K1819" t="s">
        <v>18</v>
      </c>
      <c r="L1819">
        <f>WEEKDAY(Table1[[#This Row],[Transaction_Date]],2)</f>
        <v>2</v>
      </c>
      <c r="M1819">
        <f>IF(Table1[[#This Row],[Sale_Type]]="Buffet",1,0)</f>
        <v>0</v>
      </c>
    </row>
    <row r="1820" spans="1:13" x14ac:dyDescent="0.2">
      <c r="A1820" t="s">
        <v>2093</v>
      </c>
      <c r="B1820" t="s">
        <v>235</v>
      </c>
      <c r="C1820" s="1">
        <v>46014</v>
      </c>
      <c r="D1820" t="s">
        <v>250</v>
      </c>
      <c r="E1820" t="s">
        <v>43</v>
      </c>
      <c r="F1820" t="s">
        <v>53</v>
      </c>
      <c r="G1820" t="s">
        <v>16</v>
      </c>
      <c r="H1820">
        <v>2</v>
      </c>
      <c r="I1820">
        <v>38.94</v>
      </c>
      <c r="J1820" t="s">
        <v>28</v>
      </c>
      <c r="K1820" t="s">
        <v>18</v>
      </c>
      <c r="L1820">
        <f>WEEKDAY(Table1[[#This Row],[Transaction_Date]],2)</f>
        <v>2</v>
      </c>
      <c r="M1820">
        <f>IF(Table1[[#This Row],[Sale_Type]]="Buffet",1,0)</f>
        <v>0</v>
      </c>
    </row>
    <row r="1821" spans="1:13" x14ac:dyDescent="0.2">
      <c r="A1821" t="s">
        <v>2094</v>
      </c>
      <c r="B1821" t="s">
        <v>532</v>
      </c>
      <c r="C1821" s="1">
        <v>46014</v>
      </c>
      <c r="D1821" t="s">
        <v>250</v>
      </c>
      <c r="E1821" t="s">
        <v>43</v>
      </c>
      <c r="F1821" t="s">
        <v>53</v>
      </c>
      <c r="G1821" t="s">
        <v>16</v>
      </c>
      <c r="H1821">
        <v>3</v>
      </c>
      <c r="I1821">
        <v>70.44</v>
      </c>
      <c r="J1821" t="s">
        <v>17</v>
      </c>
      <c r="K1821" t="s">
        <v>21</v>
      </c>
      <c r="L1821">
        <f>WEEKDAY(Table1[[#This Row],[Transaction_Date]],2)</f>
        <v>2</v>
      </c>
      <c r="M1821">
        <f>IF(Table1[[#This Row],[Sale_Type]]="Buffet",1,0)</f>
        <v>0</v>
      </c>
    </row>
    <row r="1822" spans="1:13" x14ac:dyDescent="0.2">
      <c r="A1822" t="s">
        <v>2095</v>
      </c>
      <c r="B1822" t="s">
        <v>1137</v>
      </c>
      <c r="C1822" s="1">
        <v>46014</v>
      </c>
      <c r="D1822" t="s">
        <v>250</v>
      </c>
      <c r="E1822" t="s">
        <v>43</v>
      </c>
      <c r="F1822" t="s">
        <v>53</v>
      </c>
      <c r="G1822" t="s">
        <v>16</v>
      </c>
      <c r="H1822">
        <v>5</v>
      </c>
      <c r="I1822">
        <v>105.6</v>
      </c>
      <c r="J1822" t="s">
        <v>17</v>
      </c>
      <c r="K1822" t="s">
        <v>18</v>
      </c>
      <c r="L1822">
        <f>WEEKDAY(Table1[[#This Row],[Transaction_Date]],2)</f>
        <v>2</v>
      </c>
      <c r="M1822">
        <f>IF(Table1[[#This Row],[Sale_Type]]="Buffet",1,0)</f>
        <v>0</v>
      </c>
    </row>
    <row r="1823" spans="1:13" x14ac:dyDescent="0.2">
      <c r="A1823" t="s">
        <v>2096</v>
      </c>
      <c r="B1823" t="s">
        <v>758</v>
      </c>
      <c r="C1823" s="1">
        <v>46014</v>
      </c>
      <c r="D1823" t="s">
        <v>250</v>
      </c>
      <c r="E1823" t="s">
        <v>43</v>
      </c>
      <c r="F1823" t="s">
        <v>57</v>
      </c>
      <c r="G1823" t="s">
        <v>16</v>
      </c>
      <c r="H1823">
        <v>1</v>
      </c>
      <c r="I1823">
        <v>18</v>
      </c>
      <c r="J1823" t="s">
        <v>17</v>
      </c>
      <c r="K1823" t="s">
        <v>21</v>
      </c>
      <c r="L1823">
        <f>WEEKDAY(Table1[[#This Row],[Transaction_Date]],2)</f>
        <v>2</v>
      </c>
      <c r="M1823">
        <f>IF(Table1[[#This Row],[Sale_Type]]="Buffet",1,0)</f>
        <v>0</v>
      </c>
    </row>
    <row r="1824" spans="1:13" x14ac:dyDescent="0.2">
      <c r="A1824" t="s">
        <v>2097</v>
      </c>
      <c r="B1824" t="s">
        <v>215</v>
      </c>
      <c r="C1824" s="1">
        <v>46014</v>
      </c>
      <c r="D1824" t="s">
        <v>250</v>
      </c>
      <c r="E1824" t="s">
        <v>43</v>
      </c>
      <c r="F1824" t="s">
        <v>57</v>
      </c>
      <c r="G1824" t="s">
        <v>16</v>
      </c>
      <c r="H1824">
        <v>1</v>
      </c>
      <c r="I1824">
        <v>22.78</v>
      </c>
      <c r="J1824" t="s">
        <v>34</v>
      </c>
      <c r="K1824" t="s">
        <v>18</v>
      </c>
      <c r="L1824">
        <f>WEEKDAY(Table1[[#This Row],[Transaction_Date]],2)</f>
        <v>2</v>
      </c>
      <c r="M1824">
        <f>IF(Table1[[#This Row],[Sale_Type]]="Buffet",1,0)</f>
        <v>0</v>
      </c>
    </row>
    <row r="1825" spans="1:13" x14ac:dyDescent="0.2">
      <c r="A1825" t="s">
        <v>2098</v>
      </c>
      <c r="B1825" t="s">
        <v>295</v>
      </c>
      <c r="C1825" s="1">
        <v>46015</v>
      </c>
      <c r="D1825" t="s">
        <v>13</v>
      </c>
      <c r="E1825" t="s">
        <v>14</v>
      </c>
      <c r="F1825" t="s">
        <v>15</v>
      </c>
      <c r="G1825" t="s">
        <v>16</v>
      </c>
      <c r="H1825">
        <v>2</v>
      </c>
      <c r="I1825">
        <v>57.24</v>
      </c>
      <c r="J1825" t="s">
        <v>34</v>
      </c>
      <c r="K1825" t="s">
        <v>21</v>
      </c>
      <c r="L1825">
        <f>WEEKDAY(Table1[[#This Row],[Transaction_Date]],2)</f>
        <v>3</v>
      </c>
      <c r="M1825">
        <f>IF(Table1[[#This Row],[Sale_Type]]="Buffet",1,0)</f>
        <v>0</v>
      </c>
    </row>
    <row r="1826" spans="1:13" x14ac:dyDescent="0.2">
      <c r="A1826" t="s">
        <v>2099</v>
      </c>
      <c r="B1826" t="s">
        <v>318</v>
      </c>
      <c r="C1826" s="1">
        <v>46015</v>
      </c>
      <c r="D1826" t="s">
        <v>13</v>
      </c>
      <c r="E1826" t="s">
        <v>14</v>
      </c>
      <c r="F1826" t="s">
        <v>15</v>
      </c>
      <c r="G1826" t="s">
        <v>16</v>
      </c>
      <c r="H1826">
        <v>3</v>
      </c>
      <c r="I1826">
        <v>99.63</v>
      </c>
      <c r="J1826" t="s">
        <v>17</v>
      </c>
      <c r="K1826" t="s">
        <v>18</v>
      </c>
      <c r="L1826">
        <f>WEEKDAY(Table1[[#This Row],[Transaction_Date]],2)</f>
        <v>3</v>
      </c>
      <c r="M1826">
        <f>IF(Table1[[#This Row],[Sale_Type]]="Buffet",1,0)</f>
        <v>0</v>
      </c>
    </row>
    <row r="1827" spans="1:13" x14ac:dyDescent="0.2">
      <c r="A1827" t="s">
        <v>2100</v>
      </c>
      <c r="B1827" t="s">
        <v>945</v>
      </c>
      <c r="C1827" s="1">
        <v>46015</v>
      </c>
      <c r="D1827" t="s">
        <v>13</v>
      </c>
      <c r="E1827" t="s">
        <v>14</v>
      </c>
      <c r="F1827" t="s">
        <v>15</v>
      </c>
      <c r="G1827" t="s">
        <v>16</v>
      </c>
      <c r="H1827">
        <v>2</v>
      </c>
      <c r="I1827">
        <v>78.3</v>
      </c>
      <c r="J1827" t="s">
        <v>17</v>
      </c>
      <c r="K1827" t="s">
        <v>18</v>
      </c>
      <c r="L1827">
        <f>WEEKDAY(Table1[[#This Row],[Transaction_Date]],2)</f>
        <v>3</v>
      </c>
      <c r="M1827">
        <f>IF(Table1[[#This Row],[Sale_Type]]="Buffet",1,0)</f>
        <v>0</v>
      </c>
    </row>
    <row r="1828" spans="1:13" x14ac:dyDescent="0.2">
      <c r="A1828" t="s">
        <v>2101</v>
      </c>
      <c r="B1828" t="s">
        <v>98</v>
      </c>
      <c r="C1828" s="1">
        <v>46015</v>
      </c>
      <c r="D1828" t="s">
        <v>13</v>
      </c>
      <c r="E1828" t="s">
        <v>14</v>
      </c>
      <c r="F1828" t="s">
        <v>15</v>
      </c>
      <c r="G1828" t="s">
        <v>16</v>
      </c>
      <c r="H1828">
        <v>2</v>
      </c>
      <c r="I1828">
        <v>102.64</v>
      </c>
      <c r="J1828" t="s">
        <v>28</v>
      </c>
      <c r="K1828" t="s">
        <v>21</v>
      </c>
      <c r="L1828">
        <f>WEEKDAY(Table1[[#This Row],[Transaction_Date]],2)</f>
        <v>3</v>
      </c>
      <c r="M1828">
        <f>IF(Table1[[#This Row],[Sale_Type]]="Buffet",1,0)</f>
        <v>0</v>
      </c>
    </row>
    <row r="1829" spans="1:13" x14ac:dyDescent="0.2">
      <c r="A1829" t="s">
        <v>2102</v>
      </c>
      <c r="B1829" t="s">
        <v>163</v>
      </c>
      <c r="C1829" s="1">
        <v>46015</v>
      </c>
      <c r="D1829" t="s">
        <v>13</v>
      </c>
      <c r="E1829" t="s">
        <v>14</v>
      </c>
      <c r="F1829" t="s">
        <v>15</v>
      </c>
      <c r="G1829" t="s">
        <v>16</v>
      </c>
      <c r="H1829">
        <v>5</v>
      </c>
      <c r="I1829">
        <v>151.82</v>
      </c>
      <c r="J1829" t="s">
        <v>28</v>
      </c>
      <c r="K1829" t="s">
        <v>18</v>
      </c>
      <c r="L1829">
        <f>WEEKDAY(Table1[[#This Row],[Transaction_Date]],2)</f>
        <v>3</v>
      </c>
      <c r="M1829">
        <f>IF(Table1[[#This Row],[Sale_Type]]="Buffet",1,0)</f>
        <v>0</v>
      </c>
    </row>
    <row r="1830" spans="1:13" x14ac:dyDescent="0.2">
      <c r="A1830" t="s">
        <v>2103</v>
      </c>
      <c r="B1830" t="s">
        <v>152</v>
      </c>
      <c r="C1830" s="1">
        <v>46015</v>
      </c>
      <c r="D1830" t="s">
        <v>13</v>
      </c>
      <c r="E1830" t="s">
        <v>14</v>
      </c>
      <c r="F1830" t="s">
        <v>15</v>
      </c>
      <c r="G1830" t="s">
        <v>16</v>
      </c>
      <c r="H1830">
        <v>5</v>
      </c>
      <c r="I1830">
        <v>87.68</v>
      </c>
      <c r="J1830" t="s">
        <v>28</v>
      </c>
      <c r="K1830" t="s">
        <v>18</v>
      </c>
      <c r="L1830">
        <f>WEEKDAY(Table1[[#This Row],[Transaction_Date]],2)</f>
        <v>3</v>
      </c>
      <c r="M1830">
        <f>IF(Table1[[#This Row],[Sale_Type]]="Buffet",1,0)</f>
        <v>0</v>
      </c>
    </row>
    <row r="1831" spans="1:13" x14ac:dyDescent="0.2">
      <c r="A1831" t="s">
        <v>2104</v>
      </c>
      <c r="B1831" t="s">
        <v>211</v>
      </c>
      <c r="C1831" s="1">
        <v>46015</v>
      </c>
      <c r="D1831" t="s">
        <v>13</v>
      </c>
      <c r="E1831" t="s">
        <v>14</v>
      </c>
      <c r="F1831" t="s">
        <v>24</v>
      </c>
      <c r="G1831" t="s">
        <v>16</v>
      </c>
      <c r="H1831">
        <v>3</v>
      </c>
      <c r="I1831">
        <v>81.510000000000005</v>
      </c>
      <c r="J1831" t="s">
        <v>28</v>
      </c>
      <c r="K1831" t="s">
        <v>18</v>
      </c>
      <c r="L1831">
        <f>WEEKDAY(Table1[[#This Row],[Transaction_Date]],2)</f>
        <v>3</v>
      </c>
      <c r="M1831">
        <f>IF(Table1[[#This Row],[Sale_Type]]="Buffet",1,0)</f>
        <v>0</v>
      </c>
    </row>
    <row r="1832" spans="1:13" x14ac:dyDescent="0.2">
      <c r="A1832" t="s">
        <v>2105</v>
      </c>
      <c r="B1832" t="s">
        <v>258</v>
      </c>
      <c r="C1832" s="1">
        <v>46015</v>
      </c>
      <c r="D1832" t="s">
        <v>13</v>
      </c>
      <c r="E1832" t="s">
        <v>14</v>
      </c>
      <c r="F1832" t="s">
        <v>24</v>
      </c>
      <c r="G1832" t="s">
        <v>16</v>
      </c>
      <c r="H1832">
        <v>2</v>
      </c>
      <c r="I1832">
        <v>45.93</v>
      </c>
      <c r="J1832" t="s">
        <v>34</v>
      </c>
      <c r="K1832" t="s">
        <v>18</v>
      </c>
      <c r="L1832">
        <f>WEEKDAY(Table1[[#This Row],[Transaction_Date]],2)</f>
        <v>3</v>
      </c>
      <c r="M1832">
        <f>IF(Table1[[#This Row],[Sale_Type]]="Buffet",1,0)</f>
        <v>0</v>
      </c>
    </row>
    <row r="1833" spans="1:13" x14ac:dyDescent="0.2">
      <c r="A1833" t="s">
        <v>2106</v>
      </c>
      <c r="B1833" t="s">
        <v>39</v>
      </c>
      <c r="C1833" s="1">
        <v>46015</v>
      </c>
      <c r="D1833" t="s">
        <v>13</v>
      </c>
      <c r="E1833" t="s">
        <v>14</v>
      </c>
      <c r="F1833" t="s">
        <v>27</v>
      </c>
      <c r="G1833" t="s">
        <v>16</v>
      </c>
      <c r="H1833">
        <v>2</v>
      </c>
      <c r="I1833">
        <v>45.13</v>
      </c>
      <c r="J1833" t="s">
        <v>17</v>
      </c>
      <c r="K1833" t="s">
        <v>18</v>
      </c>
      <c r="L1833">
        <f>WEEKDAY(Table1[[#This Row],[Transaction_Date]],2)</f>
        <v>3</v>
      </c>
      <c r="M1833">
        <f>IF(Table1[[#This Row],[Sale_Type]]="Buffet",1,0)</f>
        <v>0</v>
      </c>
    </row>
    <row r="1834" spans="1:13" x14ac:dyDescent="0.2">
      <c r="A1834" t="s">
        <v>2107</v>
      </c>
      <c r="B1834" t="s">
        <v>274</v>
      </c>
      <c r="C1834" s="1">
        <v>46015</v>
      </c>
      <c r="D1834" t="s">
        <v>13</v>
      </c>
      <c r="E1834" t="s">
        <v>14</v>
      </c>
      <c r="F1834" t="s">
        <v>27</v>
      </c>
      <c r="G1834" t="s">
        <v>16</v>
      </c>
      <c r="H1834">
        <v>2</v>
      </c>
      <c r="I1834">
        <v>46.86</v>
      </c>
      <c r="J1834" t="s">
        <v>28</v>
      </c>
      <c r="K1834" t="s">
        <v>21</v>
      </c>
      <c r="L1834">
        <f>WEEKDAY(Table1[[#This Row],[Transaction_Date]],2)</f>
        <v>3</v>
      </c>
      <c r="M1834">
        <f>IF(Table1[[#This Row],[Sale_Type]]="Buffet",1,0)</f>
        <v>0</v>
      </c>
    </row>
    <row r="1835" spans="1:13" x14ac:dyDescent="0.2">
      <c r="A1835" t="s">
        <v>2108</v>
      </c>
      <c r="B1835" t="s">
        <v>725</v>
      </c>
      <c r="C1835" s="1">
        <v>46015</v>
      </c>
      <c r="D1835" t="s">
        <v>13</v>
      </c>
      <c r="E1835" t="s">
        <v>14</v>
      </c>
      <c r="F1835" t="s">
        <v>31</v>
      </c>
      <c r="G1835" t="s">
        <v>16</v>
      </c>
      <c r="H1835">
        <v>3</v>
      </c>
      <c r="I1835">
        <v>101.42</v>
      </c>
      <c r="J1835" t="s">
        <v>17</v>
      </c>
      <c r="K1835" t="s">
        <v>21</v>
      </c>
      <c r="L1835">
        <f>WEEKDAY(Table1[[#This Row],[Transaction_Date]],2)</f>
        <v>3</v>
      </c>
      <c r="M1835">
        <f>IF(Table1[[#This Row],[Sale_Type]]="Buffet",1,0)</f>
        <v>0</v>
      </c>
    </row>
    <row r="1836" spans="1:13" x14ac:dyDescent="0.2">
      <c r="A1836" t="s">
        <v>2109</v>
      </c>
      <c r="B1836" t="s">
        <v>337</v>
      </c>
      <c r="C1836" s="1">
        <v>46015</v>
      </c>
      <c r="D1836" t="s">
        <v>13</v>
      </c>
      <c r="E1836" t="s">
        <v>14</v>
      </c>
      <c r="F1836" t="s">
        <v>31</v>
      </c>
      <c r="G1836" t="s">
        <v>16</v>
      </c>
      <c r="H1836">
        <v>3</v>
      </c>
      <c r="I1836">
        <v>89.39</v>
      </c>
      <c r="J1836" t="s">
        <v>34</v>
      </c>
      <c r="K1836" t="s">
        <v>18</v>
      </c>
      <c r="L1836">
        <f>WEEKDAY(Table1[[#This Row],[Transaction_Date]],2)</f>
        <v>3</v>
      </c>
      <c r="M1836">
        <f>IF(Table1[[#This Row],[Sale_Type]]="Buffet",1,0)</f>
        <v>0</v>
      </c>
    </row>
    <row r="1837" spans="1:13" x14ac:dyDescent="0.2">
      <c r="A1837" t="s">
        <v>2110</v>
      </c>
      <c r="B1837" t="s">
        <v>126</v>
      </c>
      <c r="C1837" s="1">
        <v>46015</v>
      </c>
      <c r="D1837" t="s">
        <v>13</v>
      </c>
      <c r="E1837" t="s">
        <v>43</v>
      </c>
      <c r="F1837" t="s">
        <v>44</v>
      </c>
      <c r="G1837" t="s">
        <v>45</v>
      </c>
      <c r="H1837">
        <v>3</v>
      </c>
      <c r="I1837">
        <v>69</v>
      </c>
      <c r="J1837" t="s">
        <v>28</v>
      </c>
      <c r="K1837" t="s">
        <v>21</v>
      </c>
      <c r="L1837">
        <f>WEEKDAY(Table1[[#This Row],[Transaction_Date]],2)</f>
        <v>3</v>
      </c>
      <c r="M1837">
        <f>IF(Table1[[#This Row],[Sale_Type]]="Buffet",1,0)</f>
        <v>1</v>
      </c>
    </row>
    <row r="1838" spans="1:13" x14ac:dyDescent="0.2">
      <c r="A1838" t="s">
        <v>2111</v>
      </c>
      <c r="B1838" t="s">
        <v>260</v>
      </c>
      <c r="C1838" s="1">
        <v>46015</v>
      </c>
      <c r="D1838" t="s">
        <v>13</v>
      </c>
      <c r="E1838" t="s">
        <v>43</v>
      </c>
      <c r="F1838" t="s">
        <v>44</v>
      </c>
      <c r="G1838" t="s">
        <v>45</v>
      </c>
      <c r="H1838">
        <v>3</v>
      </c>
      <c r="I1838">
        <v>69</v>
      </c>
      <c r="J1838" t="s">
        <v>17</v>
      </c>
      <c r="K1838" t="s">
        <v>21</v>
      </c>
      <c r="L1838">
        <f>WEEKDAY(Table1[[#This Row],[Transaction_Date]],2)</f>
        <v>3</v>
      </c>
      <c r="M1838">
        <f>IF(Table1[[#This Row],[Sale_Type]]="Buffet",1,0)</f>
        <v>1</v>
      </c>
    </row>
    <row r="1839" spans="1:13" x14ac:dyDescent="0.2">
      <c r="A1839" t="s">
        <v>2112</v>
      </c>
      <c r="B1839" t="s">
        <v>778</v>
      </c>
      <c r="C1839" s="1">
        <v>46015</v>
      </c>
      <c r="D1839" t="s">
        <v>13</v>
      </c>
      <c r="E1839" t="s">
        <v>43</v>
      </c>
      <c r="F1839" t="s">
        <v>50</v>
      </c>
      <c r="G1839" t="s">
        <v>45</v>
      </c>
      <c r="H1839">
        <v>1</v>
      </c>
      <c r="I1839">
        <v>20</v>
      </c>
      <c r="J1839" t="s">
        <v>17</v>
      </c>
      <c r="K1839" t="s">
        <v>18</v>
      </c>
      <c r="L1839">
        <f>WEEKDAY(Table1[[#This Row],[Transaction_Date]],2)</f>
        <v>3</v>
      </c>
      <c r="M1839">
        <f>IF(Table1[[#This Row],[Sale_Type]]="Buffet",1,0)</f>
        <v>1</v>
      </c>
    </row>
    <row r="1840" spans="1:13" x14ac:dyDescent="0.2">
      <c r="A1840" t="s">
        <v>2113</v>
      </c>
      <c r="B1840" t="s">
        <v>300</v>
      </c>
      <c r="C1840" s="1">
        <v>46015</v>
      </c>
      <c r="D1840" t="s">
        <v>13</v>
      </c>
      <c r="E1840" t="s">
        <v>43</v>
      </c>
      <c r="F1840" t="s">
        <v>50</v>
      </c>
      <c r="G1840" t="s">
        <v>45</v>
      </c>
      <c r="H1840">
        <v>1</v>
      </c>
      <c r="I1840">
        <v>20</v>
      </c>
      <c r="J1840" t="s">
        <v>34</v>
      </c>
      <c r="K1840" t="s">
        <v>21</v>
      </c>
      <c r="L1840">
        <f>WEEKDAY(Table1[[#This Row],[Transaction_Date]],2)</f>
        <v>3</v>
      </c>
      <c r="M1840">
        <f>IF(Table1[[#This Row],[Sale_Type]]="Buffet",1,0)</f>
        <v>1</v>
      </c>
    </row>
    <row r="1841" spans="1:13" x14ac:dyDescent="0.2">
      <c r="A1841" t="s">
        <v>2114</v>
      </c>
      <c r="B1841" t="s">
        <v>242</v>
      </c>
      <c r="C1841" s="1">
        <v>46015</v>
      </c>
      <c r="D1841" t="s">
        <v>13</v>
      </c>
      <c r="E1841" t="s">
        <v>43</v>
      </c>
      <c r="F1841" t="s">
        <v>50</v>
      </c>
      <c r="G1841" t="s">
        <v>45</v>
      </c>
      <c r="H1841">
        <v>5</v>
      </c>
      <c r="I1841">
        <v>100</v>
      </c>
      <c r="J1841" t="s">
        <v>28</v>
      </c>
      <c r="K1841" t="s">
        <v>21</v>
      </c>
      <c r="L1841">
        <f>WEEKDAY(Table1[[#This Row],[Transaction_Date]],2)</f>
        <v>3</v>
      </c>
      <c r="M1841">
        <f>IF(Table1[[#This Row],[Sale_Type]]="Buffet",1,0)</f>
        <v>1</v>
      </c>
    </row>
    <row r="1842" spans="1:13" x14ac:dyDescent="0.2">
      <c r="A1842" t="s">
        <v>2115</v>
      </c>
      <c r="B1842" t="s">
        <v>91</v>
      </c>
      <c r="C1842" s="1">
        <v>46015</v>
      </c>
      <c r="D1842" t="s">
        <v>13</v>
      </c>
      <c r="E1842" t="s">
        <v>43</v>
      </c>
      <c r="F1842" t="s">
        <v>50</v>
      </c>
      <c r="G1842" t="s">
        <v>45</v>
      </c>
      <c r="H1842">
        <v>3</v>
      </c>
      <c r="I1842">
        <v>64.5</v>
      </c>
      <c r="J1842" t="s">
        <v>17</v>
      </c>
      <c r="K1842" t="s">
        <v>18</v>
      </c>
      <c r="L1842">
        <f>WEEKDAY(Table1[[#This Row],[Transaction_Date]],2)</f>
        <v>3</v>
      </c>
      <c r="M1842">
        <f>IF(Table1[[#This Row],[Sale_Type]]="Buffet",1,0)</f>
        <v>1</v>
      </c>
    </row>
    <row r="1843" spans="1:13" x14ac:dyDescent="0.2">
      <c r="A1843" t="s">
        <v>2116</v>
      </c>
      <c r="B1843" t="s">
        <v>656</v>
      </c>
      <c r="C1843" s="1">
        <v>46015</v>
      </c>
      <c r="D1843" t="s">
        <v>13</v>
      </c>
      <c r="E1843" t="s">
        <v>43</v>
      </c>
      <c r="F1843" t="s">
        <v>50</v>
      </c>
      <c r="G1843" t="s">
        <v>45</v>
      </c>
      <c r="H1843">
        <v>2</v>
      </c>
      <c r="I1843">
        <v>44.5</v>
      </c>
      <c r="J1843" t="s">
        <v>17</v>
      </c>
      <c r="K1843" t="s">
        <v>21</v>
      </c>
      <c r="L1843">
        <f>WEEKDAY(Table1[[#This Row],[Transaction_Date]],2)</f>
        <v>3</v>
      </c>
      <c r="M1843">
        <f>IF(Table1[[#This Row],[Sale_Type]]="Buffet",1,0)</f>
        <v>1</v>
      </c>
    </row>
    <row r="1844" spans="1:13" x14ac:dyDescent="0.2">
      <c r="A1844" t="s">
        <v>2117</v>
      </c>
      <c r="B1844" t="s">
        <v>52</v>
      </c>
      <c r="C1844" s="1">
        <v>46015</v>
      </c>
      <c r="D1844" t="s">
        <v>13</v>
      </c>
      <c r="E1844" t="s">
        <v>43</v>
      </c>
      <c r="F1844" t="s">
        <v>53</v>
      </c>
      <c r="G1844" t="s">
        <v>16</v>
      </c>
      <c r="H1844">
        <v>4</v>
      </c>
      <c r="I1844">
        <v>101.38</v>
      </c>
      <c r="J1844" t="s">
        <v>28</v>
      </c>
      <c r="K1844" t="s">
        <v>18</v>
      </c>
      <c r="L1844">
        <f>WEEKDAY(Table1[[#This Row],[Transaction_Date]],2)</f>
        <v>3</v>
      </c>
      <c r="M1844">
        <f>IF(Table1[[#This Row],[Sale_Type]]="Buffet",1,0)</f>
        <v>0</v>
      </c>
    </row>
    <row r="1845" spans="1:13" x14ac:dyDescent="0.2">
      <c r="A1845" t="s">
        <v>2118</v>
      </c>
      <c r="B1845" t="s">
        <v>228</v>
      </c>
      <c r="C1845" s="1">
        <v>46015</v>
      </c>
      <c r="D1845" t="s">
        <v>13</v>
      </c>
      <c r="E1845" t="s">
        <v>43</v>
      </c>
      <c r="F1845" t="s">
        <v>53</v>
      </c>
      <c r="G1845" t="s">
        <v>45</v>
      </c>
      <c r="H1845">
        <v>2</v>
      </c>
      <c r="I1845">
        <v>44.5</v>
      </c>
      <c r="J1845" t="s">
        <v>17</v>
      </c>
      <c r="K1845" t="s">
        <v>18</v>
      </c>
      <c r="L1845">
        <f>WEEKDAY(Table1[[#This Row],[Transaction_Date]],2)</f>
        <v>3</v>
      </c>
      <c r="M1845">
        <f>IF(Table1[[#This Row],[Sale_Type]]="Buffet",1,0)</f>
        <v>1</v>
      </c>
    </row>
    <row r="1846" spans="1:13" x14ac:dyDescent="0.2">
      <c r="A1846" t="s">
        <v>2119</v>
      </c>
      <c r="B1846" t="s">
        <v>56</v>
      </c>
      <c r="C1846" s="1">
        <v>46015</v>
      </c>
      <c r="D1846" t="s">
        <v>13</v>
      </c>
      <c r="E1846" t="s">
        <v>43</v>
      </c>
      <c r="F1846" t="s">
        <v>53</v>
      </c>
      <c r="G1846" t="s">
        <v>45</v>
      </c>
      <c r="H1846">
        <v>7</v>
      </c>
      <c r="I1846">
        <v>144.5</v>
      </c>
      <c r="J1846" t="s">
        <v>28</v>
      </c>
      <c r="K1846" t="s">
        <v>21</v>
      </c>
      <c r="L1846">
        <f>WEEKDAY(Table1[[#This Row],[Transaction_Date]],2)</f>
        <v>3</v>
      </c>
      <c r="M1846">
        <f>IF(Table1[[#This Row],[Sale_Type]]="Buffet",1,0)</f>
        <v>1</v>
      </c>
    </row>
    <row r="1847" spans="1:13" x14ac:dyDescent="0.2">
      <c r="A1847" t="s">
        <v>2120</v>
      </c>
      <c r="B1847" t="s">
        <v>542</v>
      </c>
      <c r="C1847" s="1">
        <v>46015</v>
      </c>
      <c r="D1847" t="s">
        <v>13</v>
      </c>
      <c r="E1847" t="s">
        <v>43</v>
      </c>
      <c r="F1847" t="s">
        <v>53</v>
      </c>
      <c r="G1847" t="s">
        <v>16</v>
      </c>
      <c r="H1847">
        <v>5</v>
      </c>
      <c r="I1847">
        <v>57.16</v>
      </c>
      <c r="J1847" t="s">
        <v>17</v>
      </c>
      <c r="K1847" t="s">
        <v>21</v>
      </c>
      <c r="L1847">
        <f>WEEKDAY(Table1[[#This Row],[Transaction_Date]],2)</f>
        <v>3</v>
      </c>
      <c r="M1847">
        <f>IF(Table1[[#This Row],[Sale_Type]]="Buffet",1,0)</f>
        <v>0</v>
      </c>
    </row>
    <row r="1848" spans="1:13" x14ac:dyDescent="0.2">
      <c r="A1848" t="s">
        <v>2121</v>
      </c>
      <c r="B1848" t="s">
        <v>242</v>
      </c>
      <c r="C1848" s="1">
        <v>46015</v>
      </c>
      <c r="D1848" t="s">
        <v>13</v>
      </c>
      <c r="E1848" t="s">
        <v>43</v>
      </c>
      <c r="F1848" t="s">
        <v>57</v>
      </c>
      <c r="G1848" t="s">
        <v>45</v>
      </c>
      <c r="H1848">
        <v>5</v>
      </c>
      <c r="I1848">
        <v>109</v>
      </c>
      <c r="J1848" t="s">
        <v>17</v>
      </c>
      <c r="K1848" t="s">
        <v>21</v>
      </c>
      <c r="L1848">
        <f>WEEKDAY(Table1[[#This Row],[Transaction_Date]],2)</f>
        <v>3</v>
      </c>
      <c r="M1848">
        <f>IF(Table1[[#This Row],[Sale_Type]]="Buffet",1,0)</f>
        <v>1</v>
      </c>
    </row>
    <row r="1849" spans="1:13" x14ac:dyDescent="0.2">
      <c r="A1849" t="s">
        <v>2122</v>
      </c>
      <c r="B1849" t="s">
        <v>652</v>
      </c>
      <c r="C1849" s="1">
        <v>46015</v>
      </c>
      <c r="D1849" t="s">
        <v>13</v>
      </c>
      <c r="E1849" t="s">
        <v>43</v>
      </c>
      <c r="F1849" t="s">
        <v>57</v>
      </c>
      <c r="G1849" t="s">
        <v>45</v>
      </c>
      <c r="H1849">
        <v>3</v>
      </c>
      <c r="I1849">
        <v>64.5</v>
      </c>
      <c r="J1849" t="s">
        <v>17</v>
      </c>
      <c r="K1849" t="s">
        <v>18</v>
      </c>
      <c r="L1849">
        <f>WEEKDAY(Table1[[#This Row],[Transaction_Date]],2)</f>
        <v>3</v>
      </c>
      <c r="M1849">
        <f>IF(Table1[[#This Row],[Sale_Type]]="Buffet",1,0)</f>
        <v>1</v>
      </c>
    </row>
    <row r="1850" spans="1:13" x14ac:dyDescent="0.2">
      <c r="A1850" t="s">
        <v>2123</v>
      </c>
      <c r="B1850" t="s">
        <v>160</v>
      </c>
      <c r="C1850" s="1">
        <v>46016</v>
      </c>
      <c r="D1850" t="s">
        <v>62</v>
      </c>
      <c r="E1850" t="s">
        <v>14</v>
      </c>
      <c r="F1850" t="s">
        <v>27</v>
      </c>
      <c r="G1850" t="s">
        <v>16</v>
      </c>
      <c r="H1850">
        <v>1</v>
      </c>
      <c r="I1850">
        <v>17.04</v>
      </c>
      <c r="J1850" t="s">
        <v>34</v>
      </c>
      <c r="K1850" t="s">
        <v>18</v>
      </c>
      <c r="L1850">
        <f>WEEKDAY(Table1[[#This Row],[Transaction_Date]],2)</f>
        <v>4</v>
      </c>
      <c r="M1850">
        <f>IF(Table1[[#This Row],[Sale_Type]]="Buffet",1,0)</f>
        <v>0</v>
      </c>
    </row>
    <row r="1851" spans="1:13" x14ac:dyDescent="0.2">
      <c r="A1851" t="s">
        <v>2124</v>
      </c>
      <c r="B1851" t="s">
        <v>579</v>
      </c>
      <c r="C1851" s="1">
        <v>46016</v>
      </c>
      <c r="D1851" t="s">
        <v>62</v>
      </c>
      <c r="E1851" t="s">
        <v>14</v>
      </c>
      <c r="F1851" t="s">
        <v>31</v>
      </c>
      <c r="G1851" t="s">
        <v>16</v>
      </c>
      <c r="H1851">
        <v>2</v>
      </c>
      <c r="I1851">
        <v>42.7</v>
      </c>
      <c r="J1851" t="s">
        <v>28</v>
      </c>
      <c r="K1851" t="s">
        <v>18</v>
      </c>
      <c r="L1851">
        <f>WEEKDAY(Table1[[#This Row],[Transaction_Date]],2)</f>
        <v>4</v>
      </c>
      <c r="M1851">
        <f>IF(Table1[[#This Row],[Sale_Type]]="Buffet",1,0)</f>
        <v>0</v>
      </c>
    </row>
    <row r="1852" spans="1:13" x14ac:dyDescent="0.2">
      <c r="A1852" t="s">
        <v>2125</v>
      </c>
      <c r="B1852" t="s">
        <v>100</v>
      </c>
      <c r="C1852" s="1">
        <v>46016</v>
      </c>
      <c r="D1852" t="s">
        <v>62</v>
      </c>
      <c r="E1852" t="s">
        <v>14</v>
      </c>
      <c r="F1852" t="s">
        <v>31</v>
      </c>
      <c r="G1852" t="s">
        <v>16</v>
      </c>
      <c r="H1852">
        <v>3</v>
      </c>
      <c r="I1852">
        <v>52.9</v>
      </c>
      <c r="J1852" t="s">
        <v>17</v>
      </c>
      <c r="K1852" t="s">
        <v>18</v>
      </c>
      <c r="L1852">
        <f>WEEKDAY(Table1[[#This Row],[Transaction_Date]],2)</f>
        <v>4</v>
      </c>
      <c r="M1852">
        <f>IF(Table1[[#This Row],[Sale_Type]]="Buffet",1,0)</f>
        <v>0</v>
      </c>
    </row>
    <row r="1853" spans="1:13" x14ac:dyDescent="0.2">
      <c r="A1853" t="s">
        <v>2126</v>
      </c>
      <c r="B1853" t="s">
        <v>104</v>
      </c>
      <c r="C1853" s="1">
        <v>46016</v>
      </c>
      <c r="D1853" t="s">
        <v>62</v>
      </c>
      <c r="E1853" t="s">
        <v>14</v>
      </c>
      <c r="F1853" t="s">
        <v>40</v>
      </c>
      <c r="G1853" t="s">
        <v>16</v>
      </c>
      <c r="H1853">
        <v>3</v>
      </c>
      <c r="I1853">
        <v>99.69</v>
      </c>
      <c r="J1853" t="s">
        <v>34</v>
      </c>
      <c r="K1853" t="s">
        <v>18</v>
      </c>
      <c r="L1853">
        <f>WEEKDAY(Table1[[#This Row],[Transaction_Date]],2)</f>
        <v>4</v>
      </c>
      <c r="M1853">
        <f>IF(Table1[[#This Row],[Sale_Type]]="Buffet",1,0)</f>
        <v>0</v>
      </c>
    </row>
    <row r="1854" spans="1:13" x14ac:dyDescent="0.2">
      <c r="A1854" t="s">
        <v>2127</v>
      </c>
      <c r="B1854" t="s">
        <v>1079</v>
      </c>
      <c r="C1854" s="1">
        <v>46016</v>
      </c>
      <c r="D1854" t="s">
        <v>62</v>
      </c>
      <c r="E1854" t="s">
        <v>14</v>
      </c>
      <c r="F1854" t="s">
        <v>40</v>
      </c>
      <c r="G1854" t="s">
        <v>16</v>
      </c>
      <c r="H1854">
        <v>4</v>
      </c>
      <c r="I1854">
        <v>61.81</v>
      </c>
      <c r="J1854" t="s">
        <v>17</v>
      </c>
      <c r="K1854" t="s">
        <v>18</v>
      </c>
      <c r="L1854">
        <f>WEEKDAY(Table1[[#This Row],[Transaction_Date]],2)</f>
        <v>4</v>
      </c>
      <c r="M1854">
        <f>IF(Table1[[#This Row],[Sale_Type]]="Buffet",1,0)</f>
        <v>0</v>
      </c>
    </row>
    <row r="1855" spans="1:13" x14ac:dyDescent="0.2">
      <c r="A1855" t="s">
        <v>2128</v>
      </c>
      <c r="B1855" t="s">
        <v>474</v>
      </c>
      <c r="C1855" s="1">
        <v>46016</v>
      </c>
      <c r="D1855" t="s">
        <v>62</v>
      </c>
      <c r="E1855" t="s">
        <v>43</v>
      </c>
      <c r="F1855" t="s">
        <v>44</v>
      </c>
      <c r="G1855" t="s">
        <v>45</v>
      </c>
      <c r="H1855">
        <v>5</v>
      </c>
      <c r="I1855">
        <v>109</v>
      </c>
      <c r="J1855" t="s">
        <v>17</v>
      </c>
      <c r="K1855" t="s">
        <v>21</v>
      </c>
      <c r="L1855">
        <f>WEEKDAY(Table1[[#This Row],[Transaction_Date]],2)</f>
        <v>4</v>
      </c>
      <c r="M1855">
        <f>IF(Table1[[#This Row],[Sale_Type]]="Buffet",1,0)</f>
        <v>1</v>
      </c>
    </row>
    <row r="1856" spans="1:13" x14ac:dyDescent="0.2">
      <c r="A1856" t="s">
        <v>2129</v>
      </c>
      <c r="B1856" t="s">
        <v>542</v>
      </c>
      <c r="C1856" s="1">
        <v>46016</v>
      </c>
      <c r="D1856" t="s">
        <v>62</v>
      </c>
      <c r="E1856" t="s">
        <v>43</v>
      </c>
      <c r="F1856" t="s">
        <v>44</v>
      </c>
      <c r="G1856" t="s">
        <v>16</v>
      </c>
      <c r="H1856">
        <v>5</v>
      </c>
      <c r="I1856">
        <v>117.49</v>
      </c>
      <c r="J1856" t="s">
        <v>34</v>
      </c>
      <c r="K1856" t="s">
        <v>18</v>
      </c>
      <c r="L1856">
        <f>WEEKDAY(Table1[[#This Row],[Transaction_Date]],2)</f>
        <v>4</v>
      </c>
      <c r="M1856">
        <f>IF(Table1[[#This Row],[Sale_Type]]="Buffet",1,0)</f>
        <v>0</v>
      </c>
    </row>
    <row r="1857" spans="1:13" x14ac:dyDescent="0.2">
      <c r="A1857" t="s">
        <v>2130</v>
      </c>
      <c r="B1857" t="s">
        <v>39</v>
      </c>
      <c r="C1857" s="1">
        <v>46016</v>
      </c>
      <c r="D1857" t="s">
        <v>62</v>
      </c>
      <c r="E1857" t="s">
        <v>43</v>
      </c>
      <c r="F1857" t="s">
        <v>44</v>
      </c>
      <c r="G1857" t="s">
        <v>45</v>
      </c>
      <c r="H1857">
        <v>3</v>
      </c>
      <c r="I1857">
        <v>69</v>
      </c>
      <c r="J1857" t="s">
        <v>34</v>
      </c>
      <c r="K1857" t="s">
        <v>18</v>
      </c>
      <c r="L1857">
        <f>WEEKDAY(Table1[[#This Row],[Transaction_Date]],2)</f>
        <v>4</v>
      </c>
      <c r="M1857">
        <f>IF(Table1[[#This Row],[Sale_Type]]="Buffet",1,0)</f>
        <v>1</v>
      </c>
    </row>
    <row r="1858" spans="1:13" x14ac:dyDescent="0.2">
      <c r="A1858" t="s">
        <v>2131</v>
      </c>
      <c r="B1858" t="s">
        <v>542</v>
      </c>
      <c r="C1858" s="1">
        <v>46016</v>
      </c>
      <c r="D1858" t="s">
        <v>62</v>
      </c>
      <c r="E1858" t="s">
        <v>43</v>
      </c>
      <c r="F1858" t="s">
        <v>50</v>
      </c>
      <c r="G1858" t="s">
        <v>45</v>
      </c>
      <c r="H1858">
        <v>3</v>
      </c>
      <c r="I1858">
        <v>60</v>
      </c>
      <c r="J1858" t="s">
        <v>17</v>
      </c>
      <c r="K1858" t="s">
        <v>21</v>
      </c>
      <c r="L1858">
        <f>WEEKDAY(Table1[[#This Row],[Transaction_Date]],2)</f>
        <v>4</v>
      </c>
      <c r="M1858">
        <f>IF(Table1[[#This Row],[Sale_Type]]="Buffet",1,0)</f>
        <v>1</v>
      </c>
    </row>
    <row r="1859" spans="1:13" x14ac:dyDescent="0.2">
      <c r="A1859" t="s">
        <v>2132</v>
      </c>
      <c r="B1859" t="s">
        <v>215</v>
      </c>
      <c r="C1859" s="1">
        <v>46016</v>
      </c>
      <c r="D1859" t="s">
        <v>62</v>
      </c>
      <c r="E1859" t="s">
        <v>43</v>
      </c>
      <c r="F1859" t="s">
        <v>50</v>
      </c>
      <c r="G1859" t="s">
        <v>16</v>
      </c>
      <c r="H1859">
        <v>2</v>
      </c>
      <c r="I1859">
        <v>31.56</v>
      </c>
      <c r="J1859" t="s">
        <v>28</v>
      </c>
      <c r="K1859" t="s">
        <v>18</v>
      </c>
      <c r="L1859">
        <f>WEEKDAY(Table1[[#This Row],[Transaction_Date]],2)</f>
        <v>4</v>
      </c>
      <c r="M1859">
        <f>IF(Table1[[#This Row],[Sale_Type]]="Buffet",1,0)</f>
        <v>0</v>
      </c>
    </row>
    <row r="1860" spans="1:13" x14ac:dyDescent="0.2">
      <c r="A1860" t="s">
        <v>2133</v>
      </c>
      <c r="B1860" t="s">
        <v>591</v>
      </c>
      <c r="C1860" s="1">
        <v>46016</v>
      </c>
      <c r="D1860" t="s">
        <v>62</v>
      </c>
      <c r="E1860" t="s">
        <v>43</v>
      </c>
      <c r="F1860" t="s">
        <v>50</v>
      </c>
      <c r="G1860" t="s">
        <v>16</v>
      </c>
      <c r="H1860">
        <v>2</v>
      </c>
      <c r="I1860">
        <v>36.14</v>
      </c>
      <c r="J1860" t="s">
        <v>34</v>
      </c>
      <c r="K1860" t="s">
        <v>18</v>
      </c>
      <c r="L1860">
        <f>WEEKDAY(Table1[[#This Row],[Transaction_Date]],2)</f>
        <v>4</v>
      </c>
      <c r="M1860">
        <f>IF(Table1[[#This Row],[Sale_Type]]="Buffet",1,0)</f>
        <v>0</v>
      </c>
    </row>
    <row r="1861" spans="1:13" x14ac:dyDescent="0.2">
      <c r="A1861" t="s">
        <v>2134</v>
      </c>
      <c r="B1861" t="s">
        <v>822</v>
      </c>
      <c r="C1861" s="1">
        <v>46016</v>
      </c>
      <c r="D1861" t="s">
        <v>62</v>
      </c>
      <c r="E1861" t="s">
        <v>43</v>
      </c>
      <c r="F1861" t="s">
        <v>53</v>
      </c>
      <c r="G1861" t="s">
        <v>45</v>
      </c>
      <c r="H1861">
        <v>4</v>
      </c>
      <c r="I1861">
        <v>84.5</v>
      </c>
      <c r="J1861" t="s">
        <v>34</v>
      </c>
      <c r="K1861" t="s">
        <v>18</v>
      </c>
      <c r="L1861">
        <f>WEEKDAY(Table1[[#This Row],[Transaction_Date]],2)</f>
        <v>4</v>
      </c>
      <c r="M1861">
        <f>IF(Table1[[#This Row],[Sale_Type]]="Buffet",1,0)</f>
        <v>1</v>
      </c>
    </row>
    <row r="1862" spans="1:13" x14ac:dyDescent="0.2">
      <c r="A1862" t="s">
        <v>2135</v>
      </c>
      <c r="B1862" t="s">
        <v>456</v>
      </c>
      <c r="C1862" s="1">
        <v>46016</v>
      </c>
      <c r="D1862" t="s">
        <v>62</v>
      </c>
      <c r="E1862" t="s">
        <v>43</v>
      </c>
      <c r="F1862" t="s">
        <v>57</v>
      </c>
      <c r="G1862" t="s">
        <v>16</v>
      </c>
      <c r="H1862">
        <v>4</v>
      </c>
      <c r="I1862">
        <v>75.34</v>
      </c>
      <c r="J1862" t="s">
        <v>28</v>
      </c>
      <c r="K1862" t="s">
        <v>18</v>
      </c>
      <c r="L1862">
        <f>WEEKDAY(Table1[[#This Row],[Transaction_Date]],2)</f>
        <v>4</v>
      </c>
      <c r="M1862">
        <f>IF(Table1[[#This Row],[Sale_Type]]="Buffet",1,0)</f>
        <v>0</v>
      </c>
    </row>
    <row r="1863" spans="1:13" x14ac:dyDescent="0.2">
      <c r="A1863" t="s">
        <v>2136</v>
      </c>
      <c r="B1863" t="s">
        <v>522</v>
      </c>
      <c r="C1863" s="1">
        <v>46016</v>
      </c>
      <c r="D1863" t="s">
        <v>62</v>
      </c>
      <c r="E1863" t="s">
        <v>43</v>
      </c>
      <c r="F1863" t="s">
        <v>57</v>
      </c>
      <c r="G1863" t="s">
        <v>16</v>
      </c>
      <c r="H1863">
        <v>2</v>
      </c>
      <c r="I1863">
        <v>31.5</v>
      </c>
      <c r="J1863" t="s">
        <v>28</v>
      </c>
      <c r="K1863" t="s">
        <v>18</v>
      </c>
      <c r="L1863">
        <f>WEEKDAY(Table1[[#This Row],[Transaction_Date]],2)</f>
        <v>4</v>
      </c>
      <c r="M1863">
        <f>IF(Table1[[#This Row],[Sale_Type]]="Buffet",1,0)</f>
        <v>0</v>
      </c>
    </row>
    <row r="1864" spans="1:13" x14ac:dyDescent="0.2">
      <c r="A1864" t="s">
        <v>2137</v>
      </c>
      <c r="B1864" t="s">
        <v>66</v>
      </c>
      <c r="C1864" s="1">
        <v>46017</v>
      </c>
      <c r="D1864" t="s">
        <v>96</v>
      </c>
      <c r="E1864" t="s">
        <v>14</v>
      </c>
      <c r="F1864" t="s">
        <v>15</v>
      </c>
      <c r="G1864" t="s">
        <v>16</v>
      </c>
      <c r="H1864">
        <v>2</v>
      </c>
      <c r="I1864">
        <v>75.569999999999993</v>
      </c>
      <c r="J1864" t="s">
        <v>17</v>
      </c>
      <c r="K1864" t="s">
        <v>18</v>
      </c>
      <c r="L1864">
        <f>WEEKDAY(Table1[[#This Row],[Transaction_Date]],2)</f>
        <v>5</v>
      </c>
      <c r="M1864">
        <f>IF(Table1[[#This Row],[Sale_Type]]="Buffet",1,0)</f>
        <v>0</v>
      </c>
    </row>
    <row r="1865" spans="1:13" x14ac:dyDescent="0.2">
      <c r="A1865" t="s">
        <v>2138</v>
      </c>
      <c r="B1865" t="s">
        <v>581</v>
      </c>
      <c r="C1865" s="1">
        <v>46017</v>
      </c>
      <c r="D1865" t="s">
        <v>96</v>
      </c>
      <c r="E1865" t="s">
        <v>14</v>
      </c>
      <c r="F1865" t="s">
        <v>15</v>
      </c>
      <c r="G1865" t="s">
        <v>16</v>
      </c>
      <c r="H1865">
        <v>3</v>
      </c>
      <c r="I1865">
        <v>53.45</v>
      </c>
      <c r="J1865" t="s">
        <v>34</v>
      </c>
      <c r="K1865" t="s">
        <v>18</v>
      </c>
      <c r="L1865">
        <f>WEEKDAY(Table1[[#This Row],[Transaction_Date]],2)</f>
        <v>5</v>
      </c>
      <c r="M1865">
        <f>IF(Table1[[#This Row],[Sale_Type]]="Buffet",1,0)</f>
        <v>0</v>
      </c>
    </row>
    <row r="1866" spans="1:13" x14ac:dyDescent="0.2">
      <c r="A1866" t="s">
        <v>2139</v>
      </c>
      <c r="B1866" t="s">
        <v>658</v>
      </c>
      <c r="C1866" s="1">
        <v>46017</v>
      </c>
      <c r="D1866" t="s">
        <v>96</v>
      </c>
      <c r="E1866" t="s">
        <v>14</v>
      </c>
      <c r="F1866" t="s">
        <v>15</v>
      </c>
      <c r="G1866" t="s">
        <v>16</v>
      </c>
      <c r="H1866">
        <v>2</v>
      </c>
      <c r="I1866">
        <v>35.21</v>
      </c>
      <c r="J1866" t="s">
        <v>28</v>
      </c>
      <c r="K1866" t="s">
        <v>18</v>
      </c>
      <c r="L1866">
        <f>WEEKDAY(Table1[[#This Row],[Transaction_Date]],2)</f>
        <v>5</v>
      </c>
      <c r="M1866">
        <f>IF(Table1[[#This Row],[Sale_Type]]="Buffet",1,0)</f>
        <v>0</v>
      </c>
    </row>
    <row r="1867" spans="1:13" x14ac:dyDescent="0.2">
      <c r="A1867" t="s">
        <v>2140</v>
      </c>
      <c r="B1867" t="s">
        <v>423</v>
      </c>
      <c r="C1867" s="1">
        <v>46017</v>
      </c>
      <c r="D1867" t="s">
        <v>96</v>
      </c>
      <c r="E1867" t="s">
        <v>14</v>
      </c>
      <c r="F1867" t="s">
        <v>15</v>
      </c>
      <c r="G1867" t="s">
        <v>16</v>
      </c>
      <c r="H1867">
        <v>4</v>
      </c>
      <c r="I1867">
        <v>94.62</v>
      </c>
      <c r="J1867" t="s">
        <v>34</v>
      </c>
      <c r="K1867" t="s">
        <v>18</v>
      </c>
      <c r="L1867">
        <f>WEEKDAY(Table1[[#This Row],[Transaction_Date]],2)</f>
        <v>5</v>
      </c>
      <c r="M1867">
        <f>IF(Table1[[#This Row],[Sale_Type]]="Buffet",1,0)</f>
        <v>0</v>
      </c>
    </row>
    <row r="1868" spans="1:13" x14ac:dyDescent="0.2">
      <c r="A1868" t="s">
        <v>2141</v>
      </c>
      <c r="B1868" t="s">
        <v>222</v>
      </c>
      <c r="C1868" s="1">
        <v>46017</v>
      </c>
      <c r="D1868" t="s">
        <v>96</v>
      </c>
      <c r="E1868" t="s">
        <v>14</v>
      </c>
      <c r="F1868" t="s">
        <v>24</v>
      </c>
      <c r="G1868" t="s">
        <v>16</v>
      </c>
      <c r="H1868">
        <v>1</v>
      </c>
      <c r="I1868">
        <v>31.02</v>
      </c>
      <c r="J1868" t="s">
        <v>34</v>
      </c>
      <c r="K1868" t="s">
        <v>18</v>
      </c>
      <c r="L1868">
        <f>WEEKDAY(Table1[[#This Row],[Transaction_Date]],2)</f>
        <v>5</v>
      </c>
      <c r="M1868">
        <f>IF(Table1[[#This Row],[Sale_Type]]="Buffet",1,0)</f>
        <v>0</v>
      </c>
    </row>
    <row r="1869" spans="1:13" x14ac:dyDescent="0.2">
      <c r="A1869" t="s">
        <v>2142</v>
      </c>
      <c r="B1869" t="s">
        <v>755</v>
      </c>
      <c r="C1869" s="1">
        <v>46017</v>
      </c>
      <c r="D1869" t="s">
        <v>96</v>
      </c>
      <c r="E1869" t="s">
        <v>14</v>
      </c>
      <c r="F1869" t="s">
        <v>27</v>
      </c>
      <c r="G1869" t="s">
        <v>16</v>
      </c>
      <c r="H1869">
        <v>4</v>
      </c>
      <c r="I1869">
        <v>186.67</v>
      </c>
      <c r="J1869" t="s">
        <v>17</v>
      </c>
      <c r="K1869" t="s">
        <v>18</v>
      </c>
      <c r="L1869">
        <f>WEEKDAY(Table1[[#This Row],[Transaction_Date]],2)</f>
        <v>5</v>
      </c>
      <c r="M1869">
        <f>IF(Table1[[#This Row],[Sale_Type]]="Buffet",1,0)</f>
        <v>0</v>
      </c>
    </row>
    <row r="1870" spans="1:13" x14ac:dyDescent="0.2">
      <c r="A1870" t="s">
        <v>2143</v>
      </c>
      <c r="B1870" t="s">
        <v>115</v>
      </c>
      <c r="C1870" s="1">
        <v>46017</v>
      </c>
      <c r="D1870" t="s">
        <v>96</v>
      </c>
      <c r="E1870" t="s">
        <v>14</v>
      </c>
      <c r="F1870" t="s">
        <v>31</v>
      </c>
      <c r="G1870" t="s">
        <v>16</v>
      </c>
      <c r="H1870">
        <v>3</v>
      </c>
      <c r="I1870">
        <v>86.37</v>
      </c>
      <c r="J1870" t="s">
        <v>17</v>
      </c>
      <c r="K1870" t="s">
        <v>21</v>
      </c>
      <c r="L1870">
        <f>WEEKDAY(Table1[[#This Row],[Transaction_Date]],2)</f>
        <v>5</v>
      </c>
      <c r="M1870">
        <f>IF(Table1[[#This Row],[Sale_Type]]="Buffet",1,0)</f>
        <v>0</v>
      </c>
    </row>
    <row r="1871" spans="1:13" x14ac:dyDescent="0.2">
      <c r="A1871" t="s">
        <v>2144</v>
      </c>
      <c r="B1871" t="s">
        <v>165</v>
      </c>
      <c r="C1871" s="1">
        <v>46017</v>
      </c>
      <c r="D1871" t="s">
        <v>96</v>
      </c>
      <c r="E1871" t="s">
        <v>14</v>
      </c>
      <c r="F1871" t="s">
        <v>31</v>
      </c>
      <c r="G1871" t="s">
        <v>16</v>
      </c>
      <c r="H1871">
        <v>3</v>
      </c>
      <c r="I1871">
        <v>105.12</v>
      </c>
      <c r="J1871" t="s">
        <v>34</v>
      </c>
      <c r="K1871" t="s">
        <v>18</v>
      </c>
      <c r="L1871">
        <f>WEEKDAY(Table1[[#This Row],[Transaction_Date]],2)</f>
        <v>5</v>
      </c>
      <c r="M1871">
        <f>IF(Table1[[#This Row],[Sale_Type]]="Buffet",1,0)</f>
        <v>0</v>
      </c>
    </row>
    <row r="1872" spans="1:13" x14ac:dyDescent="0.2">
      <c r="A1872" t="s">
        <v>2145</v>
      </c>
      <c r="B1872" t="s">
        <v>429</v>
      </c>
      <c r="C1872" s="1">
        <v>46017</v>
      </c>
      <c r="D1872" t="s">
        <v>96</v>
      </c>
      <c r="E1872" t="s">
        <v>14</v>
      </c>
      <c r="F1872" t="s">
        <v>40</v>
      </c>
      <c r="G1872" t="s">
        <v>16</v>
      </c>
      <c r="H1872">
        <v>3</v>
      </c>
      <c r="I1872">
        <v>66.48</v>
      </c>
      <c r="J1872" t="s">
        <v>34</v>
      </c>
      <c r="K1872" t="s">
        <v>18</v>
      </c>
      <c r="L1872">
        <f>WEEKDAY(Table1[[#This Row],[Transaction_Date]],2)</f>
        <v>5</v>
      </c>
      <c r="M1872">
        <f>IF(Table1[[#This Row],[Sale_Type]]="Buffet",1,0)</f>
        <v>0</v>
      </c>
    </row>
    <row r="1873" spans="1:13" x14ac:dyDescent="0.2">
      <c r="A1873" t="s">
        <v>2146</v>
      </c>
      <c r="B1873" t="s">
        <v>42</v>
      </c>
      <c r="C1873" s="1">
        <v>46017</v>
      </c>
      <c r="D1873" t="s">
        <v>96</v>
      </c>
      <c r="E1873" t="s">
        <v>14</v>
      </c>
      <c r="F1873" t="s">
        <v>40</v>
      </c>
      <c r="G1873" t="s">
        <v>16</v>
      </c>
      <c r="H1873">
        <v>1</v>
      </c>
      <c r="I1873">
        <v>30.17</v>
      </c>
      <c r="J1873" t="s">
        <v>28</v>
      </c>
      <c r="K1873" t="s">
        <v>18</v>
      </c>
      <c r="L1873">
        <f>WEEKDAY(Table1[[#This Row],[Transaction_Date]],2)</f>
        <v>5</v>
      </c>
      <c r="M1873">
        <f>IF(Table1[[#This Row],[Sale_Type]]="Buffet",1,0)</f>
        <v>0</v>
      </c>
    </row>
    <row r="1874" spans="1:13" x14ac:dyDescent="0.2">
      <c r="A1874" t="s">
        <v>2147</v>
      </c>
      <c r="B1874" t="s">
        <v>443</v>
      </c>
      <c r="C1874" s="1">
        <v>46017</v>
      </c>
      <c r="D1874" t="s">
        <v>96</v>
      </c>
      <c r="E1874" t="s">
        <v>14</v>
      </c>
      <c r="F1874" t="s">
        <v>40</v>
      </c>
      <c r="G1874" t="s">
        <v>16</v>
      </c>
      <c r="H1874">
        <v>4</v>
      </c>
      <c r="I1874">
        <v>101.13</v>
      </c>
      <c r="J1874" t="s">
        <v>34</v>
      </c>
      <c r="K1874" t="s">
        <v>18</v>
      </c>
      <c r="L1874">
        <f>WEEKDAY(Table1[[#This Row],[Transaction_Date]],2)</f>
        <v>5</v>
      </c>
      <c r="M1874">
        <f>IF(Table1[[#This Row],[Sale_Type]]="Buffet",1,0)</f>
        <v>0</v>
      </c>
    </row>
    <row r="1875" spans="1:13" x14ac:dyDescent="0.2">
      <c r="A1875" t="s">
        <v>2148</v>
      </c>
      <c r="B1875" t="s">
        <v>329</v>
      </c>
      <c r="C1875" s="1">
        <v>46017</v>
      </c>
      <c r="D1875" t="s">
        <v>96</v>
      </c>
      <c r="E1875" t="s">
        <v>43</v>
      </c>
      <c r="F1875" t="s">
        <v>44</v>
      </c>
      <c r="G1875" t="s">
        <v>45</v>
      </c>
      <c r="H1875">
        <v>3</v>
      </c>
      <c r="I1875">
        <v>64.5</v>
      </c>
      <c r="J1875" t="s">
        <v>34</v>
      </c>
      <c r="K1875" t="s">
        <v>18</v>
      </c>
      <c r="L1875">
        <f>WEEKDAY(Table1[[#This Row],[Transaction_Date]],2)</f>
        <v>5</v>
      </c>
      <c r="M1875">
        <f>IF(Table1[[#This Row],[Sale_Type]]="Buffet",1,0)</f>
        <v>1</v>
      </c>
    </row>
    <row r="1876" spans="1:13" x14ac:dyDescent="0.2">
      <c r="A1876" t="s">
        <v>2149</v>
      </c>
      <c r="B1876" t="s">
        <v>412</v>
      </c>
      <c r="C1876" s="1">
        <v>46017</v>
      </c>
      <c r="D1876" t="s">
        <v>96</v>
      </c>
      <c r="E1876" t="s">
        <v>43</v>
      </c>
      <c r="F1876" t="s">
        <v>50</v>
      </c>
      <c r="G1876" t="s">
        <v>45</v>
      </c>
      <c r="H1876">
        <v>2</v>
      </c>
      <c r="I1876">
        <v>40</v>
      </c>
      <c r="J1876" t="s">
        <v>17</v>
      </c>
      <c r="K1876" t="s">
        <v>18</v>
      </c>
      <c r="L1876">
        <f>WEEKDAY(Table1[[#This Row],[Transaction_Date]],2)</f>
        <v>5</v>
      </c>
      <c r="M1876">
        <f>IF(Table1[[#This Row],[Sale_Type]]="Buffet",1,0)</f>
        <v>1</v>
      </c>
    </row>
    <row r="1877" spans="1:13" x14ac:dyDescent="0.2">
      <c r="A1877" t="s">
        <v>2150</v>
      </c>
      <c r="B1877" t="s">
        <v>231</v>
      </c>
      <c r="C1877" s="1">
        <v>46017</v>
      </c>
      <c r="D1877" t="s">
        <v>96</v>
      </c>
      <c r="E1877" t="s">
        <v>43</v>
      </c>
      <c r="F1877" t="s">
        <v>53</v>
      </c>
      <c r="G1877" t="s">
        <v>45</v>
      </c>
      <c r="H1877">
        <v>3</v>
      </c>
      <c r="I1877">
        <v>60</v>
      </c>
      <c r="J1877" t="s">
        <v>28</v>
      </c>
      <c r="K1877" t="s">
        <v>21</v>
      </c>
      <c r="L1877">
        <f>WEEKDAY(Table1[[#This Row],[Transaction_Date]],2)</f>
        <v>5</v>
      </c>
      <c r="M1877">
        <f>IF(Table1[[#This Row],[Sale_Type]]="Buffet",1,0)</f>
        <v>1</v>
      </c>
    </row>
    <row r="1878" spans="1:13" x14ac:dyDescent="0.2">
      <c r="A1878" t="s">
        <v>2151</v>
      </c>
      <c r="B1878" t="s">
        <v>178</v>
      </c>
      <c r="C1878" s="1">
        <v>46017</v>
      </c>
      <c r="D1878" t="s">
        <v>96</v>
      </c>
      <c r="E1878" t="s">
        <v>43</v>
      </c>
      <c r="F1878" t="s">
        <v>53</v>
      </c>
      <c r="G1878" t="s">
        <v>45</v>
      </c>
      <c r="H1878">
        <v>4</v>
      </c>
      <c r="I1878">
        <v>93.5</v>
      </c>
      <c r="J1878" t="s">
        <v>17</v>
      </c>
      <c r="K1878" t="s">
        <v>18</v>
      </c>
      <c r="L1878">
        <f>WEEKDAY(Table1[[#This Row],[Transaction_Date]],2)</f>
        <v>5</v>
      </c>
      <c r="M1878">
        <f>IF(Table1[[#This Row],[Sale_Type]]="Buffet",1,0)</f>
        <v>1</v>
      </c>
    </row>
    <row r="1879" spans="1:13" x14ac:dyDescent="0.2">
      <c r="A1879" t="s">
        <v>2152</v>
      </c>
      <c r="B1879" t="s">
        <v>264</v>
      </c>
      <c r="C1879" s="1">
        <v>46017</v>
      </c>
      <c r="D1879" t="s">
        <v>96</v>
      </c>
      <c r="E1879" t="s">
        <v>43</v>
      </c>
      <c r="F1879" t="s">
        <v>57</v>
      </c>
      <c r="G1879" t="s">
        <v>45</v>
      </c>
      <c r="H1879">
        <v>2</v>
      </c>
      <c r="I1879">
        <v>40</v>
      </c>
      <c r="J1879" t="s">
        <v>28</v>
      </c>
      <c r="K1879" t="s">
        <v>18</v>
      </c>
      <c r="L1879">
        <f>WEEKDAY(Table1[[#This Row],[Transaction_Date]],2)</f>
        <v>5</v>
      </c>
      <c r="M1879">
        <f>IF(Table1[[#This Row],[Sale_Type]]="Buffet",1,0)</f>
        <v>1</v>
      </c>
    </row>
    <row r="1880" spans="1:13" x14ac:dyDescent="0.2">
      <c r="A1880" t="s">
        <v>2153</v>
      </c>
      <c r="B1880" t="s">
        <v>117</v>
      </c>
      <c r="C1880" s="1">
        <v>46017</v>
      </c>
      <c r="D1880" t="s">
        <v>96</v>
      </c>
      <c r="E1880" t="s">
        <v>43</v>
      </c>
      <c r="F1880" t="s">
        <v>57</v>
      </c>
      <c r="G1880" t="s">
        <v>45</v>
      </c>
      <c r="H1880">
        <v>4</v>
      </c>
      <c r="I1880">
        <v>84.5</v>
      </c>
      <c r="J1880" t="s">
        <v>34</v>
      </c>
      <c r="K1880" t="s">
        <v>18</v>
      </c>
      <c r="L1880">
        <f>WEEKDAY(Table1[[#This Row],[Transaction_Date]],2)</f>
        <v>5</v>
      </c>
      <c r="M1880">
        <f>IF(Table1[[#This Row],[Sale_Type]]="Buffet",1,0)</f>
        <v>1</v>
      </c>
    </row>
    <row r="1881" spans="1:13" x14ac:dyDescent="0.2">
      <c r="A1881" t="s">
        <v>2154</v>
      </c>
      <c r="B1881" t="s">
        <v>160</v>
      </c>
      <c r="C1881" s="1">
        <v>46018</v>
      </c>
      <c r="D1881" t="s">
        <v>127</v>
      </c>
      <c r="E1881" t="s">
        <v>14</v>
      </c>
      <c r="F1881" t="s">
        <v>15</v>
      </c>
      <c r="G1881" t="s">
        <v>16</v>
      </c>
      <c r="H1881">
        <v>5</v>
      </c>
      <c r="I1881">
        <v>166.75</v>
      </c>
      <c r="J1881" t="s">
        <v>28</v>
      </c>
      <c r="K1881" t="s">
        <v>18</v>
      </c>
      <c r="L1881">
        <f>WEEKDAY(Table1[[#This Row],[Transaction_Date]],2)</f>
        <v>6</v>
      </c>
      <c r="M1881">
        <f>IF(Table1[[#This Row],[Sale_Type]]="Buffet",1,0)</f>
        <v>0</v>
      </c>
    </row>
    <row r="1882" spans="1:13" x14ac:dyDescent="0.2">
      <c r="A1882" t="s">
        <v>2155</v>
      </c>
      <c r="B1882" t="s">
        <v>68</v>
      </c>
      <c r="C1882" s="1">
        <v>46018</v>
      </c>
      <c r="D1882" t="s">
        <v>127</v>
      </c>
      <c r="E1882" t="s">
        <v>14</v>
      </c>
      <c r="F1882" t="s">
        <v>15</v>
      </c>
      <c r="G1882" t="s">
        <v>16</v>
      </c>
      <c r="H1882">
        <v>1</v>
      </c>
      <c r="I1882">
        <v>21.28</v>
      </c>
      <c r="J1882" t="s">
        <v>17</v>
      </c>
      <c r="K1882" t="s">
        <v>18</v>
      </c>
      <c r="L1882">
        <f>WEEKDAY(Table1[[#This Row],[Transaction_Date]],2)</f>
        <v>6</v>
      </c>
      <c r="M1882">
        <f>IF(Table1[[#This Row],[Sale_Type]]="Buffet",1,0)</f>
        <v>0</v>
      </c>
    </row>
    <row r="1883" spans="1:13" x14ac:dyDescent="0.2">
      <c r="A1883" t="s">
        <v>2156</v>
      </c>
      <c r="B1883" t="s">
        <v>233</v>
      </c>
      <c r="C1883" s="1">
        <v>46018</v>
      </c>
      <c r="D1883" t="s">
        <v>127</v>
      </c>
      <c r="E1883" t="s">
        <v>14</v>
      </c>
      <c r="F1883" t="s">
        <v>15</v>
      </c>
      <c r="G1883" t="s">
        <v>16</v>
      </c>
      <c r="H1883">
        <v>3</v>
      </c>
      <c r="I1883">
        <v>70.72</v>
      </c>
      <c r="J1883" t="s">
        <v>17</v>
      </c>
      <c r="K1883" t="s">
        <v>18</v>
      </c>
      <c r="L1883">
        <f>WEEKDAY(Table1[[#This Row],[Transaction_Date]],2)</f>
        <v>6</v>
      </c>
      <c r="M1883">
        <f>IF(Table1[[#This Row],[Sale_Type]]="Buffet",1,0)</f>
        <v>0</v>
      </c>
    </row>
    <row r="1884" spans="1:13" x14ac:dyDescent="0.2">
      <c r="A1884" t="s">
        <v>2157</v>
      </c>
      <c r="B1884" t="s">
        <v>70</v>
      </c>
      <c r="C1884" s="1">
        <v>46018</v>
      </c>
      <c r="D1884" t="s">
        <v>127</v>
      </c>
      <c r="E1884" t="s">
        <v>14</v>
      </c>
      <c r="F1884" t="s">
        <v>24</v>
      </c>
      <c r="G1884" t="s">
        <v>16</v>
      </c>
      <c r="H1884">
        <v>3</v>
      </c>
      <c r="I1884">
        <v>96.73</v>
      </c>
      <c r="J1884" t="s">
        <v>17</v>
      </c>
      <c r="K1884" t="s">
        <v>18</v>
      </c>
      <c r="L1884">
        <f>WEEKDAY(Table1[[#This Row],[Transaction_Date]],2)</f>
        <v>6</v>
      </c>
      <c r="M1884">
        <f>IF(Table1[[#This Row],[Sale_Type]]="Buffet",1,0)</f>
        <v>0</v>
      </c>
    </row>
    <row r="1885" spans="1:13" x14ac:dyDescent="0.2">
      <c r="A1885" t="s">
        <v>2158</v>
      </c>
      <c r="B1885" t="s">
        <v>429</v>
      </c>
      <c r="C1885" s="1">
        <v>46018</v>
      </c>
      <c r="D1885" t="s">
        <v>127</v>
      </c>
      <c r="E1885" t="s">
        <v>14</v>
      </c>
      <c r="F1885" t="s">
        <v>24</v>
      </c>
      <c r="G1885" t="s">
        <v>16</v>
      </c>
      <c r="H1885">
        <v>5</v>
      </c>
      <c r="I1885">
        <v>236.25</v>
      </c>
      <c r="J1885" t="s">
        <v>34</v>
      </c>
      <c r="K1885" t="s">
        <v>18</v>
      </c>
      <c r="L1885">
        <f>WEEKDAY(Table1[[#This Row],[Transaction_Date]],2)</f>
        <v>6</v>
      </c>
      <c r="M1885">
        <f>IF(Table1[[#This Row],[Sale_Type]]="Buffet",1,0)</f>
        <v>0</v>
      </c>
    </row>
    <row r="1886" spans="1:13" x14ac:dyDescent="0.2">
      <c r="A1886" t="s">
        <v>2159</v>
      </c>
      <c r="B1886" t="s">
        <v>392</v>
      </c>
      <c r="C1886" s="1">
        <v>46018</v>
      </c>
      <c r="D1886" t="s">
        <v>127</v>
      </c>
      <c r="E1886" t="s">
        <v>14</v>
      </c>
      <c r="F1886" t="s">
        <v>24</v>
      </c>
      <c r="G1886" t="s">
        <v>16</v>
      </c>
      <c r="H1886">
        <v>3</v>
      </c>
      <c r="I1886">
        <v>88.39</v>
      </c>
      <c r="J1886" t="s">
        <v>28</v>
      </c>
      <c r="K1886" t="s">
        <v>21</v>
      </c>
      <c r="L1886">
        <f>WEEKDAY(Table1[[#This Row],[Transaction_Date]],2)</f>
        <v>6</v>
      </c>
      <c r="M1886">
        <f>IF(Table1[[#This Row],[Sale_Type]]="Buffet",1,0)</f>
        <v>0</v>
      </c>
    </row>
    <row r="1887" spans="1:13" x14ac:dyDescent="0.2">
      <c r="A1887" t="s">
        <v>2160</v>
      </c>
      <c r="B1887" t="s">
        <v>79</v>
      </c>
      <c r="C1887" s="1">
        <v>46018</v>
      </c>
      <c r="D1887" t="s">
        <v>127</v>
      </c>
      <c r="E1887" t="s">
        <v>14</v>
      </c>
      <c r="F1887" t="s">
        <v>24</v>
      </c>
      <c r="G1887" t="s">
        <v>16</v>
      </c>
      <c r="H1887">
        <v>3</v>
      </c>
      <c r="I1887">
        <v>169.09</v>
      </c>
      <c r="J1887" t="s">
        <v>34</v>
      </c>
      <c r="K1887" t="s">
        <v>18</v>
      </c>
      <c r="L1887">
        <f>WEEKDAY(Table1[[#This Row],[Transaction_Date]],2)</f>
        <v>6</v>
      </c>
      <c r="M1887">
        <f>IF(Table1[[#This Row],[Sale_Type]]="Buffet",1,0)</f>
        <v>0</v>
      </c>
    </row>
    <row r="1888" spans="1:13" x14ac:dyDescent="0.2">
      <c r="A1888" t="s">
        <v>2161</v>
      </c>
      <c r="B1888" t="s">
        <v>242</v>
      </c>
      <c r="C1888" s="1">
        <v>46018</v>
      </c>
      <c r="D1888" t="s">
        <v>127</v>
      </c>
      <c r="E1888" t="s">
        <v>14</v>
      </c>
      <c r="F1888" t="s">
        <v>27</v>
      </c>
      <c r="G1888" t="s">
        <v>16</v>
      </c>
      <c r="H1888">
        <v>3</v>
      </c>
      <c r="I1888">
        <v>64.78</v>
      </c>
      <c r="J1888" t="s">
        <v>17</v>
      </c>
      <c r="K1888" t="s">
        <v>18</v>
      </c>
      <c r="L1888">
        <f>WEEKDAY(Table1[[#This Row],[Transaction_Date]],2)</f>
        <v>6</v>
      </c>
      <c r="M1888">
        <f>IF(Table1[[#This Row],[Sale_Type]]="Buffet",1,0)</f>
        <v>0</v>
      </c>
    </row>
    <row r="1889" spans="1:13" x14ac:dyDescent="0.2">
      <c r="A1889" t="s">
        <v>2162</v>
      </c>
      <c r="B1889" t="s">
        <v>471</v>
      </c>
      <c r="C1889" s="1">
        <v>46018</v>
      </c>
      <c r="D1889" t="s">
        <v>127</v>
      </c>
      <c r="E1889" t="s">
        <v>14</v>
      </c>
      <c r="F1889" t="s">
        <v>27</v>
      </c>
      <c r="G1889" t="s">
        <v>16</v>
      </c>
      <c r="H1889">
        <v>2</v>
      </c>
      <c r="I1889">
        <v>46.43</v>
      </c>
      <c r="J1889" t="s">
        <v>34</v>
      </c>
      <c r="K1889" t="s">
        <v>18</v>
      </c>
      <c r="L1889">
        <f>WEEKDAY(Table1[[#This Row],[Transaction_Date]],2)</f>
        <v>6</v>
      </c>
      <c r="M1889">
        <f>IF(Table1[[#This Row],[Sale_Type]]="Buffet",1,0)</f>
        <v>0</v>
      </c>
    </row>
    <row r="1890" spans="1:13" x14ac:dyDescent="0.2">
      <c r="A1890" t="s">
        <v>2163</v>
      </c>
      <c r="B1890" t="s">
        <v>337</v>
      </c>
      <c r="C1890" s="1">
        <v>46018</v>
      </c>
      <c r="D1890" t="s">
        <v>127</v>
      </c>
      <c r="E1890" t="s">
        <v>14</v>
      </c>
      <c r="F1890" t="s">
        <v>27</v>
      </c>
      <c r="G1890" t="s">
        <v>16</v>
      </c>
      <c r="H1890">
        <v>3</v>
      </c>
      <c r="I1890">
        <v>136.75</v>
      </c>
      <c r="J1890" t="s">
        <v>17</v>
      </c>
      <c r="K1890" t="s">
        <v>18</v>
      </c>
      <c r="L1890">
        <f>WEEKDAY(Table1[[#This Row],[Transaction_Date]],2)</f>
        <v>6</v>
      </c>
      <c r="M1890">
        <f>IF(Table1[[#This Row],[Sale_Type]]="Buffet",1,0)</f>
        <v>0</v>
      </c>
    </row>
    <row r="1891" spans="1:13" x14ac:dyDescent="0.2">
      <c r="A1891" t="s">
        <v>2164</v>
      </c>
      <c r="B1891" t="s">
        <v>512</v>
      </c>
      <c r="C1891" s="1">
        <v>46018</v>
      </c>
      <c r="D1891" t="s">
        <v>127</v>
      </c>
      <c r="E1891" t="s">
        <v>14</v>
      </c>
      <c r="F1891" t="s">
        <v>27</v>
      </c>
      <c r="G1891" t="s">
        <v>16</v>
      </c>
      <c r="H1891">
        <v>4</v>
      </c>
      <c r="I1891">
        <v>199.62</v>
      </c>
      <c r="J1891" t="s">
        <v>28</v>
      </c>
      <c r="K1891" t="s">
        <v>18</v>
      </c>
      <c r="L1891">
        <f>WEEKDAY(Table1[[#This Row],[Transaction_Date]],2)</f>
        <v>6</v>
      </c>
      <c r="M1891">
        <f>IF(Table1[[#This Row],[Sale_Type]]="Buffet",1,0)</f>
        <v>0</v>
      </c>
    </row>
    <row r="1892" spans="1:13" x14ac:dyDescent="0.2">
      <c r="A1892" t="s">
        <v>2165</v>
      </c>
      <c r="B1892" t="s">
        <v>252</v>
      </c>
      <c r="C1892" s="1">
        <v>46018</v>
      </c>
      <c r="D1892" t="s">
        <v>127</v>
      </c>
      <c r="E1892" t="s">
        <v>14</v>
      </c>
      <c r="F1892" t="s">
        <v>27</v>
      </c>
      <c r="G1892" t="s">
        <v>16</v>
      </c>
      <c r="H1892">
        <v>1</v>
      </c>
      <c r="I1892">
        <v>19.29</v>
      </c>
      <c r="J1892" t="s">
        <v>34</v>
      </c>
      <c r="K1892" t="s">
        <v>18</v>
      </c>
      <c r="L1892">
        <f>WEEKDAY(Table1[[#This Row],[Transaction_Date]],2)</f>
        <v>6</v>
      </c>
      <c r="M1892">
        <f>IF(Table1[[#This Row],[Sale_Type]]="Buffet",1,0)</f>
        <v>0</v>
      </c>
    </row>
    <row r="1893" spans="1:13" x14ac:dyDescent="0.2">
      <c r="A1893" t="s">
        <v>2166</v>
      </c>
      <c r="B1893" t="s">
        <v>454</v>
      </c>
      <c r="C1893" s="1">
        <v>46018</v>
      </c>
      <c r="D1893" t="s">
        <v>127</v>
      </c>
      <c r="E1893" t="s">
        <v>14</v>
      </c>
      <c r="F1893" t="s">
        <v>27</v>
      </c>
      <c r="G1893" t="s">
        <v>16</v>
      </c>
      <c r="H1893">
        <v>4</v>
      </c>
      <c r="I1893">
        <v>63.4</v>
      </c>
      <c r="J1893" t="s">
        <v>28</v>
      </c>
      <c r="K1893" t="s">
        <v>18</v>
      </c>
      <c r="L1893">
        <f>WEEKDAY(Table1[[#This Row],[Transaction_Date]],2)</f>
        <v>6</v>
      </c>
      <c r="M1893">
        <f>IF(Table1[[#This Row],[Sale_Type]]="Buffet",1,0)</f>
        <v>0</v>
      </c>
    </row>
    <row r="1894" spans="1:13" x14ac:dyDescent="0.2">
      <c r="A1894" t="s">
        <v>2167</v>
      </c>
      <c r="B1894" t="s">
        <v>402</v>
      </c>
      <c r="C1894" s="1">
        <v>46018</v>
      </c>
      <c r="D1894" t="s">
        <v>127</v>
      </c>
      <c r="E1894" t="s">
        <v>14</v>
      </c>
      <c r="F1894" t="s">
        <v>27</v>
      </c>
      <c r="G1894" t="s">
        <v>16</v>
      </c>
      <c r="H1894">
        <v>3</v>
      </c>
      <c r="I1894">
        <v>33.6</v>
      </c>
      <c r="J1894" t="s">
        <v>17</v>
      </c>
      <c r="K1894" t="s">
        <v>18</v>
      </c>
      <c r="L1894">
        <f>WEEKDAY(Table1[[#This Row],[Transaction_Date]],2)</f>
        <v>6</v>
      </c>
      <c r="M1894">
        <f>IF(Table1[[#This Row],[Sale_Type]]="Buffet",1,0)</f>
        <v>0</v>
      </c>
    </row>
    <row r="1895" spans="1:13" x14ac:dyDescent="0.2">
      <c r="A1895" t="s">
        <v>2168</v>
      </c>
      <c r="B1895" t="s">
        <v>429</v>
      </c>
      <c r="C1895" s="1">
        <v>46018</v>
      </c>
      <c r="D1895" t="s">
        <v>127</v>
      </c>
      <c r="E1895" t="s">
        <v>14</v>
      </c>
      <c r="F1895" t="s">
        <v>31</v>
      </c>
      <c r="G1895" t="s">
        <v>16</v>
      </c>
      <c r="H1895">
        <v>1</v>
      </c>
      <c r="I1895">
        <v>19.25</v>
      </c>
      <c r="J1895" t="s">
        <v>17</v>
      </c>
      <c r="K1895" t="s">
        <v>21</v>
      </c>
      <c r="L1895">
        <f>WEEKDAY(Table1[[#This Row],[Transaction_Date]],2)</f>
        <v>6</v>
      </c>
      <c r="M1895">
        <f>IF(Table1[[#This Row],[Sale_Type]]="Buffet",1,0)</f>
        <v>0</v>
      </c>
    </row>
    <row r="1896" spans="1:13" x14ac:dyDescent="0.2">
      <c r="A1896" t="s">
        <v>2169</v>
      </c>
      <c r="B1896" t="s">
        <v>56</v>
      </c>
      <c r="C1896" s="1">
        <v>46018</v>
      </c>
      <c r="D1896" t="s">
        <v>127</v>
      </c>
      <c r="E1896" t="s">
        <v>14</v>
      </c>
      <c r="F1896" t="s">
        <v>31</v>
      </c>
      <c r="G1896" t="s">
        <v>16</v>
      </c>
      <c r="H1896">
        <v>4</v>
      </c>
      <c r="I1896">
        <v>121.8</v>
      </c>
      <c r="J1896" t="s">
        <v>17</v>
      </c>
      <c r="K1896" t="s">
        <v>18</v>
      </c>
      <c r="L1896">
        <f>WEEKDAY(Table1[[#This Row],[Transaction_Date]],2)</f>
        <v>6</v>
      </c>
      <c r="M1896">
        <f>IF(Table1[[#This Row],[Sale_Type]]="Buffet",1,0)</f>
        <v>0</v>
      </c>
    </row>
    <row r="1897" spans="1:13" x14ac:dyDescent="0.2">
      <c r="A1897" t="s">
        <v>2170</v>
      </c>
      <c r="B1897" t="s">
        <v>158</v>
      </c>
      <c r="C1897" s="1">
        <v>46018</v>
      </c>
      <c r="D1897" t="s">
        <v>127</v>
      </c>
      <c r="E1897" t="s">
        <v>14</v>
      </c>
      <c r="F1897" t="s">
        <v>31</v>
      </c>
      <c r="G1897" t="s">
        <v>16</v>
      </c>
      <c r="H1897">
        <v>6</v>
      </c>
      <c r="I1897">
        <v>109.25</v>
      </c>
      <c r="J1897" t="s">
        <v>34</v>
      </c>
      <c r="K1897" t="s">
        <v>21</v>
      </c>
      <c r="L1897">
        <f>WEEKDAY(Table1[[#This Row],[Transaction_Date]],2)</f>
        <v>6</v>
      </c>
      <c r="M1897">
        <f>IF(Table1[[#This Row],[Sale_Type]]="Buffet",1,0)</f>
        <v>0</v>
      </c>
    </row>
    <row r="1898" spans="1:13" x14ac:dyDescent="0.2">
      <c r="A1898" t="s">
        <v>2171</v>
      </c>
      <c r="B1898" t="s">
        <v>866</v>
      </c>
      <c r="C1898" s="1">
        <v>46018</v>
      </c>
      <c r="D1898" t="s">
        <v>127</v>
      </c>
      <c r="E1898" t="s">
        <v>14</v>
      </c>
      <c r="F1898" t="s">
        <v>31</v>
      </c>
      <c r="G1898" t="s">
        <v>16</v>
      </c>
      <c r="H1898">
        <v>5</v>
      </c>
      <c r="I1898">
        <v>147.52000000000001</v>
      </c>
      <c r="J1898" t="s">
        <v>17</v>
      </c>
      <c r="K1898" t="s">
        <v>18</v>
      </c>
      <c r="L1898">
        <f>WEEKDAY(Table1[[#This Row],[Transaction_Date]],2)</f>
        <v>6</v>
      </c>
      <c r="M1898">
        <f>IF(Table1[[#This Row],[Sale_Type]]="Buffet",1,0)</f>
        <v>0</v>
      </c>
    </row>
    <row r="1899" spans="1:13" x14ac:dyDescent="0.2">
      <c r="A1899" t="s">
        <v>2172</v>
      </c>
      <c r="B1899" t="s">
        <v>215</v>
      </c>
      <c r="C1899" s="1">
        <v>46018</v>
      </c>
      <c r="D1899" t="s">
        <v>127</v>
      </c>
      <c r="E1899" t="s">
        <v>14</v>
      </c>
      <c r="F1899" t="s">
        <v>31</v>
      </c>
      <c r="G1899" t="s">
        <v>16</v>
      </c>
      <c r="H1899">
        <v>3</v>
      </c>
      <c r="I1899">
        <v>69.67</v>
      </c>
      <c r="J1899" t="s">
        <v>17</v>
      </c>
      <c r="K1899" t="s">
        <v>21</v>
      </c>
      <c r="L1899">
        <f>WEEKDAY(Table1[[#This Row],[Transaction_Date]],2)</f>
        <v>6</v>
      </c>
      <c r="M1899">
        <f>IF(Table1[[#This Row],[Sale_Type]]="Buffet",1,0)</f>
        <v>0</v>
      </c>
    </row>
    <row r="1900" spans="1:13" x14ac:dyDescent="0.2">
      <c r="A1900" t="s">
        <v>2173</v>
      </c>
      <c r="B1900" t="s">
        <v>419</v>
      </c>
      <c r="C1900" s="1">
        <v>46018</v>
      </c>
      <c r="D1900" t="s">
        <v>127</v>
      </c>
      <c r="E1900" t="s">
        <v>14</v>
      </c>
      <c r="F1900" t="s">
        <v>31</v>
      </c>
      <c r="G1900" t="s">
        <v>16</v>
      </c>
      <c r="H1900">
        <v>6</v>
      </c>
      <c r="I1900">
        <v>258.37</v>
      </c>
      <c r="J1900" t="s">
        <v>17</v>
      </c>
      <c r="K1900" t="s">
        <v>18</v>
      </c>
      <c r="L1900">
        <f>WEEKDAY(Table1[[#This Row],[Transaction_Date]],2)</f>
        <v>6</v>
      </c>
      <c r="M1900">
        <f>IF(Table1[[#This Row],[Sale_Type]]="Buffet",1,0)</f>
        <v>0</v>
      </c>
    </row>
    <row r="1901" spans="1:13" x14ac:dyDescent="0.2">
      <c r="A1901" t="s">
        <v>2174</v>
      </c>
      <c r="B1901" t="s">
        <v>372</v>
      </c>
      <c r="C1901" s="1">
        <v>46018</v>
      </c>
      <c r="D1901" t="s">
        <v>127</v>
      </c>
      <c r="E1901" t="s">
        <v>14</v>
      </c>
      <c r="F1901" t="s">
        <v>31</v>
      </c>
      <c r="G1901" t="s">
        <v>16</v>
      </c>
      <c r="H1901">
        <v>2</v>
      </c>
      <c r="I1901">
        <v>52.77</v>
      </c>
      <c r="J1901" t="s">
        <v>34</v>
      </c>
      <c r="K1901" t="s">
        <v>18</v>
      </c>
      <c r="L1901">
        <f>WEEKDAY(Table1[[#This Row],[Transaction_Date]],2)</f>
        <v>6</v>
      </c>
      <c r="M1901">
        <f>IF(Table1[[#This Row],[Sale_Type]]="Buffet",1,0)</f>
        <v>0</v>
      </c>
    </row>
    <row r="1902" spans="1:13" x14ac:dyDescent="0.2">
      <c r="A1902" t="s">
        <v>2175</v>
      </c>
      <c r="B1902" t="s">
        <v>98</v>
      </c>
      <c r="C1902" s="1">
        <v>46018</v>
      </c>
      <c r="D1902" t="s">
        <v>127</v>
      </c>
      <c r="E1902" t="s">
        <v>14</v>
      </c>
      <c r="F1902" t="s">
        <v>31</v>
      </c>
      <c r="G1902" t="s">
        <v>16</v>
      </c>
      <c r="H1902">
        <v>3</v>
      </c>
      <c r="I1902">
        <v>81.819999999999993</v>
      </c>
      <c r="J1902" t="s">
        <v>34</v>
      </c>
      <c r="K1902" t="s">
        <v>18</v>
      </c>
      <c r="L1902">
        <f>WEEKDAY(Table1[[#This Row],[Transaction_Date]],2)</f>
        <v>6</v>
      </c>
      <c r="M1902">
        <f>IF(Table1[[#This Row],[Sale_Type]]="Buffet",1,0)</f>
        <v>0</v>
      </c>
    </row>
    <row r="1903" spans="1:13" x14ac:dyDescent="0.2">
      <c r="A1903" t="s">
        <v>2176</v>
      </c>
      <c r="B1903" t="s">
        <v>483</v>
      </c>
      <c r="C1903" s="1">
        <v>46018</v>
      </c>
      <c r="D1903" t="s">
        <v>127</v>
      </c>
      <c r="E1903" t="s">
        <v>14</v>
      </c>
      <c r="F1903" t="s">
        <v>40</v>
      </c>
      <c r="G1903" t="s">
        <v>16</v>
      </c>
      <c r="H1903">
        <v>6</v>
      </c>
      <c r="I1903">
        <v>147.62</v>
      </c>
      <c r="J1903" t="s">
        <v>17</v>
      </c>
      <c r="K1903" t="s">
        <v>18</v>
      </c>
      <c r="L1903">
        <f>WEEKDAY(Table1[[#This Row],[Transaction_Date]],2)</f>
        <v>6</v>
      </c>
      <c r="M1903">
        <f>IF(Table1[[#This Row],[Sale_Type]]="Buffet",1,0)</f>
        <v>0</v>
      </c>
    </row>
    <row r="1904" spans="1:13" x14ac:dyDescent="0.2">
      <c r="A1904" t="s">
        <v>2177</v>
      </c>
      <c r="B1904" t="s">
        <v>198</v>
      </c>
      <c r="C1904" s="1">
        <v>46018</v>
      </c>
      <c r="D1904" t="s">
        <v>127</v>
      </c>
      <c r="E1904" t="s">
        <v>14</v>
      </c>
      <c r="F1904" t="s">
        <v>40</v>
      </c>
      <c r="G1904" t="s">
        <v>16</v>
      </c>
      <c r="H1904">
        <v>6</v>
      </c>
      <c r="I1904">
        <v>88.52</v>
      </c>
      <c r="J1904" t="s">
        <v>17</v>
      </c>
      <c r="K1904" t="s">
        <v>21</v>
      </c>
      <c r="L1904">
        <f>WEEKDAY(Table1[[#This Row],[Transaction_Date]],2)</f>
        <v>6</v>
      </c>
      <c r="M1904">
        <f>IF(Table1[[#This Row],[Sale_Type]]="Buffet",1,0)</f>
        <v>0</v>
      </c>
    </row>
    <row r="1905" spans="1:13" x14ac:dyDescent="0.2">
      <c r="A1905" t="s">
        <v>2178</v>
      </c>
      <c r="B1905" t="s">
        <v>429</v>
      </c>
      <c r="C1905" s="1">
        <v>46018</v>
      </c>
      <c r="D1905" t="s">
        <v>127</v>
      </c>
      <c r="E1905" t="s">
        <v>14</v>
      </c>
      <c r="F1905" t="s">
        <v>40</v>
      </c>
      <c r="G1905" t="s">
        <v>16</v>
      </c>
      <c r="H1905">
        <v>4</v>
      </c>
      <c r="I1905">
        <v>94.54</v>
      </c>
      <c r="J1905" t="s">
        <v>17</v>
      </c>
      <c r="K1905" t="s">
        <v>18</v>
      </c>
      <c r="L1905">
        <f>WEEKDAY(Table1[[#This Row],[Transaction_Date]],2)</f>
        <v>6</v>
      </c>
      <c r="M1905">
        <f>IF(Table1[[#This Row],[Sale_Type]]="Buffet",1,0)</f>
        <v>0</v>
      </c>
    </row>
    <row r="1906" spans="1:13" x14ac:dyDescent="0.2">
      <c r="A1906" t="s">
        <v>2179</v>
      </c>
      <c r="B1906" t="s">
        <v>182</v>
      </c>
      <c r="C1906" s="1">
        <v>46018</v>
      </c>
      <c r="D1906" t="s">
        <v>127</v>
      </c>
      <c r="E1906" t="s">
        <v>14</v>
      </c>
      <c r="F1906" t="s">
        <v>40</v>
      </c>
      <c r="G1906" t="s">
        <v>16</v>
      </c>
      <c r="H1906">
        <v>5</v>
      </c>
      <c r="I1906">
        <v>102.07</v>
      </c>
      <c r="J1906" t="s">
        <v>34</v>
      </c>
      <c r="K1906" t="s">
        <v>18</v>
      </c>
      <c r="L1906">
        <f>WEEKDAY(Table1[[#This Row],[Transaction_Date]],2)</f>
        <v>6</v>
      </c>
      <c r="M1906">
        <f>IF(Table1[[#This Row],[Sale_Type]]="Buffet",1,0)</f>
        <v>0</v>
      </c>
    </row>
    <row r="1907" spans="1:13" x14ac:dyDescent="0.2">
      <c r="A1907" t="s">
        <v>2180</v>
      </c>
      <c r="B1907" t="s">
        <v>219</v>
      </c>
      <c r="C1907" s="1">
        <v>46018</v>
      </c>
      <c r="D1907" t="s">
        <v>127</v>
      </c>
      <c r="E1907" t="s">
        <v>14</v>
      </c>
      <c r="F1907" t="s">
        <v>40</v>
      </c>
      <c r="G1907" t="s">
        <v>16</v>
      </c>
      <c r="H1907">
        <v>6</v>
      </c>
      <c r="I1907">
        <v>126.76</v>
      </c>
      <c r="J1907" t="s">
        <v>28</v>
      </c>
      <c r="K1907" t="s">
        <v>18</v>
      </c>
      <c r="L1907">
        <f>WEEKDAY(Table1[[#This Row],[Transaction_Date]],2)</f>
        <v>6</v>
      </c>
      <c r="M1907">
        <f>IF(Table1[[#This Row],[Sale_Type]]="Buffet",1,0)</f>
        <v>0</v>
      </c>
    </row>
    <row r="1908" spans="1:13" x14ac:dyDescent="0.2">
      <c r="A1908" t="s">
        <v>2181</v>
      </c>
      <c r="B1908" t="s">
        <v>158</v>
      </c>
      <c r="C1908" s="1">
        <v>46018</v>
      </c>
      <c r="D1908" t="s">
        <v>127</v>
      </c>
      <c r="E1908" t="s">
        <v>14</v>
      </c>
      <c r="F1908" t="s">
        <v>40</v>
      </c>
      <c r="G1908" t="s">
        <v>16</v>
      </c>
      <c r="H1908">
        <v>1</v>
      </c>
      <c r="I1908">
        <v>29.42</v>
      </c>
      <c r="J1908" t="s">
        <v>28</v>
      </c>
      <c r="K1908" t="s">
        <v>18</v>
      </c>
      <c r="L1908">
        <f>WEEKDAY(Table1[[#This Row],[Transaction_Date]],2)</f>
        <v>6</v>
      </c>
      <c r="M1908">
        <f>IF(Table1[[#This Row],[Sale_Type]]="Buffet",1,0)</f>
        <v>0</v>
      </c>
    </row>
    <row r="1909" spans="1:13" x14ac:dyDescent="0.2">
      <c r="A1909" t="s">
        <v>2182</v>
      </c>
      <c r="B1909" t="s">
        <v>56</v>
      </c>
      <c r="C1909" s="1">
        <v>46018</v>
      </c>
      <c r="D1909" t="s">
        <v>127</v>
      </c>
      <c r="E1909" t="s">
        <v>43</v>
      </c>
      <c r="F1909" t="s">
        <v>50</v>
      </c>
      <c r="G1909" t="s">
        <v>16</v>
      </c>
      <c r="H1909">
        <v>2</v>
      </c>
      <c r="I1909">
        <v>28.55</v>
      </c>
      <c r="J1909" t="s">
        <v>28</v>
      </c>
      <c r="K1909" t="s">
        <v>18</v>
      </c>
      <c r="L1909">
        <f>WEEKDAY(Table1[[#This Row],[Transaction_Date]],2)</f>
        <v>6</v>
      </c>
      <c r="M1909">
        <f>IF(Table1[[#This Row],[Sale_Type]]="Buffet",1,0)</f>
        <v>0</v>
      </c>
    </row>
    <row r="1910" spans="1:13" x14ac:dyDescent="0.2">
      <c r="A1910" t="s">
        <v>2183</v>
      </c>
      <c r="B1910" t="s">
        <v>329</v>
      </c>
      <c r="C1910" s="1">
        <v>46019</v>
      </c>
      <c r="D1910" t="s">
        <v>171</v>
      </c>
      <c r="E1910" t="s">
        <v>14</v>
      </c>
      <c r="F1910" t="s">
        <v>15</v>
      </c>
      <c r="G1910" t="s">
        <v>16</v>
      </c>
      <c r="H1910">
        <v>5</v>
      </c>
      <c r="I1910">
        <v>88.94</v>
      </c>
      <c r="J1910" t="s">
        <v>17</v>
      </c>
      <c r="K1910" t="s">
        <v>21</v>
      </c>
      <c r="L1910">
        <f>WEEKDAY(Table1[[#This Row],[Transaction_Date]],2)</f>
        <v>7</v>
      </c>
      <c r="M1910">
        <f>IF(Table1[[#This Row],[Sale_Type]]="Buffet",1,0)</f>
        <v>0</v>
      </c>
    </row>
    <row r="1911" spans="1:13" x14ac:dyDescent="0.2">
      <c r="A1911" t="s">
        <v>2184</v>
      </c>
      <c r="B1911" t="s">
        <v>156</v>
      </c>
      <c r="C1911" s="1">
        <v>46019</v>
      </c>
      <c r="D1911" t="s">
        <v>171</v>
      </c>
      <c r="E1911" t="s">
        <v>14</v>
      </c>
      <c r="F1911" t="s">
        <v>15</v>
      </c>
      <c r="G1911" t="s">
        <v>16</v>
      </c>
      <c r="H1911">
        <v>5</v>
      </c>
      <c r="I1911">
        <v>185.91</v>
      </c>
      <c r="J1911" t="s">
        <v>34</v>
      </c>
      <c r="K1911" t="s">
        <v>18</v>
      </c>
      <c r="L1911">
        <f>WEEKDAY(Table1[[#This Row],[Transaction_Date]],2)</f>
        <v>7</v>
      </c>
      <c r="M1911">
        <f>IF(Table1[[#This Row],[Sale_Type]]="Buffet",1,0)</f>
        <v>0</v>
      </c>
    </row>
    <row r="1912" spans="1:13" x14ac:dyDescent="0.2">
      <c r="A1912" t="s">
        <v>2185</v>
      </c>
      <c r="B1912" t="s">
        <v>102</v>
      </c>
      <c r="C1912" s="1">
        <v>46019</v>
      </c>
      <c r="D1912" t="s">
        <v>171</v>
      </c>
      <c r="E1912" t="s">
        <v>14</v>
      </c>
      <c r="F1912" t="s">
        <v>15</v>
      </c>
      <c r="G1912" t="s">
        <v>16</v>
      </c>
      <c r="H1912">
        <v>2</v>
      </c>
      <c r="I1912">
        <v>68.38</v>
      </c>
      <c r="J1912" t="s">
        <v>28</v>
      </c>
      <c r="K1912" t="s">
        <v>18</v>
      </c>
      <c r="L1912">
        <f>WEEKDAY(Table1[[#This Row],[Transaction_Date]],2)</f>
        <v>7</v>
      </c>
      <c r="M1912">
        <f>IF(Table1[[#This Row],[Sale_Type]]="Buffet",1,0)</f>
        <v>0</v>
      </c>
    </row>
    <row r="1913" spans="1:13" x14ac:dyDescent="0.2">
      <c r="A1913" t="s">
        <v>2186</v>
      </c>
      <c r="B1913" t="s">
        <v>272</v>
      </c>
      <c r="C1913" s="1">
        <v>46019</v>
      </c>
      <c r="D1913" t="s">
        <v>171</v>
      </c>
      <c r="E1913" t="s">
        <v>14</v>
      </c>
      <c r="F1913" t="s">
        <v>15</v>
      </c>
      <c r="G1913" t="s">
        <v>16</v>
      </c>
      <c r="H1913">
        <v>3</v>
      </c>
      <c r="I1913">
        <v>189.51</v>
      </c>
      <c r="J1913" t="s">
        <v>17</v>
      </c>
      <c r="K1913" t="s">
        <v>18</v>
      </c>
      <c r="L1913">
        <f>WEEKDAY(Table1[[#This Row],[Transaction_Date]],2)</f>
        <v>7</v>
      </c>
      <c r="M1913">
        <f>IF(Table1[[#This Row],[Sale_Type]]="Buffet",1,0)</f>
        <v>0</v>
      </c>
    </row>
    <row r="1914" spans="1:13" x14ac:dyDescent="0.2">
      <c r="A1914" t="s">
        <v>2187</v>
      </c>
      <c r="B1914" t="s">
        <v>1067</v>
      </c>
      <c r="C1914" s="1">
        <v>46019</v>
      </c>
      <c r="D1914" t="s">
        <v>171</v>
      </c>
      <c r="E1914" t="s">
        <v>14</v>
      </c>
      <c r="F1914" t="s">
        <v>24</v>
      </c>
      <c r="G1914" t="s">
        <v>16</v>
      </c>
      <c r="H1914">
        <v>1</v>
      </c>
      <c r="I1914">
        <v>18.309999999999999</v>
      </c>
      <c r="J1914" t="s">
        <v>17</v>
      </c>
      <c r="K1914" t="s">
        <v>21</v>
      </c>
      <c r="L1914">
        <f>WEEKDAY(Table1[[#This Row],[Transaction_Date]],2)</f>
        <v>7</v>
      </c>
      <c r="M1914">
        <f>IF(Table1[[#This Row],[Sale_Type]]="Buffet",1,0)</f>
        <v>0</v>
      </c>
    </row>
    <row r="1915" spans="1:13" x14ac:dyDescent="0.2">
      <c r="A1915" t="s">
        <v>2188</v>
      </c>
      <c r="B1915" t="s">
        <v>758</v>
      </c>
      <c r="C1915" s="1">
        <v>46019</v>
      </c>
      <c r="D1915" t="s">
        <v>171</v>
      </c>
      <c r="E1915" t="s">
        <v>14</v>
      </c>
      <c r="F1915" t="s">
        <v>24</v>
      </c>
      <c r="G1915" t="s">
        <v>16</v>
      </c>
      <c r="H1915">
        <v>6</v>
      </c>
      <c r="I1915">
        <v>164.01</v>
      </c>
      <c r="J1915" t="s">
        <v>17</v>
      </c>
      <c r="K1915" t="s">
        <v>18</v>
      </c>
      <c r="L1915">
        <f>WEEKDAY(Table1[[#This Row],[Transaction_Date]],2)</f>
        <v>7</v>
      </c>
      <c r="M1915">
        <f>IF(Table1[[#This Row],[Sale_Type]]="Buffet",1,0)</f>
        <v>0</v>
      </c>
    </row>
    <row r="1916" spans="1:13" x14ac:dyDescent="0.2">
      <c r="A1916" t="s">
        <v>2189</v>
      </c>
      <c r="B1916" t="s">
        <v>198</v>
      </c>
      <c r="C1916" s="1">
        <v>46019</v>
      </c>
      <c r="D1916" t="s">
        <v>171</v>
      </c>
      <c r="E1916" t="s">
        <v>14</v>
      </c>
      <c r="F1916" t="s">
        <v>24</v>
      </c>
      <c r="G1916" t="s">
        <v>16</v>
      </c>
      <c r="H1916">
        <v>3</v>
      </c>
      <c r="I1916">
        <v>55.71</v>
      </c>
      <c r="J1916" t="s">
        <v>34</v>
      </c>
      <c r="K1916" t="s">
        <v>18</v>
      </c>
      <c r="L1916">
        <f>WEEKDAY(Table1[[#This Row],[Transaction_Date]],2)</f>
        <v>7</v>
      </c>
      <c r="M1916">
        <f>IF(Table1[[#This Row],[Sale_Type]]="Buffet",1,0)</f>
        <v>0</v>
      </c>
    </row>
    <row r="1917" spans="1:13" x14ac:dyDescent="0.2">
      <c r="A1917" t="s">
        <v>2190</v>
      </c>
      <c r="B1917" t="s">
        <v>471</v>
      </c>
      <c r="C1917" s="1">
        <v>46019</v>
      </c>
      <c r="D1917" t="s">
        <v>171</v>
      </c>
      <c r="E1917" t="s">
        <v>14</v>
      </c>
      <c r="F1917" t="s">
        <v>24</v>
      </c>
      <c r="G1917" t="s">
        <v>16</v>
      </c>
      <c r="H1917">
        <v>2</v>
      </c>
      <c r="I1917">
        <v>44.03</v>
      </c>
      <c r="J1917" t="s">
        <v>17</v>
      </c>
      <c r="K1917" t="s">
        <v>18</v>
      </c>
      <c r="L1917">
        <f>WEEKDAY(Table1[[#This Row],[Transaction_Date]],2)</f>
        <v>7</v>
      </c>
      <c r="M1917">
        <f>IF(Table1[[#This Row],[Sale_Type]]="Buffet",1,0)</f>
        <v>0</v>
      </c>
    </row>
    <row r="1918" spans="1:13" x14ac:dyDescent="0.2">
      <c r="A1918" t="s">
        <v>2191</v>
      </c>
      <c r="B1918" t="s">
        <v>512</v>
      </c>
      <c r="C1918" s="1">
        <v>46019</v>
      </c>
      <c r="D1918" t="s">
        <v>171</v>
      </c>
      <c r="E1918" t="s">
        <v>14</v>
      </c>
      <c r="F1918" t="s">
        <v>27</v>
      </c>
      <c r="G1918" t="s">
        <v>16</v>
      </c>
      <c r="H1918">
        <v>4</v>
      </c>
      <c r="I1918">
        <v>122.67</v>
      </c>
      <c r="J1918" t="s">
        <v>17</v>
      </c>
      <c r="K1918" t="s">
        <v>18</v>
      </c>
      <c r="L1918">
        <f>WEEKDAY(Table1[[#This Row],[Transaction_Date]],2)</f>
        <v>7</v>
      </c>
      <c r="M1918">
        <f>IF(Table1[[#This Row],[Sale_Type]]="Buffet",1,0)</f>
        <v>0</v>
      </c>
    </row>
    <row r="1919" spans="1:13" x14ac:dyDescent="0.2">
      <c r="A1919" t="s">
        <v>2192</v>
      </c>
      <c r="B1919" t="s">
        <v>129</v>
      </c>
      <c r="C1919" s="1">
        <v>46019</v>
      </c>
      <c r="D1919" t="s">
        <v>171</v>
      </c>
      <c r="E1919" t="s">
        <v>14</v>
      </c>
      <c r="F1919" t="s">
        <v>27</v>
      </c>
      <c r="G1919" t="s">
        <v>16</v>
      </c>
      <c r="H1919">
        <v>3</v>
      </c>
      <c r="I1919">
        <v>122.31</v>
      </c>
      <c r="J1919" t="s">
        <v>28</v>
      </c>
      <c r="K1919" t="s">
        <v>18</v>
      </c>
      <c r="L1919">
        <f>WEEKDAY(Table1[[#This Row],[Transaction_Date]],2)</f>
        <v>7</v>
      </c>
      <c r="M1919">
        <f>IF(Table1[[#This Row],[Sale_Type]]="Buffet",1,0)</f>
        <v>0</v>
      </c>
    </row>
    <row r="1920" spans="1:13" x14ac:dyDescent="0.2">
      <c r="A1920" t="s">
        <v>2193</v>
      </c>
      <c r="B1920" t="s">
        <v>222</v>
      </c>
      <c r="C1920" s="1">
        <v>46019</v>
      </c>
      <c r="D1920" t="s">
        <v>171</v>
      </c>
      <c r="E1920" t="s">
        <v>14</v>
      </c>
      <c r="F1920" t="s">
        <v>27</v>
      </c>
      <c r="G1920" t="s">
        <v>16</v>
      </c>
      <c r="H1920">
        <v>4</v>
      </c>
      <c r="I1920">
        <v>54.94</v>
      </c>
      <c r="J1920" t="s">
        <v>28</v>
      </c>
      <c r="K1920" t="s">
        <v>18</v>
      </c>
      <c r="L1920">
        <f>WEEKDAY(Table1[[#This Row],[Transaction_Date]],2)</f>
        <v>7</v>
      </c>
      <c r="M1920">
        <f>IF(Table1[[#This Row],[Sale_Type]]="Buffet",1,0)</f>
        <v>0</v>
      </c>
    </row>
    <row r="1921" spans="1:13" x14ac:dyDescent="0.2">
      <c r="A1921" t="s">
        <v>2194</v>
      </c>
      <c r="B1921" t="s">
        <v>95</v>
      </c>
      <c r="C1921" s="1">
        <v>46019</v>
      </c>
      <c r="D1921" t="s">
        <v>171</v>
      </c>
      <c r="E1921" t="s">
        <v>14</v>
      </c>
      <c r="F1921" t="s">
        <v>27</v>
      </c>
      <c r="G1921" t="s">
        <v>16</v>
      </c>
      <c r="H1921">
        <v>4</v>
      </c>
      <c r="I1921">
        <v>131.07</v>
      </c>
      <c r="J1921" t="s">
        <v>17</v>
      </c>
      <c r="K1921" t="s">
        <v>18</v>
      </c>
      <c r="L1921">
        <f>WEEKDAY(Table1[[#This Row],[Transaction_Date]],2)</f>
        <v>7</v>
      </c>
      <c r="M1921">
        <f>IF(Table1[[#This Row],[Sale_Type]]="Buffet",1,0)</f>
        <v>0</v>
      </c>
    </row>
    <row r="1922" spans="1:13" x14ac:dyDescent="0.2">
      <c r="A1922" t="s">
        <v>2195</v>
      </c>
      <c r="B1922" t="s">
        <v>309</v>
      </c>
      <c r="C1922" s="1">
        <v>46019</v>
      </c>
      <c r="D1922" t="s">
        <v>171</v>
      </c>
      <c r="E1922" t="s">
        <v>14</v>
      </c>
      <c r="F1922" t="s">
        <v>27</v>
      </c>
      <c r="G1922" t="s">
        <v>16</v>
      </c>
      <c r="H1922">
        <v>1</v>
      </c>
      <c r="I1922">
        <v>19.53</v>
      </c>
      <c r="J1922" t="s">
        <v>34</v>
      </c>
      <c r="K1922" t="s">
        <v>18</v>
      </c>
      <c r="L1922">
        <f>WEEKDAY(Table1[[#This Row],[Transaction_Date]],2)</f>
        <v>7</v>
      </c>
      <c r="M1922">
        <f>IF(Table1[[#This Row],[Sale_Type]]="Buffet",1,0)</f>
        <v>0</v>
      </c>
    </row>
    <row r="1923" spans="1:13" x14ac:dyDescent="0.2">
      <c r="A1923" t="s">
        <v>2196</v>
      </c>
      <c r="B1923" t="s">
        <v>231</v>
      </c>
      <c r="C1923" s="1">
        <v>46019</v>
      </c>
      <c r="D1923" t="s">
        <v>171</v>
      </c>
      <c r="E1923" t="s">
        <v>14</v>
      </c>
      <c r="F1923" t="s">
        <v>27</v>
      </c>
      <c r="G1923" t="s">
        <v>16</v>
      </c>
      <c r="H1923">
        <v>1</v>
      </c>
      <c r="I1923">
        <v>28.56</v>
      </c>
      <c r="J1923" t="s">
        <v>17</v>
      </c>
      <c r="K1923" t="s">
        <v>21</v>
      </c>
      <c r="L1923">
        <f>WEEKDAY(Table1[[#This Row],[Transaction_Date]],2)</f>
        <v>7</v>
      </c>
      <c r="M1923">
        <f>IF(Table1[[#This Row],[Sale_Type]]="Buffet",1,0)</f>
        <v>0</v>
      </c>
    </row>
    <row r="1924" spans="1:13" x14ac:dyDescent="0.2">
      <c r="A1924" t="s">
        <v>2197</v>
      </c>
      <c r="B1924" t="s">
        <v>59</v>
      </c>
      <c r="C1924" s="1">
        <v>46019</v>
      </c>
      <c r="D1924" t="s">
        <v>171</v>
      </c>
      <c r="E1924" t="s">
        <v>14</v>
      </c>
      <c r="F1924" t="s">
        <v>27</v>
      </c>
      <c r="G1924" t="s">
        <v>16</v>
      </c>
      <c r="H1924">
        <v>3</v>
      </c>
      <c r="I1924">
        <v>77.069999999999993</v>
      </c>
      <c r="J1924" t="s">
        <v>17</v>
      </c>
      <c r="K1924" t="s">
        <v>18</v>
      </c>
      <c r="L1924">
        <f>WEEKDAY(Table1[[#This Row],[Transaction_Date]],2)</f>
        <v>7</v>
      </c>
      <c r="M1924">
        <f>IF(Table1[[#This Row],[Sale_Type]]="Buffet",1,0)</f>
        <v>0</v>
      </c>
    </row>
    <row r="1925" spans="1:13" x14ac:dyDescent="0.2">
      <c r="A1925" t="s">
        <v>2198</v>
      </c>
      <c r="B1925" t="s">
        <v>122</v>
      </c>
      <c r="C1925" s="1">
        <v>46019</v>
      </c>
      <c r="D1925" t="s">
        <v>171</v>
      </c>
      <c r="E1925" t="s">
        <v>14</v>
      </c>
      <c r="F1925" t="s">
        <v>27</v>
      </c>
      <c r="G1925" t="s">
        <v>16</v>
      </c>
      <c r="H1925">
        <v>3</v>
      </c>
      <c r="I1925">
        <v>66.010000000000005</v>
      </c>
      <c r="J1925" t="s">
        <v>17</v>
      </c>
      <c r="K1925" t="s">
        <v>18</v>
      </c>
      <c r="L1925">
        <f>WEEKDAY(Table1[[#This Row],[Transaction_Date]],2)</f>
        <v>7</v>
      </c>
      <c r="M1925">
        <f>IF(Table1[[#This Row],[Sale_Type]]="Buffet",1,0)</f>
        <v>0</v>
      </c>
    </row>
    <row r="1926" spans="1:13" x14ac:dyDescent="0.2">
      <c r="A1926" t="s">
        <v>2199</v>
      </c>
      <c r="B1926" t="s">
        <v>154</v>
      </c>
      <c r="C1926" s="1">
        <v>46019</v>
      </c>
      <c r="D1926" t="s">
        <v>171</v>
      </c>
      <c r="E1926" t="s">
        <v>14</v>
      </c>
      <c r="F1926" t="s">
        <v>27</v>
      </c>
      <c r="G1926" t="s">
        <v>16</v>
      </c>
      <c r="H1926">
        <v>1</v>
      </c>
      <c r="I1926">
        <v>14.35</v>
      </c>
      <c r="J1926" t="s">
        <v>28</v>
      </c>
      <c r="K1926" t="s">
        <v>18</v>
      </c>
      <c r="L1926">
        <f>WEEKDAY(Table1[[#This Row],[Transaction_Date]],2)</f>
        <v>7</v>
      </c>
      <c r="M1926">
        <f>IF(Table1[[#This Row],[Sale_Type]]="Buffet",1,0)</f>
        <v>0</v>
      </c>
    </row>
    <row r="1927" spans="1:13" x14ac:dyDescent="0.2">
      <c r="A1927" t="s">
        <v>2200</v>
      </c>
      <c r="B1927" t="s">
        <v>445</v>
      </c>
      <c r="C1927" s="1">
        <v>46019</v>
      </c>
      <c r="D1927" t="s">
        <v>171</v>
      </c>
      <c r="E1927" t="s">
        <v>14</v>
      </c>
      <c r="F1927" t="s">
        <v>27</v>
      </c>
      <c r="G1927" t="s">
        <v>16</v>
      </c>
      <c r="H1927">
        <v>3</v>
      </c>
      <c r="I1927">
        <v>41.93</v>
      </c>
      <c r="J1927" t="s">
        <v>17</v>
      </c>
      <c r="K1927" t="s">
        <v>21</v>
      </c>
      <c r="L1927">
        <f>WEEKDAY(Table1[[#This Row],[Transaction_Date]],2)</f>
        <v>7</v>
      </c>
      <c r="M1927">
        <f>IF(Table1[[#This Row],[Sale_Type]]="Buffet",1,0)</f>
        <v>0</v>
      </c>
    </row>
    <row r="1928" spans="1:13" x14ac:dyDescent="0.2">
      <c r="A1928" t="s">
        <v>2201</v>
      </c>
      <c r="B1928" t="s">
        <v>270</v>
      </c>
      <c r="C1928" s="1">
        <v>46019</v>
      </c>
      <c r="D1928" t="s">
        <v>171</v>
      </c>
      <c r="E1928" t="s">
        <v>14</v>
      </c>
      <c r="F1928" t="s">
        <v>27</v>
      </c>
      <c r="G1928" t="s">
        <v>16</v>
      </c>
      <c r="H1928">
        <v>3</v>
      </c>
      <c r="I1928">
        <v>127.04</v>
      </c>
      <c r="J1928" t="s">
        <v>34</v>
      </c>
      <c r="K1928" t="s">
        <v>21</v>
      </c>
      <c r="L1928">
        <f>WEEKDAY(Table1[[#This Row],[Transaction_Date]],2)</f>
        <v>7</v>
      </c>
      <c r="M1928">
        <f>IF(Table1[[#This Row],[Sale_Type]]="Buffet",1,0)</f>
        <v>0</v>
      </c>
    </row>
    <row r="1929" spans="1:13" x14ac:dyDescent="0.2">
      <c r="A1929" t="s">
        <v>2202</v>
      </c>
      <c r="B1929" t="s">
        <v>518</v>
      </c>
      <c r="C1929" s="1">
        <v>46019</v>
      </c>
      <c r="D1929" t="s">
        <v>171</v>
      </c>
      <c r="E1929" t="s">
        <v>14</v>
      </c>
      <c r="F1929" t="s">
        <v>31</v>
      </c>
      <c r="G1929" t="s">
        <v>16</v>
      </c>
      <c r="H1929">
        <v>4</v>
      </c>
      <c r="I1929">
        <v>90.8</v>
      </c>
      <c r="J1929" t="s">
        <v>17</v>
      </c>
      <c r="K1929" t="s">
        <v>18</v>
      </c>
      <c r="L1929">
        <f>WEEKDAY(Table1[[#This Row],[Transaction_Date]],2)</f>
        <v>7</v>
      </c>
      <c r="M1929">
        <f>IF(Table1[[#This Row],[Sale_Type]]="Buffet",1,0)</f>
        <v>0</v>
      </c>
    </row>
    <row r="1930" spans="1:13" x14ac:dyDescent="0.2">
      <c r="A1930" t="s">
        <v>2203</v>
      </c>
      <c r="B1930" t="s">
        <v>39</v>
      </c>
      <c r="C1930" s="1">
        <v>46019</v>
      </c>
      <c r="D1930" t="s">
        <v>171</v>
      </c>
      <c r="E1930" t="s">
        <v>14</v>
      </c>
      <c r="F1930" t="s">
        <v>31</v>
      </c>
      <c r="G1930" t="s">
        <v>16</v>
      </c>
      <c r="H1930">
        <v>3</v>
      </c>
      <c r="I1930">
        <v>58.74</v>
      </c>
      <c r="J1930" t="s">
        <v>17</v>
      </c>
      <c r="K1930" t="s">
        <v>18</v>
      </c>
      <c r="L1930">
        <f>WEEKDAY(Table1[[#This Row],[Transaction_Date]],2)</f>
        <v>7</v>
      </c>
      <c r="M1930">
        <f>IF(Table1[[#This Row],[Sale_Type]]="Buffet",1,0)</f>
        <v>0</v>
      </c>
    </row>
    <row r="1931" spans="1:13" x14ac:dyDescent="0.2">
      <c r="A1931" t="s">
        <v>2204</v>
      </c>
      <c r="B1931" t="s">
        <v>730</v>
      </c>
      <c r="C1931" s="1">
        <v>46019</v>
      </c>
      <c r="D1931" t="s">
        <v>171</v>
      </c>
      <c r="E1931" t="s">
        <v>14</v>
      </c>
      <c r="F1931" t="s">
        <v>31</v>
      </c>
      <c r="G1931" t="s">
        <v>16</v>
      </c>
      <c r="H1931">
        <v>2</v>
      </c>
      <c r="I1931">
        <v>60.81</v>
      </c>
      <c r="J1931" t="s">
        <v>34</v>
      </c>
      <c r="K1931" t="s">
        <v>18</v>
      </c>
      <c r="L1931">
        <f>WEEKDAY(Table1[[#This Row],[Transaction_Date]],2)</f>
        <v>7</v>
      </c>
      <c r="M1931">
        <f>IF(Table1[[#This Row],[Sale_Type]]="Buffet",1,0)</f>
        <v>0</v>
      </c>
    </row>
    <row r="1932" spans="1:13" x14ac:dyDescent="0.2">
      <c r="A1932" t="s">
        <v>2205</v>
      </c>
      <c r="B1932" t="s">
        <v>1137</v>
      </c>
      <c r="C1932" s="1">
        <v>46019</v>
      </c>
      <c r="D1932" t="s">
        <v>171</v>
      </c>
      <c r="E1932" t="s">
        <v>14</v>
      </c>
      <c r="F1932" t="s">
        <v>31</v>
      </c>
      <c r="G1932" t="s">
        <v>16</v>
      </c>
      <c r="H1932">
        <v>3</v>
      </c>
      <c r="I1932">
        <v>93.22</v>
      </c>
      <c r="J1932" t="s">
        <v>17</v>
      </c>
      <c r="K1932" t="s">
        <v>18</v>
      </c>
      <c r="L1932">
        <f>WEEKDAY(Table1[[#This Row],[Transaction_Date]],2)</f>
        <v>7</v>
      </c>
      <c r="M1932">
        <f>IF(Table1[[#This Row],[Sale_Type]]="Buffet",1,0)</f>
        <v>0</v>
      </c>
    </row>
    <row r="1933" spans="1:13" x14ac:dyDescent="0.2">
      <c r="A1933" t="s">
        <v>2206</v>
      </c>
      <c r="B1933" t="s">
        <v>70</v>
      </c>
      <c r="C1933" s="1">
        <v>46019</v>
      </c>
      <c r="D1933" t="s">
        <v>171</v>
      </c>
      <c r="E1933" t="s">
        <v>14</v>
      </c>
      <c r="F1933" t="s">
        <v>40</v>
      </c>
      <c r="G1933" t="s">
        <v>16</v>
      </c>
      <c r="H1933">
        <v>3</v>
      </c>
      <c r="I1933">
        <v>53.66</v>
      </c>
      <c r="J1933" t="s">
        <v>34</v>
      </c>
      <c r="K1933" t="s">
        <v>18</v>
      </c>
      <c r="L1933">
        <f>WEEKDAY(Table1[[#This Row],[Transaction_Date]],2)</f>
        <v>7</v>
      </c>
      <c r="M1933">
        <f>IF(Table1[[#This Row],[Sale_Type]]="Buffet",1,0)</f>
        <v>0</v>
      </c>
    </row>
    <row r="1934" spans="1:13" x14ac:dyDescent="0.2">
      <c r="A1934" t="s">
        <v>2207</v>
      </c>
      <c r="B1934" t="s">
        <v>493</v>
      </c>
      <c r="C1934" s="1">
        <v>46019</v>
      </c>
      <c r="D1934" t="s">
        <v>171</v>
      </c>
      <c r="E1934" t="s">
        <v>14</v>
      </c>
      <c r="F1934" t="s">
        <v>40</v>
      </c>
      <c r="G1934" t="s">
        <v>16</v>
      </c>
      <c r="H1934">
        <v>1</v>
      </c>
      <c r="I1934">
        <v>22.24</v>
      </c>
      <c r="J1934" t="s">
        <v>28</v>
      </c>
      <c r="K1934" t="s">
        <v>18</v>
      </c>
      <c r="L1934">
        <f>WEEKDAY(Table1[[#This Row],[Transaction_Date]],2)</f>
        <v>7</v>
      </c>
      <c r="M1934">
        <f>IF(Table1[[#This Row],[Sale_Type]]="Buffet",1,0)</f>
        <v>0</v>
      </c>
    </row>
    <row r="1935" spans="1:13" x14ac:dyDescent="0.2">
      <c r="A1935" t="s">
        <v>2208</v>
      </c>
      <c r="B1935" t="s">
        <v>222</v>
      </c>
      <c r="C1935" s="1">
        <v>46019</v>
      </c>
      <c r="D1935" t="s">
        <v>171</v>
      </c>
      <c r="E1935" t="s">
        <v>14</v>
      </c>
      <c r="F1935" t="s">
        <v>40</v>
      </c>
      <c r="G1935" t="s">
        <v>16</v>
      </c>
      <c r="H1935">
        <v>4</v>
      </c>
      <c r="I1935">
        <v>71.069999999999993</v>
      </c>
      <c r="J1935" t="s">
        <v>17</v>
      </c>
      <c r="K1935" t="s">
        <v>18</v>
      </c>
      <c r="L1935">
        <f>WEEKDAY(Table1[[#This Row],[Transaction_Date]],2)</f>
        <v>7</v>
      </c>
      <c r="M1935">
        <f>IF(Table1[[#This Row],[Sale_Type]]="Buffet",1,0)</f>
        <v>0</v>
      </c>
    </row>
    <row r="1936" spans="1:13" x14ac:dyDescent="0.2">
      <c r="A1936" t="s">
        <v>2209</v>
      </c>
      <c r="B1936" t="s">
        <v>204</v>
      </c>
      <c r="C1936" s="1">
        <v>46019</v>
      </c>
      <c r="D1936" t="s">
        <v>171</v>
      </c>
      <c r="E1936" t="s">
        <v>14</v>
      </c>
      <c r="F1936" t="s">
        <v>40</v>
      </c>
      <c r="G1936" t="s">
        <v>16</v>
      </c>
      <c r="H1936">
        <v>2</v>
      </c>
      <c r="I1936">
        <v>57.21</v>
      </c>
      <c r="J1936" t="s">
        <v>28</v>
      </c>
      <c r="K1936" t="s">
        <v>18</v>
      </c>
      <c r="L1936">
        <f>WEEKDAY(Table1[[#This Row],[Transaction_Date]],2)</f>
        <v>7</v>
      </c>
      <c r="M1936">
        <f>IF(Table1[[#This Row],[Sale_Type]]="Buffet",1,0)</f>
        <v>0</v>
      </c>
    </row>
    <row r="1937" spans="1:13" x14ac:dyDescent="0.2">
      <c r="A1937" t="s">
        <v>2210</v>
      </c>
      <c r="B1937" t="s">
        <v>866</v>
      </c>
      <c r="C1937" s="1">
        <v>46019</v>
      </c>
      <c r="D1937" t="s">
        <v>171</v>
      </c>
      <c r="E1937" t="s">
        <v>43</v>
      </c>
      <c r="F1937" t="s">
        <v>44</v>
      </c>
      <c r="G1937" t="s">
        <v>16</v>
      </c>
      <c r="H1937">
        <v>2</v>
      </c>
      <c r="I1937">
        <v>51.03</v>
      </c>
      <c r="J1937" t="s">
        <v>17</v>
      </c>
      <c r="K1937" t="s">
        <v>21</v>
      </c>
      <c r="L1937">
        <f>WEEKDAY(Table1[[#This Row],[Transaction_Date]],2)</f>
        <v>7</v>
      </c>
      <c r="M1937">
        <f>IF(Table1[[#This Row],[Sale_Type]]="Buffet",1,0)</f>
        <v>0</v>
      </c>
    </row>
    <row r="1938" spans="1:13" x14ac:dyDescent="0.2">
      <c r="A1938" t="s">
        <v>2211</v>
      </c>
      <c r="B1938" t="s">
        <v>70</v>
      </c>
      <c r="C1938" s="1">
        <v>46019</v>
      </c>
      <c r="D1938" t="s">
        <v>171</v>
      </c>
      <c r="E1938" t="s">
        <v>43</v>
      </c>
      <c r="F1938" t="s">
        <v>44</v>
      </c>
      <c r="G1938" t="s">
        <v>16</v>
      </c>
      <c r="H1938">
        <v>2</v>
      </c>
      <c r="I1938">
        <v>49.9</v>
      </c>
      <c r="J1938" t="s">
        <v>34</v>
      </c>
      <c r="K1938" t="s">
        <v>18</v>
      </c>
      <c r="L1938">
        <f>WEEKDAY(Table1[[#This Row],[Transaction_Date]],2)</f>
        <v>7</v>
      </c>
      <c r="M1938">
        <f>IF(Table1[[#This Row],[Sale_Type]]="Buffet",1,0)</f>
        <v>0</v>
      </c>
    </row>
    <row r="1939" spans="1:13" x14ac:dyDescent="0.2">
      <c r="A1939" t="s">
        <v>2212</v>
      </c>
      <c r="B1939" t="s">
        <v>684</v>
      </c>
      <c r="C1939" s="1">
        <v>46019</v>
      </c>
      <c r="D1939" t="s">
        <v>171</v>
      </c>
      <c r="E1939" t="s">
        <v>43</v>
      </c>
      <c r="F1939" t="s">
        <v>57</v>
      </c>
      <c r="G1939" t="s">
        <v>16</v>
      </c>
      <c r="H1939">
        <v>2</v>
      </c>
      <c r="I1939">
        <v>61.56</v>
      </c>
      <c r="J1939" t="s">
        <v>34</v>
      </c>
      <c r="K1939" t="s">
        <v>21</v>
      </c>
      <c r="L1939">
        <f>WEEKDAY(Table1[[#This Row],[Transaction_Date]],2)</f>
        <v>7</v>
      </c>
      <c r="M1939">
        <f>IF(Table1[[#This Row],[Sale_Type]]="Buffet",1,0)</f>
        <v>0</v>
      </c>
    </row>
    <row r="1940" spans="1:13" x14ac:dyDescent="0.2">
      <c r="A1940" t="s">
        <v>2213</v>
      </c>
      <c r="B1940" t="s">
        <v>87</v>
      </c>
      <c r="C1940" s="1">
        <v>46019</v>
      </c>
      <c r="D1940" t="s">
        <v>171</v>
      </c>
      <c r="E1940" t="s">
        <v>43</v>
      </c>
      <c r="F1940" t="s">
        <v>57</v>
      </c>
      <c r="G1940" t="s">
        <v>16</v>
      </c>
      <c r="H1940">
        <v>4</v>
      </c>
      <c r="I1940">
        <v>58.98</v>
      </c>
      <c r="J1940" t="s">
        <v>17</v>
      </c>
      <c r="K1940" t="s">
        <v>18</v>
      </c>
      <c r="L1940">
        <f>WEEKDAY(Table1[[#This Row],[Transaction_Date]],2)</f>
        <v>7</v>
      </c>
      <c r="M1940">
        <f>IF(Table1[[#This Row],[Sale_Type]]="Buffet",1,0)</f>
        <v>0</v>
      </c>
    </row>
    <row r="1941" spans="1:13" x14ac:dyDescent="0.2">
      <c r="A1941" t="s">
        <v>2214</v>
      </c>
      <c r="B1941" t="s">
        <v>72</v>
      </c>
      <c r="C1941" s="1">
        <v>46020</v>
      </c>
      <c r="D1941" t="s">
        <v>213</v>
      </c>
      <c r="E1941" t="s">
        <v>14</v>
      </c>
      <c r="F1941" t="s">
        <v>15</v>
      </c>
      <c r="G1941" t="s">
        <v>16</v>
      </c>
      <c r="H1941">
        <v>4</v>
      </c>
      <c r="I1941">
        <v>93.38</v>
      </c>
      <c r="J1941" t="s">
        <v>28</v>
      </c>
      <c r="K1941" t="s">
        <v>18</v>
      </c>
      <c r="L1941">
        <f>WEEKDAY(Table1[[#This Row],[Transaction_Date]],2)</f>
        <v>1</v>
      </c>
      <c r="M1941">
        <f>IF(Table1[[#This Row],[Sale_Type]]="Buffet",1,0)</f>
        <v>0</v>
      </c>
    </row>
    <row r="1942" spans="1:13" x14ac:dyDescent="0.2">
      <c r="A1942" t="s">
        <v>2215</v>
      </c>
      <c r="B1942" t="s">
        <v>493</v>
      </c>
      <c r="C1942" s="1">
        <v>46020</v>
      </c>
      <c r="D1942" t="s">
        <v>213</v>
      </c>
      <c r="E1942" t="s">
        <v>14</v>
      </c>
      <c r="F1942" t="s">
        <v>15</v>
      </c>
      <c r="G1942" t="s">
        <v>16</v>
      </c>
      <c r="H1942">
        <v>1</v>
      </c>
      <c r="I1942">
        <v>31</v>
      </c>
      <c r="J1942" t="s">
        <v>17</v>
      </c>
      <c r="K1942" t="s">
        <v>21</v>
      </c>
      <c r="L1942">
        <f>WEEKDAY(Table1[[#This Row],[Transaction_Date]],2)</f>
        <v>1</v>
      </c>
      <c r="M1942">
        <f>IF(Table1[[#This Row],[Sale_Type]]="Buffet",1,0)</f>
        <v>0</v>
      </c>
    </row>
    <row r="1943" spans="1:13" x14ac:dyDescent="0.2">
      <c r="A1943" t="s">
        <v>2216</v>
      </c>
      <c r="B1943" t="s">
        <v>540</v>
      </c>
      <c r="C1943" s="1">
        <v>46020</v>
      </c>
      <c r="D1943" t="s">
        <v>213</v>
      </c>
      <c r="E1943" t="s">
        <v>14</v>
      </c>
      <c r="F1943" t="s">
        <v>24</v>
      </c>
      <c r="G1943" t="s">
        <v>16</v>
      </c>
      <c r="H1943">
        <v>3</v>
      </c>
      <c r="I1943">
        <v>54.23</v>
      </c>
      <c r="J1943" t="s">
        <v>34</v>
      </c>
      <c r="K1943" t="s">
        <v>18</v>
      </c>
      <c r="L1943">
        <f>WEEKDAY(Table1[[#This Row],[Transaction_Date]],2)</f>
        <v>1</v>
      </c>
      <c r="M1943">
        <f>IF(Table1[[#This Row],[Sale_Type]]="Buffet",1,0)</f>
        <v>0</v>
      </c>
    </row>
    <row r="1944" spans="1:13" x14ac:dyDescent="0.2">
      <c r="A1944" t="s">
        <v>2217</v>
      </c>
      <c r="B1944" t="s">
        <v>447</v>
      </c>
      <c r="C1944" s="1">
        <v>46020</v>
      </c>
      <c r="D1944" t="s">
        <v>213</v>
      </c>
      <c r="E1944" t="s">
        <v>14</v>
      </c>
      <c r="F1944" t="s">
        <v>24</v>
      </c>
      <c r="G1944" t="s">
        <v>16</v>
      </c>
      <c r="H1944">
        <v>1</v>
      </c>
      <c r="I1944">
        <v>29.99</v>
      </c>
      <c r="J1944" t="s">
        <v>34</v>
      </c>
      <c r="K1944" t="s">
        <v>18</v>
      </c>
      <c r="L1944">
        <f>WEEKDAY(Table1[[#This Row],[Transaction_Date]],2)</f>
        <v>1</v>
      </c>
      <c r="M1944">
        <f>IF(Table1[[#This Row],[Sale_Type]]="Buffet",1,0)</f>
        <v>0</v>
      </c>
    </row>
    <row r="1945" spans="1:13" x14ac:dyDescent="0.2">
      <c r="A1945" t="s">
        <v>2218</v>
      </c>
      <c r="B1945" t="s">
        <v>26</v>
      </c>
      <c r="C1945" s="1">
        <v>46020</v>
      </c>
      <c r="D1945" t="s">
        <v>213</v>
      </c>
      <c r="E1945" t="s">
        <v>14</v>
      </c>
      <c r="F1945" t="s">
        <v>24</v>
      </c>
      <c r="G1945" t="s">
        <v>16</v>
      </c>
      <c r="H1945">
        <v>3</v>
      </c>
      <c r="I1945">
        <v>164.68</v>
      </c>
      <c r="J1945" t="s">
        <v>28</v>
      </c>
      <c r="K1945" t="s">
        <v>18</v>
      </c>
      <c r="L1945">
        <f>WEEKDAY(Table1[[#This Row],[Transaction_Date]],2)</f>
        <v>1</v>
      </c>
      <c r="M1945">
        <f>IF(Table1[[#This Row],[Sale_Type]]="Buffet",1,0)</f>
        <v>0</v>
      </c>
    </row>
    <row r="1946" spans="1:13" x14ac:dyDescent="0.2">
      <c r="A1946" t="s">
        <v>2219</v>
      </c>
      <c r="B1946" t="s">
        <v>180</v>
      </c>
      <c r="C1946" s="1">
        <v>46020</v>
      </c>
      <c r="D1946" t="s">
        <v>213</v>
      </c>
      <c r="E1946" t="s">
        <v>14</v>
      </c>
      <c r="F1946" t="s">
        <v>24</v>
      </c>
      <c r="G1946" t="s">
        <v>16</v>
      </c>
      <c r="H1946">
        <v>2</v>
      </c>
      <c r="I1946">
        <v>72.739999999999995</v>
      </c>
      <c r="J1946" t="s">
        <v>34</v>
      </c>
      <c r="K1946" t="s">
        <v>18</v>
      </c>
      <c r="L1946">
        <f>WEEKDAY(Table1[[#This Row],[Transaction_Date]],2)</f>
        <v>1</v>
      </c>
      <c r="M1946">
        <f>IF(Table1[[#This Row],[Sale_Type]]="Buffet",1,0)</f>
        <v>0</v>
      </c>
    </row>
    <row r="1947" spans="1:13" x14ac:dyDescent="0.2">
      <c r="A1947" t="s">
        <v>2220</v>
      </c>
      <c r="B1947" t="s">
        <v>454</v>
      </c>
      <c r="C1947" s="1">
        <v>46020</v>
      </c>
      <c r="D1947" t="s">
        <v>213</v>
      </c>
      <c r="E1947" t="s">
        <v>14</v>
      </c>
      <c r="F1947" t="s">
        <v>27</v>
      </c>
      <c r="G1947" t="s">
        <v>16</v>
      </c>
      <c r="H1947">
        <v>2</v>
      </c>
      <c r="I1947">
        <v>60.07</v>
      </c>
      <c r="J1947" t="s">
        <v>34</v>
      </c>
      <c r="K1947" t="s">
        <v>18</v>
      </c>
      <c r="L1947">
        <f>WEEKDAY(Table1[[#This Row],[Transaction_Date]],2)</f>
        <v>1</v>
      </c>
      <c r="M1947">
        <f>IF(Table1[[#This Row],[Sale_Type]]="Buffet",1,0)</f>
        <v>0</v>
      </c>
    </row>
    <row r="1948" spans="1:13" x14ac:dyDescent="0.2">
      <c r="A1948" t="s">
        <v>2221</v>
      </c>
      <c r="B1948" t="s">
        <v>789</v>
      </c>
      <c r="C1948" s="1">
        <v>46020</v>
      </c>
      <c r="D1948" t="s">
        <v>213</v>
      </c>
      <c r="E1948" t="s">
        <v>14</v>
      </c>
      <c r="F1948" t="s">
        <v>27</v>
      </c>
      <c r="G1948" t="s">
        <v>16</v>
      </c>
      <c r="H1948">
        <v>3</v>
      </c>
      <c r="I1948">
        <v>70.41</v>
      </c>
      <c r="J1948" t="s">
        <v>17</v>
      </c>
      <c r="K1948" t="s">
        <v>18</v>
      </c>
      <c r="L1948">
        <f>WEEKDAY(Table1[[#This Row],[Transaction_Date]],2)</f>
        <v>1</v>
      </c>
      <c r="M1948">
        <f>IF(Table1[[#This Row],[Sale_Type]]="Buffet",1,0)</f>
        <v>0</v>
      </c>
    </row>
    <row r="1949" spans="1:13" x14ac:dyDescent="0.2">
      <c r="A1949" t="s">
        <v>2222</v>
      </c>
      <c r="B1949" t="s">
        <v>433</v>
      </c>
      <c r="C1949" s="1">
        <v>46020</v>
      </c>
      <c r="D1949" t="s">
        <v>213</v>
      </c>
      <c r="E1949" t="s">
        <v>14</v>
      </c>
      <c r="F1949" t="s">
        <v>27</v>
      </c>
      <c r="G1949" t="s">
        <v>16</v>
      </c>
      <c r="H1949">
        <v>3</v>
      </c>
      <c r="I1949">
        <v>91.93</v>
      </c>
      <c r="J1949" t="s">
        <v>17</v>
      </c>
      <c r="K1949" t="s">
        <v>18</v>
      </c>
      <c r="L1949">
        <f>WEEKDAY(Table1[[#This Row],[Transaction_Date]],2)</f>
        <v>1</v>
      </c>
      <c r="M1949">
        <f>IF(Table1[[#This Row],[Sale_Type]]="Buffet",1,0)</f>
        <v>0</v>
      </c>
    </row>
    <row r="1950" spans="1:13" x14ac:dyDescent="0.2">
      <c r="A1950" t="s">
        <v>2223</v>
      </c>
      <c r="B1950" t="s">
        <v>989</v>
      </c>
      <c r="C1950" s="1">
        <v>46020</v>
      </c>
      <c r="D1950" t="s">
        <v>213</v>
      </c>
      <c r="E1950" t="s">
        <v>14</v>
      </c>
      <c r="F1950" t="s">
        <v>27</v>
      </c>
      <c r="G1950" t="s">
        <v>16</v>
      </c>
      <c r="H1950">
        <v>5</v>
      </c>
      <c r="I1950">
        <v>165.81</v>
      </c>
      <c r="J1950" t="s">
        <v>34</v>
      </c>
      <c r="K1950" t="s">
        <v>18</v>
      </c>
      <c r="L1950">
        <f>WEEKDAY(Table1[[#This Row],[Transaction_Date]],2)</f>
        <v>1</v>
      </c>
      <c r="M1950">
        <f>IF(Table1[[#This Row],[Sale_Type]]="Buffet",1,0)</f>
        <v>0</v>
      </c>
    </row>
    <row r="1951" spans="1:13" x14ac:dyDescent="0.2">
      <c r="A1951" t="s">
        <v>2224</v>
      </c>
      <c r="B1951" t="s">
        <v>138</v>
      </c>
      <c r="C1951" s="1">
        <v>46020</v>
      </c>
      <c r="D1951" t="s">
        <v>213</v>
      </c>
      <c r="E1951" t="s">
        <v>14</v>
      </c>
      <c r="F1951" t="s">
        <v>31</v>
      </c>
      <c r="G1951" t="s">
        <v>16</v>
      </c>
      <c r="H1951">
        <v>1</v>
      </c>
      <c r="I1951">
        <v>31.93</v>
      </c>
      <c r="J1951" t="s">
        <v>17</v>
      </c>
      <c r="K1951" t="s">
        <v>18</v>
      </c>
      <c r="L1951">
        <f>WEEKDAY(Table1[[#This Row],[Transaction_Date]],2)</f>
        <v>1</v>
      </c>
      <c r="M1951">
        <f>IF(Table1[[#This Row],[Sale_Type]]="Buffet",1,0)</f>
        <v>0</v>
      </c>
    </row>
    <row r="1952" spans="1:13" x14ac:dyDescent="0.2">
      <c r="A1952" t="s">
        <v>2225</v>
      </c>
      <c r="B1952" t="s">
        <v>194</v>
      </c>
      <c r="C1952" s="1">
        <v>46020</v>
      </c>
      <c r="D1952" t="s">
        <v>213</v>
      </c>
      <c r="E1952" t="s">
        <v>14</v>
      </c>
      <c r="F1952" t="s">
        <v>31</v>
      </c>
      <c r="G1952" t="s">
        <v>16</v>
      </c>
      <c r="H1952">
        <v>1</v>
      </c>
      <c r="I1952">
        <v>31.24</v>
      </c>
      <c r="J1952" t="s">
        <v>34</v>
      </c>
      <c r="K1952" t="s">
        <v>18</v>
      </c>
      <c r="L1952">
        <f>WEEKDAY(Table1[[#This Row],[Transaction_Date]],2)</f>
        <v>1</v>
      </c>
      <c r="M1952">
        <f>IF(Table1[[#This Row],[Sale_Type]]="Buffet",1,0)</f>
        <v>0</v>
      </c>
    </row>
    <row r="1953" spans="1:13" x14ac:dyDescent="0.2">
      <c r="A1953" t="s">
        <v>2226</v>
      </c>
      <c r="B1953" t="s">
        <v>95</v>
      </c>
      <c r="C1953" s="1">
        <v>46020</v>
      </c>
      <c r="D1953" t="s">
        <v>213</v>
      </c>
      <c r="E1953" t="s">
        <v>14</v>
      </c>
      <c r="F1953" t="s">
        <v>31</v>
      </c>
      <c r="G1953" t="s">
        <v>16</v>
      </c>
      <c r="H1953">
        <v>3</v>
      </c>
      <c r="I1953">
        <v>61.51</v>
      </c>
      <c r="J1953" t="s">
        <v>28</v>
      </c>
      <c r="K1953" t="s">
        <v>18</v>
      </c>
      <c r="L1953">
        <f>WEEKDAY(Table1[[#This Row],[Transaction_Date]],2)</f>
        <v>1</v>
      </c>
      <c r="M1953">
        <f>IF(Table1[[#This Row],[Sale_Type]]="Buffet",1,0)</f>
        <v>0</v>
      </c>
    </row>
    <row r="1954" spans="1:13" x14ac:dyDescent="0.2">
      <c r="A1954" t="s">
        <v>2227</v>
      </c>
      <c r="B1954" t="s">
        <v>591</v>
      </c>
      <c r="C1954" s="1">
        <v>46020</v>
      </c>
      <c r="D1954" t="s">
        <v>213</v>
      </c>
      <c r="E1954" t="s">
        <v>14</v>
      </c>
      <c r="F1954" t="s">
        <v>31</v>
      </c>
      <c r="G1954" t="s">
        <v>16</v>
      </c>
      <c r="H1954">
        <v>5</v>
      </c>
      <c r="I1954">
        <v>198.48</v>
      </c>
      <c r="J1954" t="s">
        <v>17</v>
      </c>
      <c r="K1954" t="s">
        <v>18</v>
      </c>
      <c r="L1954">
        <f>WEEKDAY(Table1[[#This Row],[Transaction_Date]],2)</f>
        <v>1</v>
      </c>
      <c r="M1954">
        <f>IF(Table1[[#This Row],[Sale_Type]]="Buffet",1,0)</f>
        <v>0</v>
      </c>
    </row>
    <row r="1955" spans="1:13" x14ac:dyDescent="0.2">
      <c r="A1955" t="s">
        <v>2228</v>
      </c>
      <c r="B1955" t="s">
        <v>404</v>
      </c>
      <c r="C1955" s="1">
        <v>46020</v>
      </c>
      <c r="D1955" t="s">
        <v>213</v>
      </c>
      <c r="E1955" t="s">
        <v>14</v>
      </c>
      <c r="F1955" t="s">
        <v>40</v>
      </c>
      <c r="G1955" t="s">
        <v>16</v>
      </c>
      <c r="H1955">
        <v>4</v>
      </c>
      <c r="I1955">
        <v>123.39</v>
      </c>
      <c r="J1955" t="s">
        <v>34</v>
      </c>
      <c r="K1955" t="s">
        <v>21</v>
      </c>
      <c r="L1955">
        <f>WEEKDAY(Table1[[#This Row],[Transaction_Date]],2)</f>
        <v>1</v>
      </c>
      <c r="M1955">
        <f>IF(Table1[[#This Row],[Sale_Type]]="Buffet",1,0)</f>
        <v>0</v>
      </c>
    </row>
    <row r="1956" spans="1:13" x14ac:dyDescent="0.2">
      <c r="A1956" t="s">
        <v>2229</v>
      </c>
      <c r="B1956" t="s">
        <v>390</v>
      </c>
      <c r="C1956" s="1">
        <v>46020</v>
      </c>
      <c r="D1956" t="s">
        <v>213</v>
      </c>
      <c r="E1956" t="s">
        <v>43</v>
      </c>
      <c r="F1956" t="s">
        <v>44</v>
      </c>
      <c r="G1956" t="s">
        <v>16</v>
      </c>
      <c r="H1956">
        <v>1</v>
      </c>
      <c r="I1956">
        <v>16.93</v>
      </c>
      <c r="J1956" t="s">
        <v>28</v>
      </c>
      <c r="K1956" t="s">
        <v>21</v>
      </c>
      <c r="L1956">
        <f>WEEKDAY(Table1[[#This Row],[Transaction_Date]],2)</f>
        <v>1</v>
      </c>
      <c r="M1956">
        <f>IF(Table1[[#This Row],[Sale_Type]]="Buffet",1,0)</f>
        <v>0</v>
      </c>
    </row>
    <row r="1957" spans="1:13" x14ac:dyDescent="0.2">
      <c r="A1957" t="s">
        <v>2230</v>
      </c>
      <c r="B1957" t="s">
        <v>624</v>
      </c>
      <c r="C1957" s="1">
        <v>46020</v>
      </c>
      <c r="D1957" t="s">
        <v>213</v>
      </c>
      <c r="E1957" t="s">
        <v>43</v>
      </c>
      <c r="F1957" t="s">
        <v>44</v>
      </c>
      <c r="G1957" t="s">
        <v>16</v>
      </c>
      <c r="H1957">
        <v>4</v>
      </c>
      <c r="I1957">
        <v>60.38</v>
      </c>
      <c r="J1957" t="s">
        <v>17</v>
      </c>
      <c r="K1957" t="s">
        <v>18</v>
      </c>
      <c r="L1957">
        <f>WEEKDAY(Table1[[#This Row],[Transaction_Date]],2)</f>
        <v>1</v>
      </c>
      <c r="M1957">
        <f>IF(Table1[[#This Row],[Sale_Type]]="Buffet",1,0)</f>
        <v>0</v>
      </c>
    </row>
    <row r="1958" spans="1:13" x14ac:dyDescent="0.2">
      <c r="A1958" t="s">
        <v>2231</v>
      </c>
      <c r="B1958" t="s">
        <v>109</v>
      </c>
      <c r="C1958" s="1">
        <v>46020</v>
      </c>
      <c r="D1958" t="s">
        <v>213</v>
      </c>
      <c r="E1958" t="s">
        <v>43</v>
      </c>
      <c r="F1958" t="s">
        <v>44</v>
      </c>
      <c r="G1958" t="s">
        <v>16</v>
      </c>
      <c r="H1958">
        <v>3</v>
      </c>
      <c r="I1958">
        <v>102.55</v>
      </c>
      <c r="J1958" t="s">
        <v>17</v>
      </c>
      <c r="K1958" t="s">
        <v>18</v>
      </c>
      <c r="L1958">
        <f>WEEKDAY(Table1[[#This Row],[Transaction_Date]],2)</f>
        <v>1</v>
      </c>
      <c r="M1958">
        <f>IF(Table1[[#This Row],[Sale_Type]]="Buffet",1,0)</f>
        <v>0</v>
      </c>
    </row>
    <row r="1959" spans="1:13" x14ac:dyDescent="0.2">
      <c r="A1959" t="s">
        <v>2232</v>
      </c>
      <c r="B1959" t="s">
        <v>293</v>
      </c>
      <c r="C1959" s="1">
        <v>46020</v>
      </c>
      <c r="D1959" t="s">
        <v>213</v>
      </c>
      <c r="E1959" t="s">
        <v>43</v>
      </c>
      <c r="F1959" t="s">
        <v>57</v>
      </c>
      <c r="G1959" t="s">
        <v>16</v>
      </c>
      <c r="H1959">
        <v>2</v>
      </c>
      <c r="I1959">
        <v>57.24</v>
      </c>
      <c r="J1959" t="s">
        <v>34</v>
      </c>
      <c r="K1959" t="s">
        <v>21</v>
      </c>
      <c r="L1959">
        <f>WEEKDAY(Table1[[#This Row],[Transaction_Date]],2)</f>
        <v>1</v>
      </c>
      <c r="M1959">
        <f>IF(Table1[[#This Row],[Sale_Type]]="Buffet",1,0)</f>
        <v>0</v>
      </c>
    </row>
    <row r="1960" spans="1:13" x14ac:dyDescent="0.2">
      <c r="A1960" t="s">
        <v>2233</v>
      </c>
      <c r="B1960" t="s">
        <v>228</v>
      </c>
      <c r="C1960" s="1">
        <v>46020</v>
      </c>
      <c r="D1960" t="s">
        <v>213</v>
      </c>
      <c r="E1960" t="s">
        <v>43</v>
      </c>
      <c r="F1960" t="s">
        <v>57</v>
      </c>
      <c r="G1960" t="s">
        <v>16</v>
      </c>
      <c r="H1960">
        <v>4</v>
      </c>
      <c r="I1960">
        <v>128.78</v>
      </c>
      <c r="J1960" t="s">
        <v>34</v>
      </c>
      <c r="K1960" t="s">
        <v>18</v>
      </c>
      <c r="L1960">
        <f>WEEKDAY(Table1[[#This Row],[Transaction_Date]],2)</f>
        <v>1</v>
      </c>
      <c r="M1960">
        <f>IF(Table1[[#This Row],[Sale_Type]]="Buffet",1,0)</f>
        <v>0</v>
      </c>
    </row>
    <row r="1961" spans="1:13" x14ac:dyDescent="0.2">
      <c r="A1961" t="s">
        <v>2234</v>
      </c>
      <c r="B1961" t="s">
        <v>1079</v>
      </c>
      <c r="C1961" s="1">
        <v>46021</v>
      </c>
      <c r="D1961" t="s">
        <v>250</v>
      </c>
      <c r="E1961" t="s">
        <v>14</v>
      </c>
      <c r="F1961" t="s">
        <v>15</v>
      </c>
      <c r="G1961" t="s">
        <v>16</v>
      </c>
      <c r="H1961">
        <v>3</v>
      </c>
      <c r="I1961">
        <v>62.37</v>
      </c>
      <c r="J1961" t="s">
        <v>34</v>
      </c>
      <c r="K1961" t="s">
        <v>18</v>
      </c>
      <c r="L1961">
        <f>WEEKDAY(Table1[[#This Row],[Transaction_Date]],2)</f>
        <v>2</v>
      </c>
      <c r="M1961">
        <f>IF(Table1[[#This Row],[Sale_Type]]="Buffet",1,0)</f>
        <v>0</v>
      </c>
    </row>
    <row r="1962" spans="1:13" x14ac:dyDescent="0.2">
      <c r="A1962" t="s">
        <v>2235</v>
      </c>
      <c r="B1962" t="s">
        <v>323</v>
      </c>
      <c r="C1962" s="1">
        <v>46021</v>
      </c>
      <c r="D1962" t="s">
        <v>250</v>
      </c>
      <c r="E1962" t="s">
        <v>14</v>
      </c>
      <c r="F1962" t="s">
        <v>15</v>
      </c>
      <c r="G1962" t="s">
        <v>16</v>
      </c>
      <c r="H1962">
        <v>4</v>
      </c>
      <c r="I1962">
        <v>58.21</v>
      </c>
      <c r="J1962" t="s">
        <v>34</v>
      </c>
      <c r="K1962" t="s">
        <v>18</v>
      </c>
      <c r="L1962">
        <f>WEEKDAY(Table1[[#This Row],[Transaction_Date]],2)</f>
        <v>2</v>
      </c>
      <c r="M1962">
        <f>IF(Table1[[#This Row],[Sale_Type]]="Buffet",1,0)</f>
        <v>0</v>
      </c>
    </row>
    <row r="1963" spans="1:13" x14ac:dyDescent="0.2">
      <c r="A1963" t="s">
        <v>2236</v>
      </c>
      <c r="B1963" t="s">
        <v>542</v>
      </c>
      <c r="C1963" s="1">
        <v>46021</v>
      </c>
      <c r="D1963" t="s">
        <v>250</v>
      </c>
      <c r="E1963" t="s">
        <v>14</v>
      </c>
      <c r="F1963" t="s">
        <v>15</v>
      </c>
      <c r="G1963" t="s">
        <v>16</v>
      </c>
      <c r="H1963">
        <v>4</v>
      </c>
      <c r="I1963">
        <v>65.959999999999994</v>
      </c>
      <c r="J1963" t="s">
        <v>17</v>
      </c>
      <c r="K1963" t="s">
        <v>21</v>
      </c>
      <c r="L1963">
        <f>WEEKDAY(Table1[[#This Row],[Transaction_Date]],2)</f>
        <v>2</v>
      </c>
      <c r="M1963">
        <f>IF(Table1[[#This Row],[Sale_Type]]="Buffet",1,0)</f>
        <v>0</v>
      </c>
    </row>
    <row r="1964" spans="1:13" x14ac:dyDescent="0.2">
      <c r="A1964" t="s">
        <v>2237</v>
      </c>
      <c r="B1964" t="s">
        <v>334</v>
      </c>
      <c r="C1964" s="1">
        <v>46021</v>
      </c>
      <c r="D1964" t="s">
        <v>250</v>
      </c>
      <c r="E1964" t="s">
        <v>14</v>
      </c>
      <c r="F1964" t="s">
        <v>24</v>
      </c>
      <c r="G1964" t="s">
        <v>16</v>
      </c>
      <c r="H1964">
        <v>1</v>
      </c>
      <c r="I1964">
        <v>45.04</v>
      </c>
      <c r="J1964" t="s">
        <v>17</v>
      </c>
      <c r="K1964" t="s">
        <v>21</v>
      </c>
      <c r="L1964">
        <f>WEEKDAY(Table1[[#This Row],[Transaction_Date]],2)</f>
        <v>2</v>
      </c>
      <c r="M1964">
        <f>IF(Table1[[#This Row],[Sale_Type]]="Buffet",1,0)</f>
        <v>0</v>
      </c>
    </row>
    <row r="1965" spans="1:13" x14ac:dyDescent="0.2">
      <c r="A1965" t="s">
        <v>2238</v>
      </c>
      <c r="B1965" t="s">
        <v>233</v>
      </c>
      <c r="C1965" s="1">
        <v>46021</v>
      </c>
      <c r="D1965" t="s">
        <v>250</v>
      </c>
      <c r="E1965" t="s">
        <v>14</v>
      </c>
      <c r="F1965" t="s">
        <v>24</v>
      </c>
      <c r="G1965" t="s">
        <v>16</v>
      </c>
      <c r="H1965">
        <v>3</v>
      </c>
      <c r="I1965">
        <v>76.7</v>
      </c>
      <c r="J1965" t="s">
        <v>34</v>
      </c>
      <c r="K1965" t="s">
        <v>21</v>
      </c>
      <c r="L1965">
        <f>WEEKDAY(Table1[[#This Row],[Transaction_Date]],2)</f>
        <v>2</v>
      </c>
      <c r="M1965">
        <f>IF(Table1[[#This Row],[Sale_Type]]="Buffet",1,0)</f>
        <v>0</v>
      </c>
    </row>
    <row r="1966" spans="1:13" x14ac:dyDescent="0.2">
      <c r="A1966" t="s">
        <v>2239</v>
      </c>
      <c r="B1966" t="s">
        <v>377</v>
      </c>
      <c r="C1966" s="1">
        <v>46021</v>
      </c>
      <c r="D1966" t="s">
        <v>250</v>
      </c>
      <c r="E1966" t="s">
        <v>14</v>
      </c>
      <c r="F1966" t="s">
        <v>24</v>
      </c>
      <c r="G1966" t="s">
        <v>16</v>
      </c>
      <c r="H1966">
        <v>1</v>
      </c>
      <c r="I1966">
        <v>37.14</v>
      </c>
      <c r="J1966" t="s">
        <v>17</v>
      </c>
      <c r="K1966" t="s">
        <v>18</v>
      </c>
      <c r="L1966">
        <f>WEEKDAY(Table1[[#This Row],[Transaction_Date]],2)</f>
        <v>2</v>
      </c>
      <c r="M1966">
        <f>IF(Table1[[#This Row],[Sale_Type]]="Buffet",1,0)</f>
        <v>0</v>
      </c>
    </row>
    <row r="1967" spans="1:13" x14ac:dyDescent="0.2">
      <c r="A1967" t="s">
        <v>2240</v>
      </c>
      <c r="B1967" t="s">
        <v>158</v>
      </c>
      <c r="C1967" s="1">
        <v>46021</v>
      </c>
      <c r="D1967" t="s">
        <v>250</v>
      </c>
      <c r="E1967" t="s">
        <v>14</v>
      </c>
      <c r="F1967" t="s">
        <v>24</v>
      </c>
      <c r="G1967" t="s">
        <v>16</v>
      </c>
      <c r="H1967">
        <v>5</v>
      </c>
      <c r="I1967">
        <v>113.15</v>
      </c>
      <c r="J1967" t="s">
        <v>17</v>
      </c>
      <c r="K1967" t="s">
        <v>18</v>
      </c>
      <c r="L1967">
        <f>WEEKDAY(Table1[[#This Row],[Transaction_Date]],2)</f>
        <v>2</v>
      </c>
      <c r="M1967">
        <f>IF(Table1[[#This Row],[Sale_Type]]="Buffet",1,0)</f>
        <v>0</v>
      </c>
    </row>
    <row r="1968" spans="1:13" x14ac:dyDescent="0.2">
      <c r="A1968" t="s">
        <v>2241</v>
      </c>
      <c r="B1968" t="s">
        <v>730</v>
      </c>
      <c r="C1968" s="1">
        <v>46021</v>
      </c>
      <c r="D1968" t="s">
        <v>250</v>
      </c>
      <c r="E1968" t="s">
        <v>14</v>
      </c>
      <c r="F1968" t="s">
        <v>24</v>
      </c>
      <c r="G1968" t="s">
        <v>16</v>
      </c>
      <c r="H1968">
        <v>1</v>
      </c>
      <c r="I1968">
        <v>28.73</v>
      </c>
      <c r="J1968" t="s">
        <v>17</v>
      </c>
      <c r="K1968" t="s">
        <v>18</v>
      </c>
      <c r="L1968">
        <f>WEEKDAY(Table1[[#This Row],[Transaction_Date]],2)</f>
        <v>2</v>
      </c>
      <c r="M1968">
        <f>IF(Table1[[#This Row],[Sale_Type]]="Buffet",1,0)</f>
        <v>0</v>
      </c>
    </row>
    <row r="1969" spans="1:13" x14ac:dyDescent="0.2">
      <c r="A1969" t="s">
        <v>2242</v>
      </c>
      <c r="B1969" t="s">
        <v>148</v>
      </c>
      <c r="C1969" s="1">
        <v>46021</v>
      </c>
      <c r="D1969" t="s">
        <v>250</v>
      </c>
      <c r="E1969" t="s">
        <v>14</v>
      </c>
      <c r="F1969" t="s">
        <v>24</v>
      </c>
      <c r="G1969" t="s">
        <v>16</v>
      </c>
      <c r="H1969">
        <v>3</v>
      </c>
      <c r="I1969">
        <v>91.46</v>
      </c>
      <c r="J1969" t="s">
        <v>17</v>
      </c>
      <c r="K1969" t="s">
        <v>18</v>
      </c>
      <c r="L1969">
        <f>WEEKDAY(Table1[[#This Row],[Transaction_Date]],2)</f>
        <v>2</v>
      </c>
      <c r="M1969">
        <f>IF(Table1[[#This Row],[Sale_Type]]="Buffet",1,0)</f>
        <v>0</v>
      </c>
    </row>
    <row r="1970" spans="1:13" x14ac:dyDescent="0.2">
      <c r="A1970" t="s">
        <v>2243</v>
      </c>
      <c r="B1970" t="s">
        <v>459</v>
      </c>
      <c r="C1970" s="1">
        <v>46021</v>
      </c>
      <c r="D1970" t="s">
        <v>250</v>
      </c>
      <c r="E1970" t="s">
        <v>14</v>
      </c>
      <c r="F1970" t="s">
        <v>24</v>
      </c>
      <c r="G1970" t="s">
        <v>16</v>
      </c>
      <c r="H1970">
        <v>4</v>
      </c>
      <c r="I1970">
        <v>138.30000000000001</v>
      </c>
      <c r="J1970" t="s">
        <v>34</v>
      </c>
      <c r="K1970" t="s">
        <v>18</v>
      </c>
      <c r="L1970">
        <f>WEEKDAY(Table1[[#This Row],[Transaction_Date]],2)</f>
        <v>2</v>
      </c>
      <c r="M1970">
        <f>IF(Table1[[#This Row],[Sale_Type]]="Buffet",1,0)</f>
        <v>0</v>
      </c>
    </row>
    <row r="1971" spans="1:13" x14ac:dyDescent="0.2">
      <c r="A1971" t="s">
        <v>2244</v>
      </c>
      <c r="B1971" t="s">
        <v>755</v>
      </c>
      <c r="C1971" s="1">
        <v>46021</v>
      </c>
      <c r="D1971" t="s">
        <v>250</v>
      </c>
      <c r="E1971" t="s">
        <v>14</v>
      </c>
      <c r="F1971" t="s">
        <v>27</v>
      </c>
      <c r="G1971" t="s">
        <v>16</v>
      </c>
      <c r="H1971">
        <v>2</v>
      </c>
      <c r="I1971">
        <v>66.8</v>
      </c>
      <c r="J1971" t="s">
        <v>17</v>
      </c>
      <c r="K1971" t="s">
        <v>18</v>
      </c>
      <c r="L1971">
        <f>WEEKDAY(Table1[[#This Row],[Transaction_Date]],2)</f>
        <v>2</v>
      </c>
      <c r="M1971">
        <f>IF(Table1[[#This Row],[Sale_Type]]="Buffet",1,0)</f>
        <v>0</v>
      </c>
    </row>
    <row r="1972" spans="1:13" x14ac:dyDescent="0.2">
      <c r="A1972" t="s">
        <v>2245</v>
      </c>
      <c r="B1972" t="s">
        <v>260</v>
      </c>
      <c r="C1972" s="1">
        <v>46021</v>
      </c>
      <c r="D1972" t="s">
        <v>250</v>
      </c>
      <c r="E1972" t="s">
        <v>14</v>
      </c>
      <c r="F1972" t="s">
        <v>27</v>
      </c>
      <c r="G1972" t="s">
        <v>16</v>
      </c>
      <c r="H1972">
        <v>4</v>
      </c>
      <c r="I1972">
        <v>160.54</v>
      </c>
      <c r="J1972" t="s">
        <v>17</v>
      </c>
      <c r="K1972" t="s">
        <v>18</v>
      </c>
      <c r="L1972">
        <f>WEEKDAY(Table1[[#This Row],[Transaction_Date]],2)</f>
        <v>2</v>
      </c>
      <c r="M1972">
        <f>IF(Table1[[#This Row],[Sale_Type]]="Buffet",1,0)</f>
        <v>0</v>
      </c>
    </row>
    <row r="1973" spans="1:13" x14ac:dyDescent="0.2">
      <c r="A1973" t="s">
        <v>2246</v>
      </c>
      <c r="B1973" t="s">
        <v>383</v>
      </c>
      <c r="C1973" s="1">
        <v>46021</v>
      </c>
      <c r="D1973" t="s">
        <v>250</v>
      </c>
      <c r="E1973" t="s">
        <v>14</v>
      </c>
      <c r="F1973" t="s">
        <v>27</v>
      </c>
      <c r="G1973" t="s">
        <v>16</v>
      </c>
      <c r="H1973">
        <v>1</v>
      </c>
      <c r="I1973">
        <v>39.29</v>
      </c>
      <c r="J1973" t="s">
        <v>17</v>
      </c>
      <c r="K1973" t="s">
        <v>18</v>
      </c>
      <c r="L1973">
        <f>WEEKDAY(Table1[[#This Row],[Transaction_Date]],2)</f>
        <v>2</v>
      </c>
      <c r="M1973">
        <f>IF(Table1[[#This Row],[Sale_Type]]="Buffet",1,0)</f>
        <v>0</v>
      </c>
    </row>
    <row r="1974" spans="1:13" x14ac:dyDescent="0.2">
      <c r="A1974" t="s">
        <v>2247</v>
      </c>
      <c r="B1974" t="s">
        <v>1077</v>
      </c>
      <c r="C1974" s="1">
        <v>46021</v>
      </c>
      <c r="D1974" t="s">
        <v>250</v>
      </c>
      <c r="E1974" t="s">
        <v>14</v>
      </c>
      <c r="F1974" t="s">
        <v>27</v>
      </c>
      <c r="G1974" t="s">
        <v>16</v>
      </c>
      <c r="H1974">
        <v>4</v>
      </c>
      <c r="I1974">
        <v>138.78</v>
      </c>
      <c r="J1974" t="s">
        <v>17</v>
      </c>
      <c r="K1974" t="s">
        <v>18</v>
      </c>
      <c r="L1974">
        <f>WEEKDAY(Table1[[#This Row],[Transaction_Date]],2)</f>
        <v>2</v>
      </c>
      <c r="M1974">
        <f>IF(Table1[[#This Row],[Sale_Type]]="Buffet",1,0)</f>
        <v>0</v>
      </c>
    </row>
    <row r="1975" spans="1:13" x14ac:dyDescent="0.2">
      <c r="A1975" t="s">
        <v>2248</v>
      </c>
      <c r="B1975" t="s">
        <v>379</v>
      </c>
      <c r="C1975" s="1">
        <v>46021</v>
      </c>
      <c r="D1975" t="s">
        <v>250</v>
      </c>
      <c r="E1975" t="s">
        <v>14</v>
      </c>
      <c r="F1975" t="s">
        <v>31</v>
      </c>
      <c r="G1975" t="s">
        <v>16</v>
      </c>
      <c r="H1975">
        <v>3</v>
      </c>
      <c r="I1975">
        <v>66.73</v>
      </c>
      <c r="J1975" t="s">
        <v>28</v>
      </c>
      <c r="K1975" t="s">
        <v>18</v>
      </c>
      <c r="L1975">
        <f>WEEKDAY(Table1[[#This Row],[Transaction_Date]],2)</f>
        <v>2</v>
      </c>
      <c r="M1975">
        <f>IF(Table1[[#This Row],[Sale_Type]]="Buffet",1,0)</f>
        <v>0</v>
      </c>
    </row>
    <row r="1976" spans="1:13" x14ac:dyDescent="0.2">
      <c r="A1976" t="s">
        <v>2249</v>
      </c>
      <c r="B1976" t="s">
        <v>102</v>
      </c>
      <c r="C1976" s="1">
        <v>46021</v>
      </c>
      <c r="D1976" t="s">
        <v>250</v>
      </c>
      <c r="E1976" t="s">
        <v>14</v>
      </c>
      <c r="F1976" t="s">
        <v>40</v>
      </c>
      <c r="G1976" t="s">
        <v>16</v>
      </c>
      <c r="H1976">
        <v>3</v>
      </c>
      <c r="I1976">
        <v>94.28</v>
      </c>
      <c r="J1976" t="s">
        <v>28</v>
      </c>
      <c r="K1976" t="s">
        <v>18</v>
      </c>
      <c r="L1976">
        <f>WEEKDAY(Table1[[#This Row],[Transaction_Date]],2)</f>
        <v>2</v>
      </c>
      <c r="M1976">
        <f>IF(Table1[[#This Row],[Sale_Type]]="Buffet",1,0)</f>
        <v>0</v>
      </c>
    </row>
    <row r="1977" spans="1:13" x14ac:dyDescent="0.2">
      <c r="A1977" t="s">
        <v>2250</v>
      </c>
      <c r="B1977" t="s">
        <v>146</v>
      </c>
      <c r="C1977" s="1">
        <v>46021</v>
      </c>
      <c r="D1977" t="s">
        <v>250</v>
      </c>
      <c r="E1977" t="s">
        <v>14</v>
      </c>
      <c r="F1977" t="s">
        <v>40</v>
      </c>
      <c r="G1977" t="s">
        <v>16</v>
      </c>
      <c r="H1977">
        <v>4</v>
      </c>
      <c r="I1977">
        <v>75.47</v>
      </c>
      <c r="J1977" t="s">
        <v>34</v>
      </c>
      <c r="K1977" t="s">
        <v>18</v>
      </c>
      <c r="L1977">
        <f>WEEKDAY(Table1[[#This Row],[Transaction_Date]],2)</f>
        <v>2</v>
      </c>
      <c r="M1977">
        <f>IF(Table1[[#This Row],[Sale_Type]]="Buffet",1,0)</f>
        <v>0</v>
      </c>
    </row>
    <row r="1978" spans="1:13" x14ac:dyDescent="0.2">
      <c r="A1978" t="s">
        <v>2251</v>
      </c>
      <c r="B1978" t="s">
        <v>454</v>
      </c>
      <c r="C1978" s="1">
        <v>46021</v>
      </c>
      <c r="D1978" t="s">
        <v>250</v>
      </c>
      <c r="E1978" t="s">
        <v>14</v>
      </c>
      <c r="F1978" t="s">
        <v>40</v>
      </c>
      <c r="G1978" t="s">
        <v>16</v>
      </c>
      <c r="H1978">
        <v>4</v>
      </c>
      <c r="I1978">
        <v>169.64</v>
      </c>
      <c r="J1978" t="s">
        <v>28</v>
      </c>
      <c r="K1978" t="s">
        <v>18</v>
      </c>
      <c r="L1978">
        <f>WEEKDAY(Table1[[#This Row],[Transaction_Date]],2)</f>
        <v>2</v>
      </c>
      <c r="M1978">
        <f>IF(Table1[[#This Row],[Sale_Type]]="Buffet",1,0)</f>
        <v>0</v>
      </c>
    </row>
    <row r="1979" spans="1:13" x14ac:dyDescent="0.2">
      <c r="A1979" t="s">
        <v>2252</v>
      </c>
      <c r="B1979" t="s">
        <v>81</v>
      </c>
      <c r="C1979" s="1">
        <v>46021</v>
      </c>
      <c r="D1979" t="s">
        <v>250</v>
      </c>
      <c r="E1979" t="s">
        <v>43</v>
      </c>
      <c r="F1979" t="s">
        <v>44</v>
      </c>
      <c r="G1979" t="s">
        <v>16</v>
      </c>
      <c r="H1979">
        <v>3</v>
      </c>
      <c r="I1979">
        <v>76.290000000000006</v>
      </c>
      <c r="J1979" t="s">
        <v>28</v>
      </c>
      <c r="K1979" t="s">
        <v>18</v>
      </c>
      <c r="L1979">
        <f>WEEKDAY(Table1[[#This Row],[Transaction_Date]],2)</f>
        <v>2</v>
      </c>
      <c r="M1979">
        <f>IF(Table1[[#This Row],[Sale_Type]]="Buffet",1,0)</f>
        <v>0</v>
      </c>
    </row>
    <row r="1980" spans="1:13" x14ac:dyDescent="0.2">
      <c r="A1980" t="s">
        <v>2253</v>
      </c>
      <c r="B1980" t="s">
        <v>591</v>
      </c>
      <c r="C1980" s="1">
        <v>46021</v>
      </c>
      <c r="D1980" t="s">
        <v>250</v>
      </c>
      <c r="E1980" t="s">
        <v>43</v>
      </c>
      <c r="F1980" t="s">
        <v>50</v>
      </c>
      <c r="G1980" t="s">
        <v>16</v>
      </c>
      <c r="H1980">
        <v>4</v>
      </c>
      <c r="I1980">
        <v>70.489999999999995</v>
      </c>
      <c r="J1980" t="s">
        <v>17</v>
      </c>
      <c r="K1980" t="s">
        <v>21</v>
      </c>
      <c r="L1980">
        <f>WEEKDAY(Table1[[#This Row],[Transaction_Date]],2)</f>
        <v>2</v>
      </c>
      <c r="M1980">
        <f>IF(Table1[[#This Row],[Sale_Type]]="Buffet",1,0)</f>
        <v>0</v>
      </c>
    </row>
    <row r="1981" spans="1:13" x14ac:dyDescent="0.2">
      <c r="A1981" t="s">
        <v>2254</v>
      </c>
      <c r="B1981" t="s">
        <v>100</v>
      </c>
      <c r="C1981" s="1">
        <v>46021</v>
      </c>
      <c r="D1981" t="s">
        <v>250</v>
      </c>
      <c r="E1981" t="s">
        <v>43</v>
      </c>
      <c r="F1981" t="s">
        <v>50</v>
      </c>
      <c r="G1981" t="s">
        <v>16</v>
      </c>
      <c r="H1981">
        <v>4</v>
      </c>
      <c r="I1981">
        <v>42.12</v>
      </c>
      <c r="J1981" t="s">
        <v>17</v>
      </c>
      <c r="K1981" t="s">
        <v>18</v>
      </c>
      <c r="L1981">
        <f>WEEKDAY(Table1[[#This Row],[Transaction_Date]],2)</f>
        <v>2</v>
      </c>
      <c r="M1981">
        <f>IF(Table1[[#This Row],[Sale_Type]]="Buffet",1,0)</f>
        <v>0</v>
      </c>
    </row>
    <row r="1982" spans="1:13" x14ac:dyDescent="0.2">
      <c r="A1982" t="s">
        <v>2255</v>
      </c>
      <c r="B1982" t="s">
        <v>254</v>
      </c>
      <c r="C1982" s="1">
        <v>46021</v>
      </c>
      <c r="D1982" t="s">
        <v>250</v>
      </c>
      <c r="E1982" t="s">
        <v>43</v>
      </c>
      <c r="F1982" t="s">
        <v>53</v>
      </c>
      <c r="G1982" t="s">
        <v>16</v>
      </c>
      <c r="H1982">
        <v>3</v>
      </c>
      <c r="I1982">
        <v>32.94</v>
      </c>
      <c r="J1982" t="s">
        <v>28</v>
      </c>
      <c r="K1982" t="s">
        <v>21</v>
      </c>
      <c r="L1982">
        <f>WEEKDAY(Table1[[#This Row],[Transaction_Date]],2)</f>
        <v>2</v>
      </c>
      <c r="M1982">
        <f>IF(Table1[[#This Row],[Sale_Type]]="Buffet",1,0)</f>
        <v>0</v>
      </c>
    </row>
    <row r="1983" spans="1:13" x14ac:dyDescent="0.2">
      <c r="A1983" t="s">
        <v>2256</v>
      </c>
      <c r="B1983" t="s">
        <v>264</v>
      </c>
      <c r="C1983" s="1">
        <v>46022</v>
      </c>
      <c r="D1983" t="s">
        <v>13</v>
      </c>
      <c r="E1983" t="s">
        <v>14</v>
      </c>
      <c r="F1983" t="s">
        <v>15</v>
      </c>
      <c r="G1983" t="s">
        <v>16</v>
      </c>
      <c r="H1983">
        <v>2</v>
      </c>
      <c r="I1983">
        <v>68.8</v>
      </c>
      <c r="J1983" t="s">
        <v>34</v>
      </c>
      <c r="K1983" t="s">
        <v>18</v>
      </c>
      <c r="L1983">
        <f>WEEKDAY(Table1[[#This Row],[Transaction_Date]],2)</f>
        <v>3</v>
      </c>
      <c r="M1983">
        <f>IF(Table1[[#This Row],[Sale_Type]]="Buffet",1,0)</f>
        <v>0</v>
      </c>
    </row>
    <row r="1984" spans="1:13" x14ac:dyDescent="0.2">
      <c r="A1984" t="s">
        <v>2257</v>
      </c>
      <c r="B1984" t="s">
        <v>429</v>
      </c>
      <c r="C1984" s="1">
        <v>46022</v>
      </c>
      <c r="D1984" t="s">
        <v>13</v>
      </c>
      <c r="E1984" t="s">
        <v>14</v>
      </c>
      <c r="F1984" t="s">
        <v>15</v>
      </c>
      <c r="G1984" t="s">
        <v>16</v>
      </c>
      <c r="H1984">
        <v>2</v>
      </c>
      <c r="I1984">
        <v>40.93</v>
      </c>
      <c r="J1984" t="s">
        <v>34</v>
      </c>
      <c r="K1984" t="s">
        <v>18</v>
      </c>
      <c r="L1984">
        <f>WEEKDAY(Table1[[#This Row],[Transaction_Date]],2)</f>
        <v>3</v>
      </c>
      <c r="M1984">
        <f>IF(Table1[[#This Row],[Sale_Type]]="Buffet",1,0)</f>
        <v>0</v>
      </c>
    </row>
    <row r="1985" spans="1:13" x14ac:dyDescent="0.2">
      <c r="A1985" t="s">
        <v>2258</v>
      </c>
      <c r="B1985" t="s">
        <v>2259</v>
      </c>
      <c r="C1985" s="1">
        <v>46022</v>
      </c>
      <c r="D1985" t="s">
        <v>13</v>
      </c>
      <c r="E1985" t="s">
        <v>14</v>
      </c>
      <c r="F1985" t="s">
        <v>15</v>
      </c>
      <c r="G1985" t="s">
        <v>16</v>
      </c>
      <c r="H1985">
        <v>3</v>
      </c>
      <c r="I1985">
        <v>99.11</v>
      </c>
      <c r="J1985" t="s">
        <v>34</v>
      </c>
      <c r="K1985" t="s">
        <v>18</v>
      </c>
      <c r="L1985">
        <f>WEEKDAY(Table1[[#This Row],[Transaction_Date]],2)</f>
        <v>3</v>
      </c>
      <c r="M1985">
        <f>IF(Table1[[#This Row],[Sale_Type]]="Buffet",1,0)</f>
        <v>0</v>
      </c>
    </row>
    <row r="1986" spans="1:13" x14ac:dyDescent="0.2">
      <c r="A1986" t="s">
        <v>2260</v>
      </c>
      <c r="B1986" t="s">
        <v>174</v>
      </c>
      <c r="C1986" s="1">
        <v>46022</v>
      </c>
      <c r="D1986" t="s">
        <v>13</v>
      </c>
      <c r="E1986" t="s">
        <v>14</v>
      </c>
      <c r="F1986" t="s">
        <v>24</v>
      </c>
      <c r="G1986" t="s">
        <v>16</v>
      </c>
      <c r="H1986">
        <v>4</v>
      </c>
      <c r="I1986">
        <v>54.5</v>
      </c>
      <c r="J1986" t="s">
        <v>17</v>
      </c>
      <c r="K1986" t="s">
        <v>18</v>
      </c>
      <c r="L1986">
        <f>WEEKDAY(Table1[[#This Row],[Transaction_Date]],2)</f>
        <v>3</v>
      </c>
      <c r="M1986">
        <f>IF(Table1[[#This Row],[Sale_Type]]="Buffet",1,0)</f>
        <v>0</v>
      </c>
    </row>
    <row r="1987" spans="1:13" x14ac:dyDescent="0.2">
      <c r="A1987" t="s">
        <v>2261</v>
      </c>
      <c r="B1987" t="s">
        <v>369</v>
      </c>
      <c r="C1987" s="1">
        <v>46022</v>
      </c>
      <c r="D1987" t="s">
        <v>13</v>
      </c>
      <c r="E1987" t="s">
        <v>14</v>
      </c>
      <c r="F1987" t="s">
        <v>27</v>
      </c>
      <c r="G1987" t="s">
        <v>16</v>
      </c>
      <c r="H1987">
        <v>3</v>
      </c>
      <c r="I1987">
        <v>57.13</v>
      </c>
      <c r="J1987" t="s">
        <v>34</v>
      </c>
      <c r="K1987" t="s">
        <v>18</v>
      </c>
      <c r="L1987">
        <f>WEEKDAY(Table1[[#This Row],[Transaction_Date]],2)</f>
        <v>3</v>
      </c>
      <c r="M1987">
        <f>IF(Table1[[#This Row],[Sale_Type]]="Buffet",1,0)</f>
        <v>0</v>
      </c>
    </row>
    <row r="1988" spans="1:13" x14ac:dyDescent="0.2">
      <c r="A1988" t="s">
        <v>2262</v>
      </c>
      <c r="B1988" t="s">
        <v>1017</v>
      </c>
      <c r="C1988" s="1">
        <v>46022</v>
      </c>
      <c r="D1988" t="s">
        <v>13</v>
      </c>
      <c r="E1988" t="s">
        <v>14</v>
      </c>
      <c r="F1988" t="s">
        <v>27</v>
      </c>
      <c r="G1988" t="s">
        <v>16</v>
      </c>
      <c r="H1988">
        <v>2</v>
      </c>
      <c r="I1988">
        <v>46.63</v>
      </c>
      <c r="J1988" t="s">
        <v>34</v>
      </c>
      <c r="K1988" t="s">
        <v>21</v>
      </c>
      <c r="L1988">
        <f>WEEKDAY(Table1[[#This Row],[Transaction_Date]],2)</f>
        <v>3</v>
      </c>
      <c r="M1988">
        <f>IF(Table1[[#This Row],[Sale_Type]]="Buffet",1,0)</f>
        <v>0</v>
      </c>
    </row>
    <row r="1989" spans="1:13" x14ac:dyDescent="0.2">
      <c r="A1989" t="s">
        <v>2263</v>
      </c>
      <c r="B1989" t="s">
        <v>182</v>
      </c>
      <c r="C1989" s="1">
        <v>46022</v>
      </c>
      <c r="D1989" t="s">
        <v>13</v>
      </c>
      <c r="E1989" t="s">
        <v>14</v>
      </c>
      <c r="F1989" t="s">
        <v>27</v>
      </c>
      <c r="G1989" t="s">
        <v>16</v>
      </c>
      <c r="H1989">
        <v>4</v>
      </c>
      <c r="I1989">
        <v>88.37</v>
      </c>
      <c r="J1989" t="s">
        <v>17</v>
      </c>
      <c r="K1989" t="s">
        <v>18</v>
      </c>
      <c r="L1989">
        <f>WEEKDAY(Table1[[#This Row],[Transaction_Date]],2)</f>
        <v>3</v>
      </c>
      <c r="M1989">
        <f>IF(Table1[[#This Row],[Sale_Type]]="Buffet",1,0)</f>
        <v>0</v>
      </c>
    </row>
    <row r="1990" spans="1:13" x14ac:dyDescent="0.2">
      <c r="A1990" t="s">
        <v>2264</v>
      </c>
      <c r="B1990" t="s">
        <v>537</v>
      </c>
      <c r="C1990" s="1">
        <v>46022</v>
      </c>
      <c r="D1990" t="s">
        <v>13</v>
      </c>
      <c r="E1990" t="s">
        <v>14</v>
      </c>
      <c r="F1990" t="s">
        <v>27</v>
      </c>
      <c r="G1990" t="s">
        <v>16</v>
      </c>
      <c r="H1990">
        <v>2</v>
      </c>
      <c r="I1990">
        <v>67.099999999999994</v>
      </c>
      <c r="J1990" t="s">
        <v>17</v>
      </c>
      <c r="K1990" t="s">
        <v>18</v>
      </c>
      <c r="L1990">
        <f>WEEKDAY(Table1[[#This Row],[Transaction_Date]],2)</f>
        <v>3</v>
      </c>
      <c r="M1990">
        <f>IF(Table1[[#This Row],[Sale_Type]]="Buffet",1,0)</f>
        <v>0</v>
      </c>
    </row>
    <row r="1991" spans="1:13" x14ac:dyDescent="0.2">
      <c r="A1991" t="s">
        <v>2265</v>
      </c>
      <c r="B1991" t="s">
        <v>440</v>
      </c>
      <c r="C1991" s="1">
        <v>46022</v>
      </c>
      <c r="D1991" t="s">
        <v>13</v>
      </c>
      <c r="E1991" t="s">
        <v>14</v>
      </c>
      <c r="F1991" t="s">
        <v>27</v>
      </c>
      <c r="G1991" t="s">
        <v>16</v>
      </c>
      <c r="H1991">
        <v>5</v>
      </c>
      <c r="I1991">
        <v>106.76</v>
      </c>
      <c r="J1991" t="s">
        <v>28</v>
      </c>
      <c r="K1991" t="s">
        <v>18</v>
      </c>
      <c r="L1991">
        <f>WEEKDAY(Table1[[#This Row],[Transaction_Date]],2)</f>
        <v>3</v>
      </c>
      <c r="M1991">
        <f>IF(Table1[[#This Row],[Sale_Type]]="Buffet",1,0)</f>
        <v>0</v>
      </c>
    </row>
    <row r="1992" spans="1:13" x14ac:dyDescent="0.2">
      <c r="A1992" t="s">
        <v>2266</v>
      </c>
      <c r="B1992" t="s">
        <v>39</v>
      </c>
      <c r="C1992" s="1">
        <v>46022</v>
      </c>
      <c r="D1992" t="s">
        <v>13</v>
      </c>
      <c r="E1992" t="s">
        <v>14</v>
      </c>
      <c r="F1992" t="s">
        <v>31</v>
      </c>
      <c r="G1992" t="s">
        <v>16</v>
      </c>
      <c r="H1992">
        <v>1</v>
      </c>
      <c r="I1992">
        <v>26.48</v>
      </c>
      <c r="J1992" t="s">
        <v>17</v>
      </c>
      <c r="K1992" t="s">
        <v>21</v>
      </c>
      <c r="L1992">
        <f>WEEKDAY(Table1[[#This Row],[Transaction_Date]],2)</f>
        <v>3</v>
      </c>
      <c r="M1992">
        <f>IF(Table1[[#This Row],[Sale_Type]]="Buffet",1,0)</f>
        <v>0</v>
      </c>
    </row>
    <row r="1993" spans="1:13" x14ac:dyDescent="0.2">
      <c r="A1993" t="s">
        <v>2267</v>
      </c>
      <c r="B1993" t="s">
        <v>597</v>
      </c>
      <c r="C1993" s="1">
        <v>46022</v>
      </c>
      <c r="D1993" t="s">
        <v>13</v>
      </c>
      <c r="E1993" t="s">
        <v>14</v>
      </c>
      <c r="F1993" t="s">
        <v>40</v>
      </c>
      <c r="G1993" t="s">
        <v>16</v>
      </c>
      <c r="H1993">
        <v>2</v>
      </c>
      <c r="I1993">
        <v>108.9</v>
      </c>
      <c r="J1993" t="s">
        <v>34</v>
      </c>
      <c r="K1993" t="s">
        <v>18</v>
      </c>
      <c r="L1993">
        <f>WEEKDAY(Table1[[#This Row],[Transaction_Date]],2)</f>
        <v>3</v>
      </c>
      <c r="M1993">
        <f>IF(Table1[[#This Row],[Sale_Type]]="Buffet",1,0)</f>
        <v>0</v>
      </c>
    </row>
    <row r="1994" spans="1:13" x14ac:dyDescent="0.2">
      <c r="A1994" t="s">
        <v>2268</v>
      </c>
      <c r="B1994" t="s">
        <v>866</v>
      </c>
      <c r="C1994" s="1">
        <v>46022</v>
      </c>
      <c r="D1994" t="s">
        <v>13</v>
      </c>
      <c r="E1994" t="s">
        <v>43</v>
      </c>
      <c r="F1994" t="s">
        <v>44</v>
      </c>
      <c r="G1994" t="s">
        <v>45</v>
      </c>
      <c r="H1994">
        <v>2</v>
      </c>
      <c r="I1994">
        <v>49</v>
      </c>
      <c r="J1994" t="s">
        <v>34</v>
      </c>
      <c r="K1994" t="s">
        <v>18</v>
      </c>
      <c r="L1994">
        <f>WEEKDAY(Table1[[#This Row],[Transaction_Date]],2)</f>
        <v>3</v>
      </c>
      <c r="M1994">
        <f>IF(Table1[[#This Row],[Sale_Type]]="Buffet",1,0)</f>
        <v>1</v>
      </c>
    </row>
    <row r="1995" spans="1:13" x14ac:dyDescent="0.2">
      <c r="A1995" t="s">
        <v>2269</v>
      </c>
      <c r="B1995" t="s">
        <v>415</v>
      </c>
      <c r="C1995" s="1">
        <v>46022</v>
      </c>
      <c r="D1995" t="s">
        <v>13</v>
      </c>
      <c r="E1995" t="s">
        <v>43</v>
      </c>
      <c r="F1995" t="s">
        <v>44</v>
      </c>
      <c r="G1995" t="s">
        <v>45</v>
      </c>
      <c r="H1995">
        <v>3</v>
      </c>
      <c r="I1995">
        <v>60</v>
      </c>
      <c r="J1995" t="s">
        <v>17</v>
      </c>
      <c r="K1995" t="s">
        <v>18</v>
      </c>
      <c r="L1995">
        <f>WEEKDAY(Table1[[#This Row],[Transaction_Date]],2)</f>
        <v>3</v>
      </c>
      <c r="M1995">
        <f>IF(Table1[[#This Row],[Sale_Type]]="Buffet",1,0)</f>
        <v>1</v>
      </c>
    </row>
    <row r="1996" spans="1:13" x14ac:dyDescent="0.2">
      <c r="A1996" t="s">
        <v>2270</v>
      </c>
      <c r="B1996" t="s">
        <v>140</v>
      </c>
      <c r="C1996" s="1">
        <v>46022</v>
      </c>
      <c r="D1996" t="s">
        <v>13</v>
      </c>
      <c r="E1996" t="s">
        <v>43</v>
      </c>
      <c r="F1996" t="s">
        <v>50</v>
      </c>
      <c r="G1996" t="s">
        <v>45</v>
      </c>
      <c r="H1996">
        <v>4</v>
      </c>
      <c r="I1996">
        <v>84.5</v>
      </c>
      <c r="J1996" t="s">
        <v>34</v>
      </c>
      <c r="K1996" t="s">
        <v>18</v>
      </c>
      <c r="L1996">
        <f>WEEKDAY(Table1[[#This Row],[Transaction_Date]],2)</f>
        <v>3</v>
      </c>
      <c r="M1996">
        <f>IF(Table1[[#This Row],[Sale_Type]]="Buffet",1,0)</f>
        <v>1</v>
      </c>
    </row>
    <row r="1997" spans="1:13" x14ac:dyDescent="0.2">
      <c r="A1997" t="s">
        <v>2271</v>
      </c>
      <c r="B1997" t="s">
        <v>117</v>
      </c>
      <c r="C1997" s="1">
        <v>46022</v>
      </c>
      <c r="D1997" t="s">
        <v>13</v>
      </c>
      <c r="E1997" t="s">
        <v>43</v>
      </c>
      <c r="F1997" t="s">
        <v>50</v>
      </c>
      <c r="G1997" t="s">
        <v>45</v>
      </c>
      <c r="H1997">
        <v>3</v>
      </c>
      <c r="I1997">
        <v>69</v>
      </c>
      <c r="J1997" t="s">
        <v>17</v>
      </c>
      <c r="K1997" t="s">
        <v>18</v>
      </c>
      <c r="L1997">
        <f>WEEKDAY(Table1[[#This Row],[Transaction_Date]],2)</f>
        <v>3</v>
      </c>
      <c r="M1997">
        <f>IF(Table1[[#This Row],[Sale_Type]]="Buffet",1,0)</f>
        <v>1</v>
      </c>
    </row>
    <row r="1998" spans="1:13" x14ac:dyDescent="0.2">
      <c r="A1998" t="s">
        <v>2272</v>
      </c>
      <c r="B1998" t="s">
        <v>178</v>
      </c>
      <c r="C1998" s="1">
        <v>46022</v>
      </c>
      <c r="D1998" t="s">
        <v>13</v>
      </c>
      <c r="E1998" t="s">
        <v>43</v>
      </c>
      <c r="F1998" t="s">
        <v>50</v>
      </c>
      <c r="G1998" t="s">
        <v>16</v>
      </c>
      <c r="H1998">
        <v>4</v>
      </c>
      <c r="I1998">
        <v>65.900000000000006</v>
      </c>
      <c r="J1998" t="s">
        <v>34</v>
      </c>
      <c r="K1998" t="s">
        <v>21</v>
      </c>
      <c r="L1998">
        <f>WEEKDAY(Table1[[#This Row],[Transaction_Date]],2)</f>
        <v>3</v>
      </c>
      <c r="M1998">
        <f>IF(Table1[[#This Row],[Sale_Type]]="Buffet",1,0)</f>
        <v>0</v>
      </c>
    </row>
    <row r="1999" spans="1:13" x14ac:dyDescent="0.2">
      <c r="A1999" t="s">
        <v>2273</v>
      </c>
      <c r="B1999" t="s">
        <v>23</v>
      </c>
      <c r="C1999" s="1">
        <v>46022</v>
      </c>
      <c r="D1999" t="s">
        <v>13</v>
      </c>
      <c r="E1999" t="s">
        <v>43</v>
      </c>
      <c r="F1999" t="s">
        <v>53</v>
      </c>
      <c r="G1999" t="s">
        <v>45</v>
      </c>
      <c r="H1999">
        <v>3</v>
      </c>
      <c r="I1999">
        <v>64.5</v>
      </c>
      <c r="J1999" t="s">
        <v>17</v>
      </c>
      <c r="K1999" t="s">
        <v>18</v>
      </c>
      <c r="L1999">
        <f>WEEKDAY(Table1[[#This Row],[Transaction_Date]],2)</f>
        <v>3</v>
      </c>
      <c r="M1999">
        <f>IF(Table1[[#This Row],[Sale_Type]]="Buffet",1,0)</f>
        <v>1</v>
      </c>
    </row>
    <row r="2000" spans="1:13" x14ac:dyDescent="0.2">
      <c r="A2000" t="s">
        <v>2274</v>
      </c>
      <c r="B2000" t="s">
        <v>527</v>
      </c>
      <c r="C2000" s="1">
        <v>46022</v>
      </c>
      <c r="D2000" t="s">
        <v>13</v>
      </c>
      <c r="E2000" t="s">
        <v>43</v>
      </c>
      <c r="F2000" t="s">
        <v>57</v>
      </c>
      <c r="G2000" t="s">
        <v>45</v>
      </c>
      <c r="H2000">
        <v>3</v>
      </c>
      <c r="I2000">
        <v>60</v>
      </c>
      <c r="J2000" t="s">
        <v>28</v>
      </c>
      <c r="K2000" t="s">
        <v>21</v>
      </c>
      <c r="L2000">
        <f>WEEKDAY(Table1[[#This Row],[Transaction_Date]],2)</f>
        <v>3</v>
      </c>
      <c r="M2000">
        <f>IF(Table1[[#This Row],[Sale_Type]]="Buffet",1,0)</f>
        <v>1</v>
      </c>
    </row>
    <row r="2001" spans="1:13" x14ac:dyDescent="0.2">
      <c r="A2001" t="s">
        <v>2275</v>
      </c>
      <c r="B2001" t="s">
        <v>260</v>
      </c>
      <c r="C2001" s="1">
        <v>46022</v>
      </c>
      <c r="D2001" t="s">
        <v>13</v>
      </c>
      <c r="E2001" t="s">
        <v>43</v>
      </c>
      <c r="F2001" t="s">
        <v>57</v>
      </c>
      <c r="G2001" t="s">
        <v>16</v>
      </c>
      <c r="H2001">
        <v>4</v>
      </c>
      <c r="I2001">
        <v>46.71</v>
      </c>
      <c r="J2001" t="s">
        <v>28</v>
      </c>
      <c r="K2001" t="s">
        <v>18</v>
      </c>
      <c r="L2001">
        <f>WEEKDAY(Table1[[#This Row],[Transaction_Date]],2)</f>
        <v>3</v>
      </c>
      <c r="M2001">
        <f>IF(Table1[[#This Row],[Sale_Type]]="Buffet",1,0)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1AC3-7B6A-C74B-B084-E34D0337F031}">
  <dimension ref="A1:B9"/>
  <sheetViews>
    <sheetView zoomScale="150" zoomScaleNormal="150" workbookViewId="0">
      <selection sqref="A1:B1"/>
    </sheetView>
  </sheetViews>
  <sheetFormatPr baseColWidth="10" defaultRowHeight="15" x14ac:dyDescent="0.2"/>
  <cols>
    <col min="1" max="1" width="30.83203125" customWidth="1"/>
    <col min="2" max="2" width="34.83203125" customWidth="1"/>
    <col min="3" max="3" width="16" bestFit="1" customWidth="1"/>
  </cols>
  <sheetData>
    <row r="1" spans="1:2" x14ac:dyDescent="0.2">
      <c r="A1" s="14" t="s">
        <v>2278</v>
      </c>
      <c r="B1" s="14"/>
    </row>
    <row r="3" spans="1:2" x14ac:dyDescent="0.2">
      <c r="A3" s="3" t="s">
        <v>2279</v>
      </c>
      <c r="B3" s="3" t="s">
        <v>2280</v>
      </c>
    </row>
    <row r="4" spans="1:2" x14ac:dyDescent="0.2">
      <c r="A4" t="s">
        <v>2277</v>
      </c>
      <c r="B4">
        <f>SUM(Table1[Total_Bill_Amount])</f>
        <v>163530.28000000009</v>
      </c>
    </row>
    <row r="5" spans="1:2" x14ac:dyDescent="0.2">
      <c r="A5" t="s">
        <v>2281</v>
      </c>
      <c r="B5">
        <f>COUNTA(Table1[Transaction_ID])</f>
        <v>2000</v>
      </c>
    </row>
    <row r="6" spans="1:2" x14ac:dyDescent="0.2">
      <c r="A6" t="s">
        <v>2282</v>
      </c>
      <c r="B6">
        <f>SUM(Table1[Customers_Count])</f>
        <v>6165</v>
      </c>
    </row>
    <row r="7" spans="1:2" x14ac:dyDescent="0.2">
      <c r="A7" t="s">
        <v>2283</v>
      </c>
      <c r="B7" s="4">
        <f>AVERAGE(Table1[Total_Bill_Amount])</f>
        <v>81.765140000000045</v>
      </c>
    </row>
    <row r="8" spans="1:2" x14ac:dyDescent="0.2">
      <c r="A8" t="s">
        <v>2284</v>
      </c>
      <c r="B8" s="5">
        <f>AVERAGE(Table1[Customers_Count])</f>
        <v>3.0825</v>
      </c>
    </row>
    <row r="9" spans="1:2" x14ac:dyDescent="0.2">
      <c r="A9" t="s">
        <v>2285</v>
      </c>
      <c r="B9" s="6">
        <f>AVERAGE(Table1[Buffet_Flag])</f>
        <v>0.14899999999999999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E333-5994-B24A-BC3D-3393F0D8013B}">
  <dimension ref="A1:B20"/>
  <sheetViews>
    <sheetView zoomScale="130" zoomScaleNormal="130" workbookViewId="0">
      <selection activeCell="B19" sqref="B19"/>
    </sheetView>
  </sheetViews>
  <sheetFormatPr baseColWidth="10" defaultRowHeight="15" x14ac:dyDescent="0.2"/>
  <cols>
    <col min="1" max="1" width="21.1640625" bestFit="1" customWidth="1"/>
    <col min="2" max="2" width="17.1640625" bestFit="1" customWidth="1"/>
  </cols>
  <sheetData>
    <row r="1" spans="1:2" x14ac:dyDescent="0.2">
      <c r="A1" s="14" t="s">
        <v>2291</v>
      </c>
      <c r="B1" s="14"/>
    </row>
    <row r="3" spans="1:2" x14ac:dyDescent="0.2">
      <c r="A3" s="11" t="s">
        <v>2289</v>
      </c>
      <c r="B3" s="11" t="s">
        <v>2290</v>
      </c>
    </row>
    <row r="4" spans="1:2" x14ac:dyDescent="0.2">
      <c r="A4" s="9" t="s">
        <v>14</v>
      </c>
      <c r="B4">
        <v>123077.42000000004</v>
      </c>
    </row>
    <row r="5" spans="1:2" x14ac:dyDescent="0.2">
      <c r="A5" s="10" t="s">
        <v>171</v>
      </c>
      <c r="B5">
        <v>22127.110000000008</v>
      </c>
    </row>
    <row r="6" spans="1:2" x14ac:dyDescent="0.2">
      <c r="A6" s="10" t="s">
        <v>213</v>
      </c>
      <c r="B6">
        <v>19810.090000000015</v>
      </c>
    </row>
    <row r="7" spans="1:2" x14ac:dyDescent="0.2">
      <c r="A7" s="10" t="s">
        <v>250</v>
      </c>
      <c r="B7">
        <v>19395.609999999997</v>
      </c>
    </row>
    <row r="8" spans="1:2" x14ac:dyDescent="0.2">
      <c r="A8" s="10" t="s">
        <v>13</v>
      </c>
      <c r="B8">
        <v>12161.419999999995</v>
      </c>
    </row>
    <row r="9" spans="1:2" x14ac:dyDescent="0.2">
      <c r="A9" s="10" t="s">
        <v>62</v>
      </c>
      <c r="B9">
        <v>12448.860000000008</v>
      </c>
    </row>
    <row r="10" spans="1:2" x14ac:dyDescent="0.2">
      <c r="A10" s="10" t="s">
        <v>96</v>
      </c>
      <c r="B10">
        <v>9034.1</v>
      </c>
    </row>
    <row r="11" spans="1:2" x14ac:dyDescent="0.2">
      <c r="A11" s="10" t="s">
        <v>127</v>
      </c>
      <c r="B11">
        <v>28100.230000000014</v>
      </c>
    </row>
    <row r="12" spans="1:2" x14ac:dyDescent="0.2">
      <c r="A12" s="9" t="s">
        <v>43</v>
      </c>
      <c r="B12">
        <v>40452.859999999993</v>
      </c>
    </row>
    <row r="13" spans="1:2" x14ac:dyDescent="0.2">
      <c r="A13" s="10" t="s">
        <v>171</v>
      </c>
      <c r="B13">
        <v>2455.2400000000002</v>
      </c>
    </row>
    <row r="14" spans="1:2" x14ac:dyDescent="0.2">
      <c r="A14" s="10" t="s">
        <v>213</v>
      </c>
      <c r="B14">
        <v>3612.43</v>
      </c>
    </row>
    <row r="15" spans="1:2" x14ac:dyDescent="0.2">
      <c r="A15" s="10" t="s">
        <v>250</v>
      </c>
      <c r="B15">
        <v>4101.3899999999976</v>
      </c>
    </row>
    <row r="16" spans="1:2" x14ac:dyDescent="0.2">
      <c r="A16" s="10" t="s">
        <v>13</v>
      </c>
      <c r="B16">
        <v>10111.219999999998</v>
      </c>
    </row>
    <row r="17" spans="1:2" x14ac:dyDescent="0.2">
      <c r="A17" s="10" t="s">
        <v>62</v>
      </c>
      <c r="B17">
        <v>9771.5399999999954</v>
      </c>
    </row>
    <row r="18" spans="1:2" x14ac:dyDescent="0.2">
      <c r="A18" s="10" t="s">
        <v>96</v>
      </c>
      <c r="B18">
        <v>8359.470000000003</v>
      </c>
    </row>
    <row r="19" spans="1:2" x14ac:dyDescent="0.2">
      <c r="A19" s="10" t="s">
        <v>127</v>
      </c>
      <c r="B19">
        <v>2041.57</v>
      </c>
    </row>
    <row r="20" spans="1:2" x14ac:dyDescent="0.2">
      <c r="A20" s="9" t="s">
        <v>2288</v>
      </c>
      <c r="B20">
        <v>163530.28000000006</v>
      </c>
    </row>
  </sheetData>
  <mergeCells count="1">
    <mergeCell ref="A1:B1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4D5A-5F93-4A45-B0B3-A37503D87375}">
  <dimension ref="A1:G2001"/>
  <sheetViews>
    <sheetView zoomScale="190" zoomScaleNormal="190" workbookViewId="0">
      <selection activeCell="C5" sqref="C5"/>
    </sheetView>
  </sheetViews>
  <sheetFormatPr baseColWidth="10" defaultRowHeight="15" x14ac:dyDescent="0.2"/>
  <cols>
    <col min="1" max="1" width="15" customWidth="1"/>
    <col min="2" max="2" width="14.83203125" customWidth="1"/>
    <col min="3" max="3" width="17.83203125" customWidth="1"/>
    <col min="4" max="4" width="15.1640625" customWidth="1"/>
    <col min="6" max="6" width="15.33203125" bestFit="1" customWidth="1"/>
  </cols>
  <sheetData>
    <row r="1" spans="1:7" ht="16" x14ac:dyDescent="0.25">
      <c r="A1" t="s">
        <v>2</v>
      </c>
      <c r="B1" t="s">
        <v>3</v>
      </c>
      <c r="C1" t="s">
        <v>4</v>
      </c>
      <c r="D1" t="s">
        <v>7</v>
      </c>
      <c r="E1" t="s">
        <v>2286</v>
      </c>
      <c r="F1" t="s">
        <v>2276</v>
      </c>
      <c r="G1" s="12" t="s">
        <v>2292</v>
      </c>
    </row>
    <row r="2" spans="1:7" x14ac:dyDescent="0.2">
      <c r="A2">
        <v>45931</v>
      </c>
      <c r="B2" t="s">
        <v>13</v>
      </c>
      <c r="C2" t="s">
        <v>14</v>
      </c>
      <c r="D2">
        <v>3</v>
      </c>
      <c r="E2">
        <v>0</v>
      </c>
      <c r="F2">
        <v>3</v>
      </c>
      <c r="G2">
        <f>IF(Table3[[#This Row],[Service_Window]]="Lunch",1,0)</f>
        <v>0</v>
      </c>
    </row>
    <row r="3" spans="1:7" x14ac:dyDescent="0.2">
      <c r="A3">
        <v>45931</v>
      </c>
      <c r="B3" t="s">
        <v>13</v>
      </c>
      <c r="C3" t="s">
        <v>14</v>
      </c>
      <c r="D3">
        <v>3</v>
      </c>
      <c r="E3">
        <v>0</v>
      </c>
      <c r="F3">
        <v>3</v>
      </c>
      <c r="G3">
        <f>IF(Table3[[#This Row],[Service_Window]]="Lunch",1,0)</f>
        <v>0</v>
      </c>
    </row>
    <row r="4" spans="1:7" x14ac:dyDescent="0.2">
      <c r="A4">
        <v>45931</v>
      </c>
      <c r="B4" t="s">
        <v>13</v>
      </c>
      <c r="C4" t="s">
        <v>14</v>
      </c>
      <c r="D4">
        <v>2</v>
      </c>
      <c r="E4">
        <v>0</v>
      </c>
      <c r="F4">
        <v>3</v>
      </c>
      <c r="G4">
        <f>IF(Table3[[#This Row],[Service_Window]]="Lunch",1,0)</f>
        <v>0</v>
      </c>
    </row>
    <row r="5" spans="1:7" x14ac:dyDescent="0.2">
      <c r="A5">
        <v>45931</v>
      </c>
      <c r="B5" t="s">
        <v>13</v>
      </c>
      <c r="C5" t="s">
        <v>14</v>
      </c>
      <c r="D5">
        <v>6</v>
      </c>
      <c r="E5">
        <v>0</v>
      </c>
      <c r="F5">
        <v>3</v>
      </c>
      <c r="G5">
        <f>IF(Table3[[#This Row],[Service_Window]]="Lunch",1,0)</f>
        <v>0</v>
      </c>
    </row>
    <row r="6" spans="1:7" x14ac:dyDescent="0.2">
      <c r="A6">
        <v>45931</v>
      </c>
      <c r="B6" t="s">
        <v>13</v>
      </c>
      <c r="C6" t="s">
        <v>14</v>
      </c>
      <c r="D6">
        <v>6</v>
      </c>
      <c r="E6">
        <v>0</v>
      </c>
      <c r="F6">
        <v>3</v>
      </c>
      <c r="G6">
        <f>IF(Table3[[#This Row],[Service_Window]]="Lunch",1,0)</f>
        <v>0</v>
      </c>
    </row>
    <row r="7" spans="1:7" x14ac:dyDescent="0.2">
      <c r="A7">
        <v>45931</v>
      </c>
      <c r="B7" t="s">
        <v>13</v>
      </c>
      <c r="C7" t="s">
        <v>14</v>
      </c>
      <c r="D7">
        <v>2</v>
      </c>
      <c r="E7">
        <v>0</v>
      </c>
      <c r="F7">
        <v>3</v>
      </c>
      <c r="G7">
        <f>IF(Table3[[#This Row],[Service_Window]]="Lunch",1,0)</f>
        <v>0</v>
      </c>
    </row>
    <row r="8" spans="1:7" x14ac:dyDescent="0.2">
      <c r="A8">
        <v>45931</v>
      </c>
      <c r="B8" t="s">
        <v>13</v>
      </c>
      <c r="C8" t="s">
        <v>14</v>
      </c>
      <c r="D8">
        <v>4</v>
      </c>
      <c r="E8">
        <v>0</v>
      </c>
      <c r="F8">
        <v>3</v>
      </c>
      <c r="G8">
        <f>IF(Table3[[#This Row],[Service_Window]]="Lunch",1,0)</f>
        <v>0</v>
      </c>
    </row>
    <row r="9" spans="1:7" x14ac:dyDescent="0.2">
      <c r="A9">
        <v>45931</v>
      </c>
      <c r="B9" t="s">
        <v>13</v>
      </c>
      <c r="C9" t="s">
        <v>14</v>
      </c>
      <c r="D9">
        <v>4</v>
      </c>
      <c r="E9">
        <v>0</v>
      </c>
      <c r="F9">
        <v>3</v>
      </c>
      <c r="G9">
        <f>IF(Table3[[#This Row],[Service_Window]]="Lunch",1,0)</f>
        <v>0</v>
      </c>
    </row>
    <row r="10" spans="1:7" x14ac:dyDescent="0.2">
      <c r="A10">
        <v>45931</v>
      </c>
      <c r="B10" t="s">
        <v>13</v>
      </c>
      <c r="C10" t="s">
        <v>14</v>
      </c>
      <c r="D10">
        <v>1</v>
      </c>
      <c r="E10">
        <v>0</v>
      </c>
      <c r="F10">
        <v>3</v>
      </c>
      <c r="G10">
        <f>IF(Table3[[#This Row],[Service_Window]]="Lunch",1,0)</f>
        <v>0</v>
      </c>
    </row>
    <row r="11" spans="1:7" x14ac:dyDescent="0.2">
      <c r="A11">
        <v>45931</v>
      </c>
      <c r="B11" t="s">
        <v>13</v>
      </c>
      <c r="C11" t="s">
        <v>43</v>
      </c>
      <c r="D11">
        <v>5</v>
      </c>
      <c r="E11">
        <v>1</v>
      </c>
      <c r="F11">
        <v>3</v>
      </c>
      <c r="G11">
        <f>IF(Table3[[#This Row],[Service_Window]]="Lunch",1,0)</f>
        <v>1</v>
      </c>
    </row>
    <row r="12" spans="1:7" x14ac:dyDescent="0.2">
      <c r="A12">
        <v>45931</v>
      </c>
      <c r="B12" t="s">
        <v>13</v>
      </c>
      <c r="C12" t="s">
        <v>43</v>
      </c>
      <c r="D12">
        <v>1</v>
      </c>
      <c r="E12">
        <v>1</v>
      </c>
      <c r="F12">
        <v>3</v>
      </c>
      <c r="G12">
        <f>IF(Table3[[#This Row],[Service_Window]]="Lunch",1,0)</f>
        <v>1</v>
      </c>
    </row>
    <row r="13" spans="1:7" x14ac:dyDescent="0.2">
      <c r="A13">
        <v>45931</v>
      </c>
      <c r="B13" t="s">
        <v>13</v>
      </c>
      <c r="C13" t="s">
        <v>43</v>
      </c>
      <c r="D13">
        <v>2</v>
      </c>
      <c r="E13">
        <v>1</v>
      </c>
      <c r="F13">
        <v>3</v>
      </c>
      <c r="G13">
        <f>IF(Table3[[#This Row],[Service_Window]]="Lunch",1,0)</f>
        <v>1</v>
      </c>
    </row>
    <row r="14" spans="1:7" x14ac:dyDescent="0.2">
      <c r="A14">
        <v>45931</v>
      </c>
      <c r="B14" t="s">
        <v>13</v>
      </c>
      <c r="C14" t="s">
        <v>43</v>
      </c>
      <c r="D14">
        <v>4</v>
      </c>
      <c r="E14">
        <v>1</v>
      </c>
      <c r="F14">
        <v>3</v>
      </c>
      <c r="G14">
        <f>IF(Table3[[#This Row],[Service_Window]]="Lunch",1,0)</f>
        <v>1</v>
      </c>
    </row>
    <row r="15" spans="1:7" x14ac:dyDescent="0.2">
      <c r="A15">
        <v>45931</v>
      </c>
      <c r="B15" t="s">
        <v>13</v>
      </c>
      <c r="C15" t="s">
        <v>43</v>
      </c>
      <c r="D15">
        <v>3</v>
      </c>
      <c r="E15">
        <v>1</v>
      </c>
      <c r="F15">
        <v>3</v>
      </c>
      <c r="G15">
        <f>IF(Table3[[#This Row],[Service_Window]]="Lunch",1,0)</f>
        <v>1</v>
      </c>
    </row>
    <row r="16" spans="1:7" x14ac:dyDescent="0.2">
      <c r="A16">
        <v>45931</v>
      </c>
      <c r="B16" t="s">
        <v>13</v>
      </c>
      <c r="C16" t="s">
        <v>43</v>
      </c>
      <c r="D16">
        <v>1</v>
      </c>
      <c r="E16">
        <v>0</v>
      </c>
      <c r="F16">
        <v>3</v>
      </c>
      <c r="G16">
        <f>IF(Table3[[#This Row],[Service_Window]]="Lunch",1,0)</f>
        <v>1</v>
      </c>
    </row>
    <row r="17" spans="1:7" x14ac:dyDescent="0.2">
      <c r="A17">
        <v>45931</v>
      </c>
      <c r="B17" t="s">
        <v>13</v>
      </c>
      <c r="C17" t="s">
        <v>43</v>
      </c>
      <c r="D17">
        <v>5</v>
      </c>
      <c r="E17">
        <v>1</v>
      </c>
      <c r="F17">
        <v>3</v>
      </c>
      <c r="G17">
        <f>IF(Table3[[#This Row],[Service_Window]]="Lunch",1,0)</f>
        <v>1</v>
      </c>
    </row>
    <row r="18" spans="1:7" x14ac:dyDescent="0.2">
      <c r="A18">
        <v>45932</v>
      </c>
      <c r="B18" t="s">
        <v>62</v>
      </c>
      <c r="C18" t="s">
        <v>14</v>
      </c>
      <c r="D18">
        <v>4</v>
      </c>
      <c r="E18">
        <v>0</v>
      </c>
      <c r="F18">
        <v>4</v>
      </c>
      <c r="G18">
        <f>IF(Table3[[#This Row],[Service_Window]]="Lunch",1,0)</f>
        <v>0</v>
      </c>
    </row>
    <row r="19" spans="1:7" x14ac:dyDescent="0.2">
      <c r="A19">
        <v>45932</v>
      </c>
      <c r="B19" t="s">
        <v>62</v>
      </c>
      <c r="C19" t="s">
        <v>14</v>
      </c>
      <c r="D19">
        <v>2</v>
      </c>
      <c r="E19">
        <v>0</v>
      </c>
      <c r="F19">
        <v>4</v>
      </c>
      <c r="G19">
        <f>IF(Table3[[#This Row],[Service_Window]]="Lunch",1,0)</f>
        <v>0</v>
      </c>
    </row>
    <row r="20" spans="1:7" x14ac:dyDescent="0.2">
      <c r="A20">
        <v>45932</v>
      </c>
      <c r="B20" t="s">
        <v>62</v>
      </c>
      <c r="C20" t="s">
        <v>14</v>
      </c>
      <c r="D20">
        <v>5</v>
      </c>
      <c r="E20">
        <v>0</v>
      </c>
      <c r="F20">
        <v>4</v>
      </c>
      <c r="G20">
        <f>IF(Table3[[#This Row],[Service_Window]]="Lunch",1,0)</f>
        <v>0</v>
      </c>
    </row>
    <row r="21" spans="1:7" x14ac:dyDescent="0.2">
      <c r="A21">
        <v>45932</v>
      </c>
      <c r="B21" t="s">
        <v>62</v>
      </c>
      <c r="C21" t="s">
        <v>14</v>
      </c>
      <c r="D21">
        <v>3</v>
      </c>
      <c r="E21">
        <v>0</v>
      </c>
      <c r="F21">
        <v>4</v>
      </c>
      <c r="G21">
        <f>IF(Table3[[#This Row],[Service_Window]]="Lunch",1,0)</f>
        <v>0</v>
      </c>
    </row>
    <row r="22" spans="1:7" x14ac:dyDescent="0.2">
      <c r="A22">
        <v>45932</v>
      </c>
      <c r="B22" t="s">
        <v>62</v>
      </c>
      <c r="C22" t="s">
        <v>14</v>
      </c>
      <c r="D22">
        <v>3</v>
      </c>
      <c r="E22">
        <v>0</v>
      </c>
      <c r="F22">
        <v>4</v>
      </c>
      <c r="G22">
        <f>IF(Table3[[#This Row],[Service_Window]]="Lunch",1,0)</f>
        <v>0</v>
      </c>
    </row>
    <row r="23" spans="1:7" x14ac:dyDescent="0.2">
      <c r="A23">
        <v>45932</v>
      </c>
      <c r="B23" t="s">
        <v>62</v>
      </c>
      <c r="C23" t="s">
        <v>14</v>
      </c>
      <c r="D23">
        <v>2</v>
      </c>
      <c r="E23">
        <v>0</v>
      </c>
      <c r="F23">
        <v>4</v>
      </c>
      <c r="G23">
        <f>IF(Table3[[#This Row],[Service_Window]]="Lunch",1,0)</f>
        <v>0</v>
      </c>
    </row>
    <row r="24" spans="1:7" x14ac:dyDescent="0.2">
      <c r="A24">
        <v>45932</v>
      </c>
      <c r="B24" t="s">
        <v>62</v>
      </c>
      <c r="C24" t="s">
        <v>14</v>
      </c>
      <c r="D24">
        <v>3</v>
      </c>
      <c r="E24">
        <v>0</v>
      </c>
      <c r="F24">
        <v>4</v>
      </c>
      <c r="G24">
        <f>IF(Table3[[#This Row],[Service_Window]]="Lunch",1,0)</f>
        <v>0</v>
      </c>
    </row>
    <row r="25" spans="1:7" x14ac:dyDescent="0.2">
      <c r="A25">
        <v>45932</v>
      </c>
      <c r="B25" t="s">
        <v>62</v>
      </c>
      <c r="C25" t="s">
        <v>14</v>
      </c>
      <c r="D25">
        <v>2</v>
      </c>
      <c r="E25">
        <v>0</v>
      </c>
      <c r="F25">
        <v>4</v>
      </c>
      <c r="G25">
        <f>IF(Table3[[#This Row],[Service_Window]]="Lunch",1,0)</f>
        <v>0</v>
      </c>
    </row>
    <row r="26" spans="1:7" x14ac:dyDescent="0.2">
      <c r="A26">
        <v>45932</v>
      </c>
      <c r="B26" t="s">
        <v>62</v>
      </c>
      <c r="C26" t="s">
        <v>14</v>
      </c>
      <c r="D26">
        <v>2</v>
      </c>
      <c r="E26">
        <v>0</v>
      </c>
      <c r="F26">
        <v>4</v>
      </c>
      <c r="G26">
        <f>IF(Table3[[#This Row],[Service_Window]]="Lunch",1,0)</f>
        <v>0</v>
      </c>
    </row>
    <row r="27" spans="1:7" x14ac:dyDescent="0.2">
      <c r="A27">
        <v>45932</v>
      </c>
      <c r="B27" t="s">
        <v>62</v>
      </c>
      <c r="C27" t="s">
        <v>14</v>
      </c>
      <c r="D27">
        <v>2</v>
      </c>
      <c r="E27">
        <v>0</v>
      </c>
      <c r="F27">
        <v>4</v>
      </c>
      <c r="G27">
        <f>IF(Table3[[#This Row],[Service_Window]]="Lunch",1,0)</f>
        <v>0</v>
      </c>
    </row>
    <row r="28" spans="1:7" x14ac:dyDescent="0.2">
      <c r="A28">
        <v>45932</v>
      </c>
      <c r="B28" t="s">
        <v>62</v>
      </c>
      <c r="C28" t="s">
        <v>43</v>
      </c>
      <c r="D28">
        <v>1</v>
      </c>
      <c r="E28">
        <v>1</v>
      </c>
      <c r="F28">
        <v>4</v>
      </c>
      <c r="G28">
        <f>IF(Table3[[#This Row],[Service_Window]]="Lunch",1,0)</f>
        <v>1</v>
      </c>
    </row>
    <row r="29" spans="1:7" x14ac:dyDescent="0.2">
      <c r="A29">
        <v>45932</v>
      </c>
      <c r="B29" t="s">
        <v>62</v>
      </c>
      <c r="C29" t="s">
        <v>43</v>
      </c>
      <c r="D29">
        <v>1</v>
      </c>
      <c r="E29">
        <v>1</v>
      </c>
      <c r="F29">
        <v>4</v>
      </c>
      <c r="G29">
        <f>IF(Table3[[#This Row],[Service_Window]]="Lunch",1,0)</f>
        <v>1</v>
      </c>
    </row>
    <row r="30" spans="1:7" x14ac:dyDescent="0.2">
      <c r="A30">
        <v>45932</v>
      </c>
      <c r="B30" t="s">
        <v>62</v>
      </c>
      <c r="C30" t="s">
        <v>43</v>
      </c>
      <c r="D30">
        <v>2</v>
      </c>
      <c r="E30">
        <v>1</v>
      </c>
      <c r="F30">
        <v>4</v>
      </c>
      <c r="G30">
        <f>IF(Table3[[#This Row],[Service_Window]]="Lunch",1,0)</f>
        <v>1</v>
      </c>
    </row>
    <row r="31" spans="1:7" x14ac:dyDescent="0.2">
      <c r="A31">
        <v>45932</v>
      </c>
      <c r="B31" t="s">
        <v>62</v>
      </c>
      <c r="C31" t="s">
        <v>43</v>
      </c>
      <c r="D31">
        <v>2</v>
      </c>
      <c r="E31">
        <v>1</v>
      </c>
      <c r="F31">
        <v>4</v>
      </c>
      <c r="G31">
        <f>IF(Table3[[#This Row],[Service_Window]]="Lunch",1,0)</f>
        <v>1</v>
      </c>
    </row>
    <row r="32" spans="1:7" x14ac:dyDescent="0.2">
      <c r="A32">
        <v>45932</v>
      </c>
      <c r="B32" t="s">
        <v>62</v>
      </c>
      <c r="C32" t="s">
        <v>43</v>
      </c>
      <c r="D32">
        <v>3</v>
      </c>
      <c r="E32">
        <v>1</v>
      </c>
      <c r="F32">
        <v>4</v>
      </c>
      <c r="G32">
        <f>IF(Table3[[#This Row],[Service_Window]]="Lunch",1,0)</f>
        <v>1</v>
      </c>
    </row>
    <row r="33" spans="1:7" x14ac:dyDescent="0.2">
      <c r="A33">
        <v>45932</v>
      </c>
      <c r="B33" t="s">
        <v>62</v>
      </c>
      <c r="C33" t="s">
        <v>43</v>
      </c>
      <c r="D33">
        <v>3</v>
      </c>
      <c r="E33">
        <v>1</v>
      </c>
      <c r="F33">
        <v>4</v>
      </c>
      <c r="G33">
        <f>IF(Table3[[#This Row],[Service_Window]]="Lunch",1,0)</f>
        <v>1</v>
      </c>
    </row>
    <row r="34" spans="1:7" x14ac:dyDescent="0.2">
      <c r="A34">
        <v>45932</v>
      </c>
      <c r="B34" t="s">
        <v>62</v>
      </c>
      <c r="C34" t="s">
        <v>43</v>
      </c>
      <c r="D34">
        <v>2</v>
      </c>
      <c r="E34">
        <v>0</v>
      </c>
      <c r="F34">
        <v>4</v>
      </c>
      <c r="G34">
        <f>IF(Table3[[#This Row],[Service_Window]]="Lunch",1,0)</f>
        <v>1</v>
      </c>
    </row>
    <row r="35" spans="1:7" x14ac:dyDescent="0.2">
      <c r="A35">
        <v>45932</v>
      </c>
      <c r="B35" t="s">
        <v>62</v>
      </c>
      <c r="C35" t="s">
        <v>43</v>
      </c>
      <c r="D35">
        <v>4</v>
      </c>
      <c r="E35">
        <v>1</v>
      </c>
      <c r="F35">
        <v>4</v>
      </c>
      <c r="G35">
        <f>IF(Table3[[#This Row],[Service_Window]]="Lunch",1,0)</f>
        <v>1</v>
      </c>
    </row>
    <row r="36" spans="1:7" x14ac:dyDescent="0.2">
      <c r="A36">
        <v>45933</v>
      </c>
      <c r="B36" t="s">
        <v>96</v>
      </c>
      <c r="C36" t="s">
        <v>14</v>
      </c>
      <c r="D36">
        <v>3</v>
      </c>
      <c r="E36">
        <v>0</v>
      </c>
      <c r="F36">
        <v>5</v>
      </c>
      <c r="G36">
        <f>IF(Table3[[#This Row],[Service_Window]]="Lunch",1,0)</f>
        <v>0</v>
      </c>
    </row>
    <row r="37" spans="1:7" x14ac:dyDescent="0.2">
      <c r="A37">
        <v>45933</v>
      </c>
      <c r="B37" t="s">
        <v>96</v>
      </c>
      <c r="C37" t="s">
        <v>14</v>
      </c>
      <c r="D37">
        <v>2</v>
      </c>
      <c r="E37">
        <v>0</v>
      </c>
      <c r="F37">
        <v>5</v>
      </c>
      <c r="G37">
        <f>IF(Table3[[#This Row],[Service_Window]]="Lunch",1,0)</f>
        <v>0</v>
      </c>
    </row>
    <row r="38" spans="1:7" x14ac:dyDescent="0.2">
      <c r="A38">
        <v>45933</v>
      </c>
      <c r="B38" t="s">
        <v>96</v>
      </c>
      <c r="C38" t="s">
        <v>14</v>
      </c>
      <c r="D38">
        <v>3</v>
      </c>
      <c r="E38">
        <v>0</v>
      </c>
      <c r="F38">
        <v>5</v>
      </c>
      <c r="G38">
        <f>IF(Table3[[#This Row],[Service_Window]]="Lunch",1,0)</f>
        <v>0</v>
      </c>
    </row>
    <row r="39" spans="1:7" x14ac:dyDescent="0.2">
      <c r="A39">
        <v>45933</v>
      </c>
      <c r="B39" t="s">
        <v>96</v>
      </c>
      <c r="C39" t="s">
        <v>14</v>
      </c>
      <c r="D39">
        <v>4</v>
      </c>
      <c r="E39">
        <v>0</v>
      </c>
      <c r="F39">
        <v>5</v>
      </c>
      <c r="G39">
        <f>IF(Table3[[#This Row],[Service_Window]]="Lunch",1,0)</f>
        <v>0</v>
      </c>
    </row>
    <row r="40" spans="1:7" x14ac:dyDescent="0.2">
      <c r="A40">
        <v>45933</v>
      </c>
      <c r="B40" t="s">
        <v>96</v>
      </c>
      <c r="C40" t="s">
        <v>43</v>
      </c>
      <c r="D40">
        <v>2</v>
      </c>
      <c r="E40">
        <v>0</v>
      </c>
      <c r="F40">
        <v>5</v>
      </c>
      <c r="G40">
        <f>IF(Table3[[#This Row],[Service_Window]]="Lunch",1,0)</f>
        <v>1</v>
      </c>
    </row>
    <row r="41" spans="1:7" x14ac:dyDescent="0.2">
      <c r="A41">
        <v>45933</v>
      </c>
      <c r="B41" t="s">
        <v>96</v>
      </c>
      <c r="C41" t="s">
        <v>43</v>
      </c>
      <c r="D41">
        <v>3</v>
      </c>
      <c r="E41">
        <v>0</v>
      </c>
      <c r="F41">
        <v>5</v>
      </c>
      <c r="G41">
        <f>IF(Table3[[#This Row],[Service_Window]]="Lunch",1,0)</f>
        <v>1</v>
      </c>
    </row>
    <row r="42" spans="1:7" x14ac:dyDescent="0.2">
      <c r="A42">
        <v>45933</v>
      </c>
      <c r="B42" t="s">
        <v>96</v>
      </c>
      <c r="C42" t="s">
        <v>43</v>
      </c>
      <c r="D42">
        <v>6</v>
      </c>
      <c r="E42">
        <v>1</v>
      </c>
      <c r="F42">
        <v>5</v>
      </c>
      <c r="G42">
        <f>IF(Table3[[#This Row],[Service_Window]]="Lunch",1,0)</f>
        <v>1</v>
      </c>
    </row>
    <row r="43" spans="1:7" x14ac:dyDescent="0.2">
      <c r="A43">
        <v>45933</v>
      </c>
      <c r="B43" t="s">
        <v>96</v>
      </c>
      <c r="C43" t="s">
        <v>43</v>
      </c>
      <c r="D43">
        <v>2</v>
      </c>
      <c r="E43">
        <v>1</v>
      </c>
      <c r="F43">
        <v>5</v>
      </c>
      <c r="G43">
        <f>IF(Table3[[#This Row],[Service_Window]]="Lunch",1,0)</f>
        <v>1</v>
      </c>
    </row>
    <row r="44" spans="1:7" x14ac:dyDescent="0.2">
      <c r="A44">
        <v>45933</v>
      </c>
      <c r="B44" t="s">
        <v>96</v>
      </c>
      <c r="C44" t="s">
        <v>43</v>
      </c>
      <c r="D44">
        <v>2</v>
      </c>
      <c r="E44">
        <v>1</v>
      </c>
      <c r="F44">
        <v>5</v>
      </c>
      <c r="G44">
        <f>IF(Table3[[#This Row],[Service_Window]]="Lunch",1,0)</f>
        <v>1</v>
      </c>
    </row>
    <row r="45" spans="1:7" x14ac:dyDescent="0.2">
      <c r="A45">
        <v>45933</v>
      </c>
      <c r="B45" t="s">
        <v>96</v>
      </c>
      <c r="C45" t="s">
        <v>43</v>
      </c>
      <c r="D45">
        <v>2</v>
      </c>
      <c r="E45">
        <v>1</v>
      </c>
      <c r="F45">
        <v>5</v>
      </c>
      <c r="G45">
        <f>IF(Table3[[#This Row],[Service_Window]]="Lunch",1,0)</f>
        <v>1</v>
      </c>
    </row>
    <row r="46" spans="1:7" x14ac:dyDescent="0.2">
      <c r="A46">
        <v>45933</v>
      </c>
      <c r="B46" t="s">
        <v>96</v>
      </c>
      <c r="C46" t="s">
        <v>43</v>
      </c>
      <c r="D46">
        <v>3</v>
      </c>
      <c r="E46">
        <v>0</v>
      </c>
      <c r="F46">
        <v>5</v>
      </c>
      <c r="G46">
        <f>IF(Table3[[#This Row],[Service_Window]]="Lunch",1,0)</f>
        <v>1</v>
      </c>
    </row>
    <row r="47" spans="1:7" x14ac:dyDescent="0.2">
      <c r="A47">
        <v>45933</v>
      </c>
      <c r="B47" t="s">
        <v>96</v>
      </c>
      <c r="C47" t="s">
        <v>43</v>
      </c>
      <c r="D47">
        <v>1</v>
      </c>
      <c r="E47">
        <v>0</v>
      </c>
      <c r="F47">
        <v>5</v>
      </c>
      <c r="G47">
        <f>IF(Table3[[#This Row],[Service_Window]]="Lunch",1,0)</f>
        <v>1</v>
      </c>
    </row>
    <row r="48" spans="1:7" x14ac:dyDescent="0.2">
      <c r="A48">
        <v>45933</v>
      </c>
      <c r="B48" t="s">
        <v>96</v>
      </c>
      <c r="C48" t="s">
        <v>43</v>
      </c>
      <c r="D48">
        <v>2</v>
      </c>
      <c r="E48">
        <v>1</v>
      </c>
      <c r="F48">
        <v>5</v>
      </c>
      <c r="G48">
        <f>IF(Table3[[#This Row],[Service_Window]]="Lunch",1,0)</f>
        <v>1</v>
      </c>
    </row>
    <row r="49" spans="1:7" x14ac:dyDescent="0.2">
      <c r="A49">
        <v>45933</v>
      </c>
      <c r="B49" t="s">
        <v>96</v>
      </c>
      <c r="C49" t="s">
        <v>43</v>
      </c>
      <c r="D49">
        <v>1</v>
      </c>
      <c r="E49">
        <v>0</v>
      </c>
      <c r="F49">
        <v>5</v>
      </c>
      <c r="G49">
        <f>IF(Table3[[#This Row],[Service_Window]]="Lunch",1,0)</f>
        <v>1</v>
      </c>
    </row>
    <row r="50" spans="1:7" x14ac:dyDescent="0.2">
      <c r="A50">
        <v>45933</v>
      </c>
      <c r="B50" t="s">
        <v>96</v>
      </c>
      <c r="C50" t="s">
        <v>43</v>
      </c>
      <c r="D50">
        <v>1</v>
      </c>
      <c r="E50">
        <v>1</v>
      </c>
      <c r="F50">
        <v>5</v>
      </c>
      <c r="G50">
        <f>IF(Table3[[#This Row],[Service_Window]]="Lunch",1,0)</f>
        <v>1</v>
      </c>
    </row>
    <row r="51" spans="1:7" x14ac:dyDescent="0.2">
      <c r="A51">
        <v>45933</v>
      </c>
      <c r="B51" t="s">
        <v>96</v>
      </c>
      <c r="C51" t="s">
        <v>43</v>
      </c>
      <c r="D51">
        <v>2</v>
      </c>
      <c r="E51">
        <v>1</v>
      </c>
      <c r="F51">
        <v>5</v>
      </c>
      <c r="G51">
        <f>IF(Table3[[#This Row],[Service_Window]]="Lunch",1,0)</f>
        <v>1</v>
      </c>
    </row>
    <row r="52" spans="1:7" x14ac:dyDescent="0.2">
      <c r="A52">
        <v>45933</v>
      </c>
      <c r="B52" t="s">
        <v>96</v>
      </c>
      <c r="C52" t="s">
        <v>43</v>
      </c>
      <c r="D52">
        <v>2</v>
      </c>
      <c r="E52">
        <v>0</v>
      </c>
      <c r="F52">
        <v>5</v>
      </c>
      <c r="G52">
        <f>IF(Table3[[#This Row],[Service_Window]]="Lunch",1,0)</f>
        <v>1</v>
      </c>
    </row>
    <row r="53" spans="1:7" x14ac:dyDescent="0.2">
      <c r="A53">
        <v>45934</v>
      </c>
      <c r="B53" t="s">
        <v>127</v>
      </c>
      <c r="C53" t="s">
        <v>14</v>
      </c>
      <c r="D53">
        <v>4</v>
      </c>
      <c r="E53">
        <v>0</v>
      </c>
      <c r="F53">
        <v>6</v>
      </c>
      <c r="G53">
        <f>IF(Table3[[#This Row],[Service_Window]]="Lunch",1,0)</f>
        <v>0</v>
      </c>
    </row>
    <row r="54" spans="1:7" x14ac:dyDescent="0.2">
      <c r="A54">
        <v>45934</v>
      </c>
      <c r="B54" t="s">
        <v>127</v>
      </c>
      <c r="C54" t="s">
        <v>14</v>
      </c>
      <c r="D54">
        <v>3</v>
      </c>
      <c r="E54">
        <v>0</v>
      </c>
      <c r="F54">
        <v>6</v>
      </c>
      <c r="G54">
        <f>IF(Table3[[#This Row],[Service_Window]]="Lunch",1,0)</f>
        <v>0</v>
      </c>
    </row>
    <row r="55" spans="1:7" x14ac:dyDescent="0.2">
      <c r="A55">
        <v>45934</v>
      </c>
      <c r="B55" t="s">
        <v>127</v>
      </c>
      <c r="C55" t="s">
        <v>14</v>
      </c>
      <c r="D55">
        <v>2</v>
      </c>
      <c r="E55">
        <v>0</v>
      </c>
      <c r="F55">
        <v>6</v>
      </c>
      <c r="G55">
        <f>IF(Table3[[#This Row],[Service_Window]]="Lunch",1,0)</f>
        <v>0</v>
      </c>
    </row>
    <row r="56" spans="1:7" x14ac:dyDescent="0.2">
      <c r="A56">
        <v>45934</v>
      </c>
      <c r="B56" t="s">
        <v>127</v>
      </c>
      <c r="C56" t="s">
        <v>14</v>
      </c>
      <c r="D56">
        <v>5</v>
      </c>
      <c r="E56">
        <v>0</v>
      </c>
      <c r="F56">
        <v>6</v>
      </c>
      <c r="G56">
        <f>IF(Table3[[#This Row],[Service_Window]]="Lunch",1,0)</f>
        <v>0</v>
      </c>
    </row>
    <row r="57" spans="1:7" x14ac:dyDescent="0.2">
      <c r="A57">
        <v>45934</v>
      </c>
      <c r="B57" t="s">
        <v>127</v>
      </c>
      <c r="C57" t="s">
        <v>14</v>
      </c>
      <c r="D57">
        <v>1</v>
      </c>
      <c r="E57">
        <v>0</v>
      </c>
      <c r="F57">
        <v>6</v>
      </c>
      <c r="G57">
        <f>IF(Table3[[#This Row],[Service_Window]]="Lunch",1,0)</f>
        <v>0</v>
      </c>
    </row>
    <row r="58" spans="1:7" x14ac:dyDescent="0.2">
      <c r="A58">
        <v>45934</v>
      </c>
      <c r="B58" t="s">
        <v>127</v>
      </c>
      <c r="C58" t="s">
        <v>14</v>
      </c>
      <c r="D58">
        <v>2</v>
      </c>
      <c r="E58">
        <v>0</v>
      </c>
      <c r="F58">
        <v>6</v>
      </c>
      <c r="G58">
        <f>IF(Table3[[#This Row],[Service_Window]]="Lunch",1,0)</f>
        <v>0</v>
      </c>
    </row>
    <row r="59" spans="1:7" x14ac:dyDescent="0.2">
      <c r="A59">
        <v>45934</v>
      </c>
      <c r="B59" t="s">
        <v>127</v>
      </c>
      <c r="C59" t="s">
        <v>14</v>
      </c>
      <c r="D59">
        <v>1</v>
      </c>
      <c r="E59">
        <v>0</v>
      </c>
      <c r="F59">
        <v>6</v>
      </c>
      <c r="G59">
        <f>IF(Table3[[#This Row],[Service_Window]]="Lunch",1,0)</f>
        <v>0</v>
      </c>
    </row>
    <row r="60" spans="1:7" x14ac:dyDescent="0.2">
      <c r="A60">
        <v>45934</v>
      </c>
      <c r="B60" t="s">
        <v>127</v>
      </c>
      <c r="C60" t="s">
        <v>14</v>
      </c>
      <c r="D60">
        <v>5</v>
      </c>
      <c r="E60">
        <v>0</v>
      </c>
      <c r="F60">
        <v>6</v>
      </c>
      <c r="G60">
        <f>IF(Table3[[#This Row],[Service_Window]]="Lunch",1,0)</f>
        <v>0</v>
      </c>
    </row>
    <row r="61" spans="1:7" x14ac:dyDescent="0.2">
      <c r="A61">
        <v>45934</v>
      </c>
      <c r="B61" t="s">
        <v>127</v>
      </c>
      <c r="C61" t="s">
        <v>14</v>
      </c>
      <c r="D61">
        <v>2</v>
      </c>
      <c r="E61">
        <v>0</v>
      </c>
      <c r="F61">
        <v>6</v>
      </c>
      <c r="G61">
        <f>IF(Table3[[#This Row],[Service_Window]]="Lunch",1,0)</f>
        <v>0</v>
      </c>
    </row>
    <row r="62" spans="1:7" x14ac:dyDescent="0.2">
      <c r="A62">
        <v>45934</v>
      </c>
      <c r="B62" t="s">
        <v>127</v>
      </c>
      <c r="C62" t="s">
        <v>14</v>
      </c>
      <c r="D62">
        <v>1</v>
      </c>
      <c r="E62">
        <v>0</v>
      </c>
      <c r="F62">
        <v>6</v>
      </c>
      <c r="G62">
        <f>IF(Table3[[#This Row],[Service_Window]]="Lunch",1,0)</f>
        <v>0</v>
      </c>
    </row>
    <row r="63" spans="1:7" x14ac:dyDescent="0.2">
      <c r="A63">
        <v>45934</v>
      </c>
      <c r="B63" t="s">
        <v>127</v>
      </c>
      <c r="C63" t="s">
        <v>14</v>
      </c>
      <c r="D63">
        <v>2</v>
      </c>
      <c r="E63">
        <v>0</v>
      </c>
      <c r="F63">
        <v>6</v>
      </c>
      <c r="G63">
        <f>IF(Table3[[#This Row],[Service_Window]]="Lunch",1,0)</f>
        <v>0</v>
      </c>
    </row>
    <row r="64" spans="1:7" x14ac:dyDescent="0.2">
      <c r="A64">
        <v>45934</v>
      </c>
      <c r="B64" t="s">
        <v>127</v>
      </c>
      <c r="C64" t="s">
        <v>14</v>
      </c>
      <c r="D64">
        <v>3</v>
      </c>
      <c r="E64">
        <v>0</v>
      </c>
      <c r="F64">
        <v>6</v>
      </c>
      <c r="G64">
        <f>IF(Table3[[#This Row],[Service_Window]]="Lunch",1,0)</f>
        <v>0</v>
      </c>
    </row>
    <row r="65" spans="1:7" x14ac:dyDescent="0.2">
      <c r="A65">
        <v>45934</v>
      </c>
      <c r="B65" t="s">
        <v>127</v>
      </c>
      <c r="C65" t="s">
        <v>14</v>
      </c>
      <c r="D65">
        <v>2</v>
      </c>
      <c r="E65">
        <v>0</v>
      </c>
      <c r="F65">
        <v>6</v>
      </c>
      <c r="G65">
        <f>IF(Table3[[#This Row],[Service_Window]]="Lunch",1,0)</f>
        <v>0</v>
      </c>
    </row>
    <row r="66" spans="1:7" x14ac:dyDescent="0.2">
      <c r="A66">
        <v>45934</v>
      </c>
      <c r="B66" t="s">
        <v>127</v>
      </c>
      <c r="C66" t="s">
        <v>14</v>
      </c>
      <c r="D66">
        <v>4</v>
      </c>
      <c r="E66">
        <v>0</v>
      </c>
      <c r="F66">
        <v>6</v>
      </c>
      <c r="G66">
        <f>IF(Table3[[#This Row],[Service_Window]]="Lunch",1,0)</f>
        <v>0</v>
      </c>
    </row>
    <row r="67" spans="1:7" x14ac:dyDescent="0.2">
      <c r="A67">
        <v>45934</v>
      </c>
      <c r="B67" t="s">
        <v>127</v>
      </c>
      <c r="C67" t="s">
        <v>14</v>
      </c>
      <c r="D67">
        <v>2</v>
      </c>
      <c r="E67">
        <v>0</v>
      </c>
      <c r="F67">
        <v>6</v>
      </c>
      <c r="G67">
        <f>IF(Table3[[#This Row],[Service_Window]]="Lunch",1,0)</f>
        <v>0</v>
      </c>
    </row>
    <row r="68" spans="1:7" x14ac:dyDescent="0.2">
      <c r="A68">
        <v>45934</v>
      </c>
      <c r="B68" t="s">
        <v>127</v>
      </c>
      <c r="C68" t="s">
        <v>14</v>
      </c>
      <c r="D68">
        <v>3</v>
      </c>
      <c r="E68">
        <v>0</v>
      </c>
      <c r="F68">
        <v>6</v>
      </c>
      <c r="G68">
        <f>IF(Table3[[#This Row],[Service_Window]]="Lunch",1,0)</f>
        <v>0</v>
      </c>
    </row>
    <row r="69" spans="1:7" x14ac:dyDescent="0.2">
      <c r="A69">
        <v>45934</v>
      </c>
      <c r="B69" t="s">
        <v>127</v>
      </c>
      <c r="C69" t="s">
        <v>14</v>
      </c>
      <c r="D69">
        <v>4</v>
      </c>
      <c r="E69">
        <v>0</v>
      </c>
      <c r="F69">
        <v>6</v>
      </c>
      <c r="G69">
        <f>IF(Table3[[#This Row],[Service_Window]]="Lunch",1,0)</f>
        <v>0</v>
      </c>
    </row>
    <row r="70" spans="1:7" x14ac:dyDescent="0.2">
      <c r="A70">
        <v>45934</v>
      </c>
      <c r="B70" t="s">
        <v>127</v>
      </c>
      <c r="C70" t="s">
        <v>14</v>
      </c>
      <c r="D70">
        <v>1</v>
      </c>
      <c r="E70">
        <v>0</v>
      </c>
      <c r="F70">
        <v>6</v>
      </c>
      <c r="G70">
        <f>IF(Table3[[#This Row],[Service_Window]]="Lunch",1,0)</f>
        <v>0</v>
      </c>
    </row>
    <row r="71" spans="1:7" x14ac:dyDescent="0.2">
      <c r="A71">
        <v>45934</v>
      </c>
      <c r="B71" t="s">
        <v>127</v>
      </c>
      <c r="C71" t="s">
        <v>14</v>
      </c>
      <c r="D71">
        <v>4</v>
      </c>
      <c r="E71">
        <v>0</v>
      </c>
      <c r="F71">
        <v>6</v>
      </c>
      <c r="G71">
        <f>IF(Table3[[#This Row],[Service_Window]]="Lunch",1,0)</f>
        <v>0</v>
      </c>
    </row>
    <row r="72" spans="1:7" x14ac:dyDescent="0.2">
      <c r="A72">
        <v>45934</v>
      </c>
      <c r="B72" t="s">
        <v>127</v>
      </c>
      <c r="C72" t="s">
        <v>14</v>
      </c>
      <c r="D72">
        <v>6</v>
      </c>
      <c r="E72">
        <v>0</v>
      </c>
      <c r="F72">
        <v>6</v>
      </c>
      <c r="G72">
        <f>IF(Table3[[#This Row],[Service_Window]]="Lunch",1,0)</f>
        <v>0</v>
      </c>
    </row>
    <row r="73" spans="1:7" x14ac:dyDescent="0.2">
      <c r="A73">
        <v>45934</v>
      </c>
      <c r="B73" t="s">
        <v>127</v>
      </c>
      <c r="C73" t="s">
        <v>14</v>
      </c>
      <c r="D73">
        <v>4</v>
      </c>
      <c r="E73">
        <v>0</v>
      </c>
      <c r="F73">
        <v>6</v>
      </c>
      <c r="G73">
        <f>IF(Table3[[#This Row],[Service_Window]]="Lunch",1,0)</f>
        <v>0</v>
      </c>
    </row>
    <row r="74" spans="1:7" x14ac:dyDescent="0.2">
      <c r="A74">
        <v>45934</v>
      </c>
      <c r="B74" t="s">
        <v>127</v>
      </c>
      <c r="C74" t="s">
        <v>14</v>
      </c>
      <c r="D74">
        <v>5</v>
      </c>
      <c r="E74">
        <v>0</v>
      </c>
      <c r="F74">
        <v>6</v>
      </c>
      <c r="G74">
        <f>IF(Table3[[#This Row],[Service_Window]]="Lunch",1,0)</f>
        <v>0</v>
      </c>
    </row>
    <row r="75" spans="1:7" x14ac:dyDescent="0.2">
      <c r="A75">
        <v>45934</v>
      </c>
      <c r="B75" t="s">
        <v>127</v>
      </c>
      <c r="C75" t="s">
        <v>43</v>
      </c>
      <c r="D75">
        <v>3</v>
      </c>
      <c r="E75">
        <v>0</v>
      </c>
      <c r="F75">
        <v>6</v>
      </c>
      <c r="G75">
        <f>IF(Table3[[#This Row],[Service_Window]]="Lunch",1,0)</f>
        <v>1</v>
      </c>
    </row>
    <row r="76" spans="1:7" x14ac:dyDescent="0.2">
      <c r="A76">
        <v>45935</v>
      </c>
      <c r="B76" t="s">
        <v>171</v>
      </c>
      <c r="C76" t="s">
        <v>14</v>
      </c>
      <c r="D76">
        <v>5</v>
      </c>
      <c r="E76">
        <v>0</v>
      </c>
      <c r="F76">
        <v>7</v>
      </c>
      <c r="G76">
        <f>IF(Table3[[#This Row],[Service_Window]]="Lunch",1,0)</f>
        <v>0</v>
      </c>
    </row>
    <row r="77" spans="1:7" x14ac:dyDescent="0.2">
      <c r="A77">
        <v>45935</v>
      </c>
      <c r="B77" t="s">
        <v>171</v>
      </c>
      <c r="C77" t="s">
        <v>14</v>
      </c>
      <c r="D77">
        <v>1</v>
      </c>
      <c r="E77">
        <v>0</v>
      </c>
      <c r="F77">
        <v>7</v>
      </c>
      <c r="G77">
        <f>IF(Table3[[#This Row],[Service_Window]]="Lunch",1,0)</f>
        <v>0</v>
      </c>
    </row>
    <row r="78" spans="1:7" x14ac:dyDescent="0.2">
      <c r="A78">
        <v>45935</v>
      </c>
      <c r="B78" t="s">
        <v>171</v>
      </c>
      <c r="C78" t="s">
        <v>14</v>
      </c>
      <c r="D78">
        <v>5</v>
      </c>
      <c r="E78">
        <v>0</v>
      </c>
      <c r="F78">
        <v>7</v>
      </c>
      <c r="G78">
        <f>IF(Table3[[#This Row],[Service_Window]]="Lunch",1,0)</f>
        <v>0</v>
      </c>
    </row>
    <row r="79" spans="1:7" x14ac:dyDescent="0.2">
      <c r="A79">
        <v>45935</v>
      </c>
      <c r="B79" t="s">
        <v>171</v>
      </c>
      <c r="C79" t="s">
        <v>14</v>
      </c>
      <c r="D79">
        <v>5</v>
      </c>
      <c r="E79">
        <v>0</v>
      </c>
      <c r="F79">
        <v>7</v>
      </c>
      <c r="G79">
        <f>IF(Table3[[#This Row],[Service_Window]]="Lunch",1,0)</f>
        <v>0</v>
      </c>
    </row>
    <row r="80" spans="1:7" x14ac:dyDescent="0.2">
      <c r="A80">
        <v>45935</v>
      </c>
      <c r="B80" t="s">
        <v>171</v>
      </c>
      <c r="C80" t="s">
        <v>14</v>
      </c>
      <c r="D80">
        <v>5</v>
      </c>
      <c r="E80">
        <v>0</v>
      </c>
      <c r="F80">
        <v>7</v>
      </c>
      <c r="G80">
        <f>IF(Table3[[#This Row],[Service_Window]]="Lunch",1,0)</f>
        <v>0</v>
      </c>
    </row>
    <row r="81" spans="1:7" x14ac:dyDescent="0.2">
      <c r="A81">
        <v>45935</v>
      </c>
      <c r="B81" t="s">
        <v>171</v>
      </c>
      <c r="C81" t="s">
        <v>14</v>
      </c>
      <c r="D81">
        <v>4</v>
      </c>
      <c r="E81">
        <v>0</v>
      </c>
      <c r="F81">
        <v>7</v>
      </c>
      <c r="G81">
        <f>IF(Table3[[#This Row],[Service_Window]]="Lunch",1,0)</f>
        <v>0</v>
      </c>
    </row>
    <row r="82" spans="1:7" x14ac:dyDescent="0.2">
      <c r="A82">
        <v>45935</v>
      </c>
      <c r="B82" t="s">
        <v>171</v>
      </c>
      <c r="C82" t="s">
        <v>14</v>
      </c>
      <c r="D82">
        <v>5</v>
      </c>
      <c r="E82">
        <v>0</v>
      </c>
      <c r="F82">
        <v>7</v>
      </c>
      <c r="G82">
        <f>IF(Table3[[#This Row],[Service_Window]]="Lunch",1,0)</f>
        <v>0</v>
      </c>
    </row>
    <row r="83" spans="1:7" x14ac:dyDescent="0.2">
      <c r="A83">
        <v>45935</v>
      </c>
      <c r="B83" t="s">
        <v>171</v>
      </c>
      <c r="C83" t="s">
        <v>14</v>
      </c>
      <c r="D83">
        <v>2</v>
      </c>
      <c r="E83">
        <v>0</v>
      </c>
      <c r="F83">
        <v>7</v>
      </c>
      <c r="G83">
        <f>IF(Table3[[#This Row],[Service_Window]]="Lunch",1,0)</f>
        <v>0</v>
      </c>
    </row>
    <row r="84" spans="1:7" x14ac:dyDescent="0.2">
      <c r="A84">
        <v>45935</v>
      </c>
      <c r="B84" t="s">
        <v>171</v>
      </c>
      <c r="C84" t="s">
        <v>14</v>
      </c>
      <c r="D84">
        <v>5</v>
      </c>
      <c r="E84">
        <v>0</v>
      </c>
      <c r="F84">
        <v>7</v>
      </c>
      <c r="G84">
        <f>IF(Table3[[#This Row],[Service_Window]]="Lunch",1,0)</f>
        <v>0</v>
      </c>
    </row>
    <row r="85" spans="1:7" x14ac:dyDescent="0.2">
      <c r="A85">
        <v>45935</v>
      </c>
      <c r="B85" t="s">
        <v>171</v>
      </c>
      <c r="C85" t="s">
        <v>14</v>
      </c>
      <c r="D85">
        <v>3</v>
      </c>
      <c r="E85">
        <v>0</v>
      </c>
      <c r="F85">
        <v>7</v>
      </c>
      <c r="G85">
        <f>IF(Table3[[#This Row],[Service_Window]]="Lunch",1,0)</f>
        <v>0</v>
      </c>
    </row>
    <row r="86" spans="1:7" x14ac:dyDescent="0.2">
      <c r="A86">
        <v>45935</v>
      </c>
      <c r="B86" t="s">
        <v>171</v>
      </c>
      <c r="C86" t="s">
        <v>14</v>
      </c>
      <c r="D86">
        <v>3</v>
      </c>
      <c r="E86">
        <v>0</v>
      </c>
      <c r="F86">
        <v>7</v>
      </c>
      <c r="G86">
        <f>IF(Table3[[#This Row],[Service_Window]]="Lunch",1,0)</f>
        <v>0</v>
      </c>
    </row>
    <row r="87" spans="1:7" x14ac:dyDescent="0.2">
      <c r="A87">
        <v>45935</v>
      </c>
      <c r="B87" t="s">
        <v>171</v>
      </c>
      <c r="C87" t="s">
        <v>14</v>
      </c>
      <c r="D87">
        <v>5</v>
      </c>
      <c r="E87">
        <v>0</v>
      </c>
      <c r="F87">
        <v>7</v>
      </c>
      <c r="G87">
        <f>IF(Table3[[#This Row],[Service_Window]]="Lunch",1,0)</f>
        <v>0</v>
      </c>
    </row>
    <row r="88" spans="1:7" x14ac:dyDescent="0.2">
      <c r="A88">
        <v>45935</v>
      </c>
      <c r="B88" t="s">
        <v>171</v>
      </c>
      <c r="C88" t="s">
        <v>14</v>
      </c>
      <c r="D88">
        <v>4</v>
      </c>
      <c r="E88">
        <v>0</v>
      </c>
      <c r="F88">
        <v>7</v>
      </c>
      <c r="G88">
        <f>IF(Table3[[#This Row],[Service_Window]]="Lunch",1,0)</f>
        <v>0</v>
      </c>
    </row>
    <row r="89" spans="1:7" x14ac:dyDescent="0.2">
      <c r="A89">
        <v>45935</v>
      </c>
      <c r="B89" t="s">
        <v>171</v>
      </c>
      <c r="C89" t="s">
        <v>14</v>
      </c>
      <c r="D89">
        <v>3</v>
      </c>
      <c r="E89">
        <v>0</v>
      </c>
      <c r="F89">
        <v>7</v>
      </c>
      <c r="G89">
        <f>IF(Table3[[#This Row],[Service_Window]]="Lunch",1,0)</f>
        <v>0</v>
      </c>
    </row>
    <row r="90" spans="1:7" x14ac:dyDescent="0.2">
      <c r="A90">
        <v>45935</v>
      </c>
      <c r="B90" t="s">
        <v>171</v>
      </c>
      <c r="C90" t="s">
        <v>14</v>
      </c>
      <c r="D90">
        <v>2</v>
      </c>
      <c r="E90">
        <v>0</v>
      </c>
      <c r="F90">
        <v>7</v>
      </c>
      <c r="G90">
        <f>IF(Table3[[#This Row],[Service_Window]]="Lunch",1,0)</f>
        <v>0</v>
      </c>
    </row>
    <row r="91" spans="1:7" x14ac:dyDescent="0.2">
      <c r="A91">
        <v>45935</v>
      </c>
      <c r="B91" t="s">
        <v>171</v>
      </c>
      <c r="C91" t="s">
        <v>14</v>
      </c>
      <c r="D91">
        <v>3</v>
      </c>
      <c r="E91">
        <v>0</v>
      </c>
      <c r="F91">
        <v>7</v>
      </c>
      <c r="G91">
        <f>IF(Table3[[#This Row],[Service_Window]]="Lunch",1,0)</f>
        <v>0</v>
      </c>
    </row>
    <row r="92" spans="1:7" x14ac:dyDescent="0.2">
      <c r="A92">
        <v>45935</v>
      </c>
      <c r="B92" t="s">
        <v>171</v>
      </c>
      <c r="C92" t="s">
        <v>14</v>
      </c>
      <c r="D92">
        <v>4</v>
      </c>
      <c r="E92">
        <v>0</v>
      </c>
      <c r="F92">
        <v>7</v>
      </c>
      <c r="G92">
        <f>IF(Table3[[#This Row],[Service_Window]]="Lunch",1,0)</f>
        <v>0</v>
      </c>
    </row>
    <row r="93" spans="1:7" x14ac:dyDescent="0.2">
      <c r="A93">
        <v>45935</v>
      </c>
      <c r="B93" t="s">
        <v>171</v>
      </c>
      <c r="C93" t="s">
        <v>14</v>
      </c>
      <c r="D93">
        <v>2</v>
      </c>
      <c r="E93">
        <v>0</v>
      </c>
      <c r="F93">
        <v>7</v>
      </c>
      <c r="G93">
        <f>IF(Table3[[#This Row],[Service_Window]]="Lunch",1,0)</f>
        <v>0</v>
      </c>
    </row>
    <row r="94" spans="1:7" x14ac:dyDescent="0.2">
      <c r="A94">
        <v>45935</v>
      </c>
      <c r="B94" t="s">
        <v>171</v>
      </c>
      <c r="C94" t="s">
        <v>14</v>
      </c>
      <c r="D94">
        <v>3</v>
      </c>
      <c r="E94">
        <v>0</v>
      </c>
      <c r="F94">
        <v>7</v>
      </c>
      <c r="G94">
        <f>IF(Table3[[#This Row],[Service_Window]]="Lunch",1,0)</f>
        <v>0</v>
      </c>
    </row>
    <row r="95" spans="1:7" x14ac:dyDescent="0.2">
      <c r="A95">
        <v>45935</v>
      </c>
      <c r="B95" t="s">
        <v>171</v>
      </c>
      <c r="C95" t="s">
        <v>14</v>
      </c>
      <c r="D95">
        <v>1</v>
      </c>
      <c r="E95">
        <v>0</v>
      </c>
      <c r="F95">
        <v>7</v>
      </c>
      <c r="G95">
        <f>IF(Table3[[#This Row],[Service_Window]]="Lunch",1,0)</f>
        <v>0</v>
      </c>
    </row>
    <row r="96" spans="1:7" x14ac:dyDescent="0.2">
      <c r="A96">
        <v>45935</v>
      </c>
      <c r="B96" t="s">
        <v>171</v>
      </c>
      <c r="C96" t="s">
        <v>14</v>
      </c>
      <c r="D96">
        <v>5</v>
      </c>
      <c r="E96">
        <v>0</v>
      </c>
      <c r="F96">
        <v>7</v>
      </c>
      <c r="G96">
        <f>IF(Table3[[#This Row],[Service_Window]]="Lunch",1,0)</f>
        <v>0</v>
      </c>
    </row>
    <row r="97" spans="1:7" x14ac:dyDescent="0.2">
      <c r="A97">
        <v>45935</v>
      </c>
      <c r="B97" t="s">
        <v>171</v>
      </c>
      <c r="C97" t="s">
        <v>43</v>
      </c>
      <c r="D97">
        <v>2</v>
      </c>
      <c r="E97">
        <v>0</v>
      </c>
      <c r="F97">
        <v>7</v>
      </c>
      <c r="G97">
        <f>IF(Table3[[#This Row],[Service_Window]]="Lunch",1,0)</f>
        <v>1</v>
      </c>
    </row>
    <row r="98" spans="1:7" x14ac:dyDescent="0.2">
      <c r="A98">
        <v>45935</v>
      </c>
      <c r="B98" t="s">
        <v>171</v>
      </c>
      <c r="C98" t="s">
        <v>43</v>
      </c>
      <c r="D98">
        <v>2</v>
      </c>
      <c r="E98">
        <v>0</v>
      </c>
      <c r="F98">
        <v>7</v>
      </c>
      <c r="G98">
        <f>IF(Table3[[#This Row],[Service_Window]]="Lunch",1,0)</f>
        <v>1</v>
      </c>
    </row>
    <row r="99" spans="1:7" x14ac:dyDescent="0.2">
      <c r="A99">
        <v>45935</v>
      </c>
      <c r="B99" t="s">
        <v>171</v>
      </c>
      <c r="C99" t="s">
        <v>43</v>
      </c>
      <c r="D99">
        <v>4</v>
      </c>
      <c r="E99">
        <v>0</v>
      </c>
      <c r="F99">
        <v>7</v>
      </c>
      <c r="G99">
        <f>IF(Table3[[#This Row],[Service_Window]]="Lunch",1,0)</f>
        <v>1</v>
      </c>
    </row>
    <row r="100" spans="1:7" x14ac:dyDescent="0.2">
      <c r="A100">
        <v>45936</v>
      </c>
      <c r="B100" t="s">
        <v>213</v>
      </c>
      <c r="C100" t="s">
        <v>14</v>
      </c>
      <c r="D100">
        <v>2</v>
      </c>
      <c r="E100">
        <v>0</v>
      </c>
      <c r="F100">
        <v>1</v>
      </c>
      <c r="G100">
        <f>IF(Table3[[#This Row],[Service_Window]]="Lunch",1,0)</f>
        <v>0</v>
      </c>
    </row>
    <row r="101" spans="1:7" x14ac:dyDescent="0.2">
      <c r="A101">
        <v>45936</v>
      </c>
      <c r="B101" t="s">
        <v>213</v>
      </c>
      <c r="C101" t="s">
        <v>14</v>
      </c>
      <c r="D101">
        <v>6</v>
      </c>
      <c r="E101">
        <v>0</v>
      </c>
      <c r="F101">
        <v>1</v>
      </c>
      <c r="G101">
        <f>IF(Table3[[#This Row],[Service_Window]]="Lunch",1,0)</f>
        <v>0</v>
      </c>
    </row>
    <row r="102" spans="1:7" x14ac:dyDescent="0.2">
      <c r="A102">
        <v>45936</v>
      </c>
      <c r="B102" t="s">
        <v>213</v>
      </c>
      <c r="C102" t="s">
        <v>14</v>
      </c>
      <c r="D102">
        <v>3</v>
      </c>
      <c r="E102">
        <v>0</v>
      </c>
      <c r="F102">
        <v>1</v>
      </c>
      <c r="G102">
        <f>IF(Table3[[#This Row],[Service_Window]]="Lunch",1,0)</f>
        <v>0</v>
      </c>
    </row>
    <row r="103" spans="1:7" x14ac:dyDescent="0.2">
      <c r="A103">
        <v>45936</v>
      </c>
      <c r="B103" t="s">
        <v>213</v>
      </c>
      <c r="C103" t="s">
        <v>14</v>
      </c>
      <c r="D103">
        <v>5</v>
      </c>
      <c r="E103">
        <v>0</v>
      </c>
      <c r="F103">
        <v>1</v>
      </c>
      <c r="G103">
        <f>IF(Table3[[#This Row],[Service_Window]]="Lunch",1,0)</f>
        <v>0</v>
      </c>
    </row>
    <row r="104" spans="1:7" x14ac:dyDescent="0.2">
      <c r="A104">
        <v>45936</v>
      </c>
      <c r="B104" t="s">
        <v>213</v>
      </c>
      <c r="C104" t="s">
        <v>14</v>
      </c>
      <c r="D104">
        <v>2</v>
      </c>
      <c r="E104">
        <v>0</v>
      </c>
      <c r="F104">
        <v>1</v>
      </c>
      <c r="G104">
        <f>IF(Table3[[#This Row],[Service_Window]]="Lunch",1,0)</f>
        <v>0</v>
      </c>
    </row>
    <row r="105" spans="1:7" x14ac:dyDescent="0.2">
      <c r="A105">
        <v>45936</v>
      </c>
      <c r="B105" t="s">
        <v>213</v>
      </c>
      <c r="C105" t="s">
        <v>14</v>
      </c>
      <c r="D105">
        <v>4</v>
      </c>
      <c r="E105">
        <v>0</v>
      </c>
      <c r="F105">
        <v>1</v>
      </c>
      <c r="G105">
        <f>IF(Table3[[#This Row],[Service_Window]]="Lunch",1,0)</f>
        <v>0</v>
      </c>
    </row>
    <row r="106" spans="1:7" x14ac:dyDescent="0.2">
      <c r="A106">
        <v>45936</v>
      </c>
      <c r="B106" t="s">
        <v>213</v>
      </c>
      <c r="C106" t="s">
        <v>14</v>
      </c>
      <c r="D106">
        <v>3</v>
      </c>
      <c r="E106">
        <v>0</v>
      </c>
      <c r="F106">
        <v>1</v>
      </c>
      <c r="G106">
        <f>IF(Table3[[#This Row],[Service_Window]]="Lunch",1,0)</f>
        <v>0</v>
      </c>
    </row>
    <row r="107" spans="1:7" x14ac:dyDescent="0.2">
      <c r="A107">
        <v>45936</v>
      </c>
      <c r="B107" t="s">
        <v>213</v>
      </c>
      <c r="C107" t="s">
        <v>14</v>
      </c>
      <c r="D107">
        <v>2</v>
      </c>
      <c r="E107">
        <v>0</v>
      </c>
      <c r="F107">
        <v>1</v>
      </c>
      <c r="G107">
        <f>IF(Table3[[#This Row],[Service_Window]]="Lunch",1,0)</f>
        <v>0</v>
      </c>
    </row>
    <row r="108" spans="1:7" x14ac:dyDescent="0.2">
      <c r="A108">
        <v>45936</v>
      </c>
      <c r="B108" t="s">
        <v>213</v>
      </c>
      <c r="C108" t="s">
        <v>14</v>
      </c>
      <c r="D108">
        <v>4</v>
      </c>
      <c r="E108">
        <v>0</v>
      </c>
      <c r="F108">
        <v>1</v>
      </c>
      <c r="G108">
        <f>IF(Table3[[#This Row],[Service_Window]]="Lunch",1,0)</f>
        <v>0</v>
      </c>
    </row>
    <row r="109" spans="1:7" x14ac:dyDescent="0.2">
      <c r="A109">
        <v>45936</v>
      </c>
      <c r="B109" t="s">
        <v>213</v>
      </c>
      <c r="C109" t="s">
        <v>14</v>
      </c>
      <c r="D109">
        <v>1</v>
      </c>
      <c r="E109">
        <v>0</v>
      </c>
      <c r="F109">
        <v>1</v>
      </c>
      <c r="G109">
        <f>IF(Table3[[#This Row],[Service_Window]]="Lunch",1,0)</f>
        <v>0</v>
      </c>
    </row>
    <row r="110" spans="1:7" x14ac:dyDescent="0.2">
      <c r="A110">
        <v>45936</v>
      </c>
      <c r="B110" t="s">
        <v>213</v>
      </c>
      <c r="C110" t="s">
        <v>14</v>
      </c>
      <c r="D110">
        <v>3</v>
      </c>
      <c r="E110">
        <v>0</v>
      </c>
      <c r="F110">
        <v>1</v>
      </c>
      <c r="G110">
        <f>IF(Table3[[#This Row],[Service_Window]]="Lunch",1,0)</f>
        <v>0</v>
      </c>
    </row>
    <row r="111" spans="1:7" x14ac:dyDescent="0.2">
      <c r="A111">
        <v>45936</v>
      </c>
      <c r="B111" t="s">
        <v>213</v>
      </c>
      <c r="C111" t="s">
        <v>14</v>
      </c>
      <c r="D111">
        <v>3</v>
      </c>
      <c r="E111">
        <v>0</v>
      </c>
      <c r="F111">
        <v>1</v>
      </c>
      <c r="G111">
        <f>IF(Table3[[#This Row],[Service_Window]]="Lunch",1,0)</f>
        <v>0</v>
      </c>
    </row>
    <row r="112" spans="1:7" x14ac:dyDescent="0.2">
      <c r="A112">
        <v>45936</v>
      </c>
      <c r="B112" t="s">
        <v>213</v>
      </c>
      <c r="C112" t="s">
        <v>14</v>
      </c>
      <c r="D112">
        <v>6</v>
      </c>
      <c r="E112">
        <v>0</v>
      </c>
      <c r="F112">
        <v>1</v>
      </c>
      <c r="G112">
        <f>IF(Table3[[#This Row],[Service_Window]]="Lunch",1,0)</f>
        <v>0</v>
      </c>
    </row>
    <row r="113" spans="1:7" x14ac:dyDescent="0.2">
      <c r="A113">
        <v>45936</v>
      </c>
      <c r="B113" t="s">
        <v>213</v>
      </c>
      <c r="C113" t="s">
        <v>14</v>
      </c>
      <c r="D113">
        <v>3</v>
      </c>
      <c r="E113">
        <v>0</v>
      </c>
      <c r="F113">
        <v>1</v>
      </c>
      <c r="G113">
        <f>IF(Table3[[#This Row],[Service_Window]]="Lunch",1,0)</f>
        <v>0</v>
      </c>
    </row>
    <row r="114" spans="1:7" x14ac:dyDescent="0.2">
      <c r="A114">
        <v>45936</v>
      </c>
      <c r="B114" t="s">
        <v>213</v>
      </c>
      <c r="C114" t="s">
        <v>14</v>
      </c>
      <c r="D114">
        <v>2</v>
      </c>
      <c r="E114">
        <v>0</v>
      </c>
      <c r="F114">
        <v>1</v>
      </c>
      <c r="G114">
        <f>IF(Table3[[#This Row],[Service_Window]]="Lunch",1,0)</f>
        <v>0</v>
      </c>
    </row>
    <row r="115" spans="1:7" x14ac:dyDescent="0.2">
      <c r="A115">
        <v>45936</v>
      </c>
      <c r="B115" t="s">
        <v>213</v>
      </c>
      <c r="C115" t="s">
        <v>14</v>
      </c>
      <c r="D115">
        <v>3</v>
      </c>
      <c r="E115">
        <v>0</v>
      </c>
      <c r="F115">
        <v>1</v>
      </c>
      <c r="G115">
        <f>IF(Table3[[#This Row],[Service_Window]]="Lunch",1,0)</f>
        <v>0</v>
      </c>
    </row>
    <row r="116" spans="1:7" x14ac:dyDescent="0.2">
      <c r="A116">
        <v>45936</v>
      </c>
      <c r="B116" t="s">
        <v>213</v>
      </c>
      <c r="C116" t="s">
        <v>14</v>
      </c>
      <c r="D116">
        <v>2</v>
      </c>
      <c r="E116">
        <v>0</v>
      </c>
      <c r="F116">
        <v>1</v>
      </c>
      <c r="G116">
        <f>IF(Table3[[#This Row],[Service_Window]]="Lunch",1,0)</f>
        <v>0</v>
      </c>
    </row>
    <row r="117" spans="1:7" x14ac:dyDescent="0.2">
      <c r="A117">
        <v>45936</v>
      </c>
      <c r="B117" t="s">
        <v>213</v>
      </c>
      <c r="C117" t="s">
        <v>14</v>
      </c>
      <c r="D117">
        <v>2</v>
      </c>
      <c r="E117">
        <v>0</v>
      </c>
      <c r="F117">
        <v>1</v>
      </c>
      <c r="G117">
        <f>IF(Table3[[#This Row],[Service_Window]]="Lunch",1,0)</f>
        <v>0</v>
      </c>
    </row>
    <row r="118" spans="1:7" x14ac:dyDescent="0.2">
      <c r="A118">
        <v>45936</v>
      </c>
      <c r="B118" t="s">
        <v>213</v>
      </c>
      <c r="C118" t="s">
        <v>14</v>
      </c>
      <c r="D118">
        <v>3</v>
      </c>
      <c r="E118">
        <v>0</v>
      </c>
      <c r="F118">
        <v>1</v>
      </c>
      <c r="G118">
        <f>IF(Table3[[#This Row],[Service_Window]]="Lunch",1,0)</f>
        <v>0</v>
      </c>
    </row>
    <row r="119" spans="1:7" x14ac:dyDescent="0.2">
      <c r="A119">
        <v>45936</v>
      </c>
      <c r="B119" t="s">
        <v>213</v>
      </c>
      <c r="C119" t="s">
        <v>43</v>
      </c>
      <c r="D119">
        <v>4</v>
      </c>
      <c r="E119">
        <v>0</v>
      </c>
      <c r="F119">
        <v>1</v>
      </c>
      <c r="G119">
        <f>IF(Table3[[#This Row],[Service_Window]]="Lunch",1,0)</f>
        <v>1</v>
      </c>
    </row>
    <row r="120" spans="1:7" x14ac:dyDescent="0.2">
      <c r="A120">
        <v>45936</v>
      </c>
      <c r="B120" t="s">
        <v>213</v>
      </c>
      <c r="C120" t="s">
        <v>43</v>
      </c>
      <c r="D120">
        <v>5</v>
      </c>
      <c r="E120">
        <v>0</v>
      </c>
      <c r="F120">
        <v>1</v>
      </c>
      <c r="G120">
        <f>IF(Table3[[#This Row],[Service_Window]]="Lunch",1,0)</f>
        <v>1</v>
      </c>
    </row>
    <row r="121" spans="1:7" x14ac:dyDescent="0.2">
      <c r="A121">
        <v>45936</v>
      </c>
      <c r="B121" t="s">
        <v>213</v>
      </c>
      <c r="C121" t="s">
        <v>43</v>
      </c>
      <c r="D121">
        <v>1</v>
      </c>
      <c r="E121">
        <v>0</v>
      </c>
      <c r="F121">
        <v>1</v>
      </c>
      <c r="G121">
        <f>IF(Table3[[#This Row],[Service_Window]]="Lunch",1,0)</f>
        <v>1</v>
      </c>
    </row>
    <row r="122" spans="1:7" x14ac:dyDescent="0.2">
      <c r="A122">
        <v>45936</v>
      </c>
      <c r="B122" t="s">
        <v>213</v>
      </c>
      <c r="C122" t="s">
        <v>43</v>
      </c>
      <c r="D122">
        <v>3</v>
      </c>
      <c r="E122">
        <v>0</v>
      </c>
      <c r="F122">
        <v>1</v>
      </c>
      <c r="G122">
        <f>IF(Table3[[#This Row],[Service_Window]]="Lunch",1,0)</f>
        <v>1</v>
      </c>
    </row>
    <row r="123" spans="1:7" x14ac:dyDescent="0.2">
      <c r="A123">
        <v>45937</v>
      </c>
      <c r="B123" t="s">
        <v>250</v>
      </c>
      <c r="C123" t="s">
        <v>14</v>
      </c>
      <c r="D123">
        <v>2</v>
      </c>
      <c r="E123">
        <v>0</v>
      </c>
      <c r="F123">
        <v>2</v>
      </c>
      <c r="G123">
        <f>IF(Table3[[#This Row],[Service_Window]]="Lunch",1,0)</f>
        <v>0</v>
      </c>
    </row>
    <row r="124" spans="1:7" x14ac:dyDescent="0.2">
      <c r="A124">
        <v>45937</v>
      </c>
      <c r="B124" t="s">
        <v>250</v>
      </c>
      <c r="C124" t="s">
        <v>14</v>
      </c>
      <c r="D124">
        <v>1</v>
      </c>
      <c r="E124">
        <v>0</v>
      </c>
      <c r="F124">
        <v>2</v>
      </c>
      <c r="G124">
        <f>IF(Table3[[#This Row],[Service_Window]]="Lunch",1,0)</f>
        <v>0</v>
      </c>
    </row>
    <row r="125" spans="1:7" x14ac:dyDescent="0.2">
      <c r="A125">
        <v>45937</v>
      </c>
      <c r="B125" t="s">
        <v>250</v>
      </c>
      <c r="C125" t="s">
        <v>14</v>
      </c>
      <c r="D125">
        <v>4</v>
      </c>
      <c r="E125">
        <v>0</v>
      </c>
      <c r="F125">
        <v>2</v>
      </c>
      <c r="G125">
        <f>IF(Table3[[#This Row],[Service_Window]]="Lunch",1,0)</f>
        <v>0</v>
      </c>
    </row>
    <row r="126" spans="1:7" x14ac:dyDescent="0.2">
      <c r="A126">
        <v>45937</v>
      </c>
      <c r="B126" t="s">
        <v>250</v>
      </c>
      <c r="C126" t="s">
        <v>14</v>
      </c>
      <c r="D126">
        <v>5</v>
      </c>
      <c r="E126">
        <v>0</v>
      </c>
      <c r="F126">
        <v>2</v>
      </c>
      <c r="G126">
        <f>IF(Table3[[#This Row],[Service_Window]]="Lunch",1,0)</f>
        <v>0</v>
      </c>
    </row>
    <row r="127" spans="1:7" x14ac:dyDescent="0.2">
      <c r="A127">
        <v>45937</v>
      </c>
      <c r="B127" t="s">
        <v>250</v>
      </c>
      <c r="C127" t="s">
        <v>14</v>
      </c>
      <c r="D127">
        <v>5</v>
      </c>
      <c r="E127">
        <v>0</v>
      </c>
      <c r="F127">
        <v>2</v>
      </c>
      <c r="G127">
        <f>IF(Table3[[#This Row],[Service_Window]]="Lunch",1,0)</f>
        <v>0</v>
      </c>
    </row>
    <row r="128" spans="1:7" x14ac:dyDescent="0.2">
      <c r="A128">
        <v>45937</v>
      </c>
      <c r="B128" t="s">
        <v>250</v>
      </c>
      <c r="C128" t="s">
        <v>14</v>
      </c>
      <c r="D128">
        <v>4</v>
      </c>
      <c r="E128">
        <v>0</v>
      </c>
      <c r="F128">
        <v>2</v>
      </c>
      <c r="G128">
        <f>IF(Table3[[#This Row],[Service_Window]]="Lunch",1,0)</f>
        <v>0</v>
      </c>
    </row>
    <row r="129" spans="1:7" x14ac:dyDescent="0.2">
      <c r="A129">
        <v>45937</v>
      </c>
      <c r="B129" t="s">
        <v>250</v>
      </c>
      <c r="C129" t="s">
        <v>14</v>
      </c>
      <c r="D129">
        <v>2</v>
      </c>
      <c r="E129">
        <v>0</v>
      </c>
      <c r="F129">
        <v>2</v>
      </c>
      <c r="G129">
        <f>IF(Table3[[#This Row],[Service_Window]]="Lunch",1,0)</f>
        <v>0</v>
      </c>
    </row>
    <row r="130" spans="1:7" x14ac:dyDescent="0.2">
      <c r="A130">
        <v>45937</v>
      </c>
      <c r="B130" t="s">
        <v>250</v>
      </c>
      <c r="C130" t="s">
        <v>14</v>
      </c>
      <c r="D130">
        <v>1</v>
      </c>
      <c r="E130">
        <v>0</v>
      </c>
      <c r="F130">
        <v>2</v>
      </c>
      <c r="G130">
        <f>IF(Table3[[#This Row],[Service_Window]]="Lunch",1,0)</f>
        <v>0</v>
      </c>
    </row>
    <row r="131" spans="1:7" x14ac:dyDescent="0.2">
      <c r="A131">
        <v>45937</v>
      </c>
      <c r="B131" t="s">
        <v>250</v>
      </c>
      <c r="C131" t="s">
        <v>14</v>
      </c>
      <c r="D131">
        <v>2</v>
      </c>
      <c r="E131">
        <v>0</v>
      </c>
      <c r="F131">
        <v>2</v>
      </c>
      <c r="G131">
        <f>IF(Table3[[#This Row],[Service_Window]]="Lunch",1,0)</f>
        <v>0</v>
      </c>
    </row>
    <row r="132" spans="1:7" x14ac:dyDescent="0.2">
      <c r="A132">
        <v>45937</v>
      </c>
      <c r="B132" t="s">
        <v>250</v>
      </c>
      <c r="C132" t="s">
        <v>14</v>
      </c>
      <c r="D132">
        <v>3</v>
      </c>
      <c r="E132">
        <v>0</v>
      </c>
      <c r="F132">
        <v>2</v>
      </c>
      <c r="G132">
        <f>IF(Table3[[#This Row],[Service_Window]]="Lunch",1,0)</f>
        <v>0</v>
      </c>
    </row>
    <row r="133" spans="1:7" x14ac:dyDescent="0.2">
      <c r="A133">
        <v>45937</v>
      </c>
      <c r="B133" t="s">
        <v>250</v>
      </c>
      <c r="C133" t="s">
        <v>14</v>
      </c>
      <c r="D133">
        <v>2</v>
      </c>
      <c r="E133">
        <v>0</v>
      </c>
      <c r="F133">
        <v>2</v>
      </c>
      <c r="G133">
        <f>IF(Table3[[#This Row],[Service_Window]]="Lunch",1,0)</f>
        <v>0</v>
      </c>
    </row>
    <row r="134" spans="1:7" x14ac:dyDescent="0.2">
      <c r="A134">
        <v>45937</v>
      </c>
      <c r="B134" t="s">
        <v>250</v>
      </c>
      <c r="C134" t="s">
        <v>14</v>
      </c>
      <c r="D134">
        <v>3</v>
      </c>
      <c r="E134">
        <v>0</v>
      </c>
      <c r="F134">
        <v>2</v>
      </c>
      <c r="G134">
        <f>IF(Table3[[#This Row],[Service_Window]]="Lunch",1,0)</f>
        <v>0</v>
      </c>
    </row>
    <row r="135" spans="1:7" x14ac:dyDescent="0.2">
      <c r="A135">
        <v>45937</v>
      </c>
      <c r="B135" t="s">
        <v>250</v>
      </c>
      <c r="C135" t="s">
        <v>14</v>
      </c>
      <c r="D135">
        <v>2</v>
      </c>
      <c r="E135">
        <v>0</v>
      </c>
      <c r="F135">
        <v>2</v>
      </c>
      <c r="G135">
        <f>IF(Table3[[#This Row],[Service_Window]]="Lunch",1,0)</f>
        <v>0</v>
      </c>
    </row>
    <row r="136" spans="1:7" x14ac:dyDescent="0.2">
      <c r="A136">
        <v>45937</v>
      </c>
      <c r="B136" t="s">
        <v>250</v>
      </c>
      <c r="C136" t="s">
        <v>14</v>
      </c>
      <c r="D136">
        <v>3</v>
      </c>
      <c r="E136">
        <v>0</v>
      </c>
      <c r="F136">
        <v>2</v>
      </c>
      <c r="G136">
        <f>IF(Table3[[#This Row],[Service_Window]]="Lunch",1,0)</f>
        <v>0</v>
      </c>
    </row>
    <row r="137" spans="1:7" x14ac:dyDescent="0.2">
      <c r="A137">
        <v>45937</v>
      </c>
      <c r="B137" t="s">
        <v>250</v>
      </c>
      <c r="C137" t="s">
        <v>14</v>
      </c>
      <c r="D137">
        <v>4</v>
      </c>
      <c r="E137">
        <v>0</v>
      </c>
      <c r="F137">
        <v>2</v>
      </c>
      <c r="G137">
        <f>IF(Table3[[#This Row],[Service_Window]]="Lunch",1,0)</f>
        <v>0</v>
      </c>
    </row>
    <row r="138" spans="1:7" x14ac:dyDescent="0.2">
      <c r="A138">
        <v>45937</v>
      </c>
      <c r="B138" t="s">
        <v>250</v>
      </c>
      <c r="C138" t="s">
        <v>14</v>
      </c>
      <c r="D138">
        <v>4</v>
      </c>
      <c r="E138">
        <v>0</v>
      </c>
      <c r="F138">
        <v>2</v>
      </c>
      <c r="G138">
        <f>IF(Table3[[#This Row],[Service_Window]]="Lunch",1,0)</f>
        <v>0</v>
      </c>
    </row>
    <row r="139" spans="1:7" x14ac:dyDescent="0.2">
      <c r="A139">
        <v>45937</v>
      </c>
      <c r="B139" t="s">
        <v>250</v>
      </c>
      <c r="C139" t="s">
        <v>14</v>
      </c>
      <c r="D139">
        <v>4</v>
      </c>
      <c r="E139">
        <v>0</v>
      </c>
      <c r="F139">
        <v>2</v>
      </c>
      <c r="G139">
        <f>IF(Table3[[#This Row],[Service_Window]]="Lunch",1,0)</f>
        <v>0</v>
      </c>
    </row>
    <row r="140" spans="1:7" x14ac:dyDescent="0.2">
      <c r="A140">
        <v>45937</v>
      </c>
      <c r="B140" t="s">
        <v>250</v>
      </c>
      <c r="C140" t="s">
        <v>43</v>
      </c>
      <c r="D140">
        <v>2</v>
      </c>
      <c r="E140">
        <v>0</v>
      </c>
      <c r="F140">
        <v>2</v>
      </c>
      <c r="G140">
        <f>IF(Table3[[#This Row],[Service_Window]]="Lunch",1,0)</f>
        <v>1</v>
      </c>
    </row>
    <row r="141" spans="1:7" x14ac:dyDescent="0.2">
      <c r="A141">
        <v>45937</v>
      </c>
      <c r="B141" t="s">
        <v>250</v>
      </c>
      <c r="C141" t="s">
        <v>43</v>
      </c>
      <c r="D141">
        <v>5</v>
      </c>
      <c r="E141">
        <v>0</v>
      </c>
      <c r="F141">
        <v>2</v>
      </c>
      <c r="G141">
        <f>IF(Table3[[#This Row],[Service_Window]]="Lunch",1,0)</f>
        <v>1</v>
      </c>
    </row>
    <row r="142" spans="1:7" x14ac:dyDescent="0.2">
      <c r="A142">
        <v>45937</v>
      </c>
      <c r="B142" t="s">
        <v>250</v>
      </c>
      <c r="C142" t="s">
        <v>43</v>
      </c>
      <c r="D142">
        <v>3</v>
      </c>
      <c r="E142">
        <v>0</v>
      </c>
      <c r="F142">
        <v>2</v>
      </c>
      <c r="G142">
        <f>IF(Table3[[#This Row],[Service_Window]]="Lunch",1,0)</f>
        <v>1</v>
      </c>
    </row>
    <row r="143" spans="1:7" x14ac:dyDescent="0.2">
      <c r="A143">
        <v>45937</v>
      </c>
      <c r="B143" t="s">
        <v>250</v>
      </c>
      <c r="C143" t="s">
        <v>43</v>
      </c>
      <c r="D143">
        <v>4</v>
      </c>
      <c r="E143">
        <v>0</v>
      </c>
      <c r="F143">
        <v>2</v>
      </c>
      <c r="G143">
        <f>IF(Table3[[#This Row],[Service_Window]]="Lunch",1,0)</f>
        <v>1</v>
      </c>
    </row>
    <row r="144" spans="1:7" x14ac:dyDescent="0.2">
      <c r="A144">
        <v>45938</v>
      </c>
      <c r="B144" t="s">
        <v>13</v>
      </c>
      <c r="C144" t="s">
        <v>14</v>
      </c>
      <c r="D144">
        <v>2</v>
      </c>
      <c r="E144">
        <v>0</v>
      </c>
      <c r="F144">
        <v>3</v>
      </c>
      <c r="G144">
        <f>IF(Table3[[#This Row],[Service_Window]]="Lunch",1,0)</f>
        <v>0</v>
      </c>
    </row>
    <row r="145" spans="1:7" x14ac:dyDescent="0.2">
      <c r="A145">
        <v>45938</v>
      </c>
      <c r="B145" t="s">
        <v>13</v>
      </c>
      <c r="C145" t="s">
        <v>14</v>
      </c>
      <c r="D145">
        <v>3</v>
      </c>
      <c r="E145">
        <v>0</v>
      </c>
      <c r="F145">
        <v>3</v>
      </c>
      <c r="G145">
        <f>IF(Table3[[#This Row],[Service_Window]]="Lunch",1,0)</f>
        <v>0</v>
      </c>
    </row>
    <row r="146" spans="1:7" x14ac:dyDescent="0.2">
      <c r="A146">
        <v>45938</v>
      </c>
      <c r="B146" t="s">
        <v>13</v>
      </c>
      <c r="C146" t="s">
        <v>14</v>
      </c>
      <c r="D146">
        <v>2</v>
      </c>
      <c r="E146">
        <v>0</v>
      </c>
      <c r="F146">
        <v>3</v>
      </c>
      <c r="G146">
        <f>IF(Table3[[#This Row],[Service_Window]]="Lunch",1,0)</f>
        <v>0</v>
      </c>
    </row>
    <row r="147" spans="1:7" x14ac:dyDescent="0.2">
      <c r="A147">
        <v>45938</v>
      </c>
      <c r="B147" t="s">
        <v>13</v>
      </c>
      <c r="C147" t="s">
        <v>14</v>
      </c>
      <c r="D147">
        <v>1</v>
      </c>
      <c r="E147">
        <v>0</v>
      </c>
      <c r="F147">
        <v>3</v>
      </c>
      <c r="G147">
        <f>IF(Table3[[#This Row],[Service_Window]]="Lunch",1,0)</f>
        <v>0</v>
      </c>
    </row>
    <row r="148" spans="1:7" x14ac:dyDescent="0.2">
      <c r="A148">
        <v>45938</v>
      </c>
      <c r="B148" t="s">
        <v>13</v>
      </c>
      <c r="C148" t="s">
        <v>14</v>
      </c>
      <c r="D148">
        <v>1</v>
      </c>
      <c r="E148">
        <v>0</v>
      </c>
      <c r="F148">
        <v>3</v>
      </c>
      <c r="G148">
        <f>IF(Table3[[#This Row],[Service_Window]]="Lunch",1,0)</f>
        <v>0</v>
      </c>
    </row>
    <row r="149" spans="1:7" x14ac:dyDescent="0.2">
      <c r="A149">
        <v>45938</v>
      </c>
      <c r="B149" t="s">
        <v>13</v>
      </c>
      <c r="C149" t="s">
        <v>14</v>
      </c>
      <c r="D149">
        <v>2</v>
      </c>
      <c r="E149">
        <v>0</v>
      </c>
      <c r="F149">
        <v>3</v>
      </c>
      <c r="G149">
        <f>IF(Table3[[#This Row],[Service_Window]]="Lunch",1,0)</f>
        <v>0</v>
      </c>
    </row>
    <row r="150" spans="1:7" x14ac:dyDescent="0.2">
      <c r="A150">
        <v>45938</v>
      </c>
      <c r="B150" t="s">
        <v>13</v>
      </c>
      <c r="C150" t="s">
        <v>14</v>
      </c>
      <c r="D150">
        <v>3</v>
      </c>
      <c r="E150">
        <v>0</v>
      </c>
      <c r="F150">
        <v>3</v>
      </c>
      <c r="G150">
        <f>IF(Table3[[#This Row],[Service_Window]]="Lunch",1,0)</f>
        <v>0</v>
      </c>
    </row>
    <row r="151" spans="1:7" x14ac:dyDescent="0.2">
      <c r="A151">
        <v>45938</v>
      </c>
      <c r="B151" t="s">
        <v>13</v>
      </c>
      <c r="C151" t="s">
        <v>14</v>
      </c>
      <c r="D151">
        <v>5</v>
      </c>
      <c r="E151">
        <v>0</v>
      </c>
      <c r="F151">
        <v>3</v>
      </c>
      <c r="G151">
        <f>IF(Table3[[#This Row],[Service_Window]]="Lunch",1,0)</f>
        <v>0</v>
      </c>
    </row>
    <row r="152" spans="1:7" x14ac:dyDescent="0.2">
      <c r="A152">
        <v>45938</v>
      </c>
      <c r="B152" t="s">
        <v>13</v>
      </c>
      <c r="C152" t="s">
        <v>43</v>
      </c>
      <c r="D152">
        <v>2</v>
      </c>
      <c r="E152">
        <v>1</v>
      </c>
      <c r="F152">
        <v>3</v>
      </c>
      <c r="G152">
        <f>IF(Table3[[#This Row],[Service_Window]]="Lunch",1,0)</f>
        <v>1</v>
      </c>
    </row>
    <row r="153" spans="1:7" x14ac:dyDescent="0.2">
      <c r="A153">
        <v>45938</v>
      </c>
      <c r="B153" t="s">
        <v>13</v>
      </c>
      <c r="C153" t="s">
        <v>43</v>
      </c>
      <c r="D153">
        <v>3</v>
      </c>
      <c r="E153">
        <v>1</v>
      </c>
      <c r="F153">
        <v>3</v>
      </c>
      <c r="G153">
        <f>IF(Table3[[#This Row],[Service_Window]]="Lunch",1,0)</f>
        <v>1</v>
      </c>
    </row>
    <row r="154" spans="1:7" x14ac:dyDescent="0.2">
      <c r="A154">
        <v>45938</v>
      </c>
      <c r="B154" t="s">
        <v>13</v>
      </c>
      <c r="C154" t="s">
        <v>43</v>
      </c>
      <c r="D154">
        <v>4</v>
      </c>
      <c r="E154">
        <v>1</v>
      </c>
      <c r="F154">
        <v>3</v>
      </c>
      <c r="G154">
        <f>IF(Table3[[#This Row],[Service_Window]]="Lunch",1,0)</f>
        <v>1</v>
      </c>
    </row>
    <row r="155" spans="1:7" x14ac:dyDescent="0.2">
      <c r="A155">
        <v>45938</v>
      </c>
      <c r="B155" t="s">
        <v>13</v>
      </c>
      <c r="C155" t="s">
        <v>43</v>
      </c>
      <c r="D155">
        <v>2</v>
      </c>
      <c r="E155">
        <v>0</v>
      </c>
      <c r="F155">
        <v>3</v>
      </c>
      <c r="G155">
        <f>IF(Table3[[#This Row],[Service_Window]]="Lunch",1,0)</f>
        <v>1</v>
      </c>
    </row>
    <row r="156" spans="1:7" x14ac:dyDescent="0.2">
      <c r="A156">
        <v>45938</v>
      </c>
      <c r="B156" t="s">
        <v>13</v>
      </c>
      <c r="C156" t="s">
        <v>43</v>
      </c>
      <c r="D156">
        <v>7</v>
      </c>
      <c r="E156">
        <v>1</v>
      </c>
      <c r="F156">
        <v>3</v>
      </c>
      <c r="G156">
        <f>IF(Table3[[#This Row],[Service_Window]]="Lunch",1,0)</f>
        <v>1</v>
      </c>
    </row>
    <row r="157" spans="1:7" x14ac:dyDescent="0.2">
      <c r="A157">
        <v>45938</v>
      </c>
      <c r="B157" t="s">
        <v>13</v>
      </c>
      <c r="C157" t="s">
        <v>43</v>
      </c>
      <c r="D157">
        <v>3</v>
      </c>
      <c r="E157">
        <v>1</v>
      </c>
      <c r="F157">
        <v>3</v>
      </c>
      <c r="G157">
        <f>IF(Table3[[#This Row],[Service_Window]]="Lunch",1,0)</f>
        <v>1</v>
      </c>
    </row>
    <row r="158" spans="1:7" x14ac:dyDescent="0.2">
      <c r="A158">
        <v>45938</v>
      </c>
      <c r="B158" t="s">
        <v>13</v>
      </c>
      <c r="C158" t="s">
        <v>43</v>
      </c>
      <c r="D158">
        <v>3</v>
      </c>
      <c r="E158">
        <v>1</v>
      </c>
      <c r="F158">
        <v>3</v>
      </c>
      <c r="G158">
        <f>IF(Table3[[#This Row],[Service_Window]]="Lunch",1,0)</f>
        <v>1</v>
      </c>
    </row>
    <row r="159" spans="1:7" x14ac:dyDescent="0.2">
      <c r="A159">
        <v>45938</v>
      </c>
      <c r="B159" t="s">
        <v>13</v>
      </c>
      <c r="C159" t="s">
        <v>43</v>
      </c>
      <c r="D159">
        <v>6</v>
      </c>
      <c r="E159">
        <v>1</v>
      </c>
      <c r="F159">
        <v>3</v>
      </c>
      <c r="G159">
        <f>IF(Table3[[#This Row],[Service_Window]]="Lunch",1,0)</f>
        <v>1</v>
      </c>
    </row>
    <row r="160" spans="1:7" x14ac:dyDescent="0.2">
      <c r="A160">
        <v>45938</v>
      </c>
      <c r="B160" t="s">
        <v>13</v>
      </c>
      <c r="C160" t="s">
        <v>43</v>
      </c>
      <c r="D160">
        <v>3</v>
      </c>
      <c r="E160">
        <v>1</v>
      </c>
      <c r="F160">
        <v>3</v>
      </c>
      <c r="G160">
        <f>IF(Table3[[#This Row],[Service_Window]]="Lunch",1,0)</f>
        <v>1</v>
      </c>
    </row>
    <row r="161" spans="1:7" x14ac:dyDescent="0.2">
      <c r="A161">
        <v>45938</v>
      </c>
      <c r="B161" t="s">
        <v>13</v>
      </c>
      <c r="C161" t="s">
        <v>43</v>
      </c>
      <c r="D161">
        <v>2</v>
      </c>
      <c r="E161">
        <v>0</v>
      </c>
      <c r="F161">
        <v>3</v>
      </c>
      <c r="G161">
        <f>IF(Table3[[#This Row],[Service_Window]]="Lunch",1,0)</f>
        <v>1</v>
      </c>
    </row>
    <row r="162" spans="1:7" x14ac:dyDescent="0.2">
      <c r="A162">
        <v>45938</v>
      </c>
      <c r="B162" t="s">
        <v>13</v>
      </c>
      <c r="C162" t="s">
        <v>43</v>
      </c>
      <c r="D162">
        <v>1</v>
      </c>
      <c r="E162">
        <v>1</v>
      </c>
      <c r="F162">
        <v>3</v>
      </c>
      <c r="G162">
        <f>IF(Table3[[#This Row],[Service_Window]]="Lunch",1,0)</f>
        <v>1</v>
      </c>
    </row>
    <row r="163" spans="1:7" x14ac:dyDescent="0.2">
      <c r="A163">
        <v>45938</v>
      </c>
      <c r="B163" t="s">
        <v>13</v>
      </c>
      <c r="C163" t="s">
        <v>43</v>
      </c>
      <c r="D163">
        <v>3</v>
      </c>
      <c r="E163">
        <v>1</v>
      </c>
      <c r="F163">
        <v>3</v>
      </c>
      <c r="G163">
        <f>IF(Table3[[#This Row],[Service_Window]]="Lunch",1,0)</f>
        <v>1</v>
      </c>
    </row>
    <row r="164" spans="1:7" x14ac:dyDescent="0.2">
      <c r="A164">
        <v>45938</v>
      </c>
      <c r="B164" t="s">
        <v>13</v>
      </c>
      <c r="C164" t="s">
        <v>43</v>
      </c>
      <c r="D164">
        <v>2</v>
      </c>
      <c r="E164">
        <v>1</v>
      </c>
      <c r="F164">
        <v>3</v>
      </c>
      <c r="G164">
        <f>IF(Table3[[#This Row],[Service_Window]]="Lunch",1,0)</f>
        <v>1</v>
      </c>
    </row>
    <row r="165" spans="1:7" x14ac:dyDescent="0.2">
      <c r="A165">
        <v>45938</v>
      </c>
      <c r="B165" t="s">
        <v>13</v>
      </c>
      <c r="C165" t="s">
        <v>43</v>
      </c>
      <c r="D165">
        <v>5</v>
      </c>
      <c r="E165">
        <v>0</v>
      </c>
      <c r="F165">
        <v>3</v>
      </c>
      <c r="G165">
        <f>IF(Table3[[#This Row],[Service_Window]]="Lunch",1,0)</f>
        <v>1</v>
      </c>
    </row>
    <row r="166" spans="1:7" x14ac:dyDescent="0.2">
      <c r="A166">
        <v>45939</v>
      </c>
      <c r="B166" t="s">
        <v>62</v>
      </c>
      <c r="C166" t="s">
        <v>14</v>
      </c>
      <c r="D166">
        <v>2</v>
      </c>
      <c r="E166">
        <v>0</v>
      </c>
      <c r="F166">
        <v>4</v>
      </c>
      <c r="G166">
        <f>IF(Table3[[#This Row],[Service_Window]]="Lunch",1,0)</f>
        <v>0</v>
      </c>
    </row>
    <row r="167" spans="1:7" x14ac:dyDescent="0.2">
      <c r="A167">
        <v>45939</v>
      </c>
      <c r="B167" t="s">
        <v>62</v>
      </c>
      <c r="C167" t="s">
        <v>14</v>
      </c>
      <c r="D167">
        <v>3</v>
      </c>
      <c r="E167">
        <v>0</v>
      </c>
      <c r="F167">
        <v>4</v>
      </c>
      <c r="G167">
        <f>IF(Table3[[#This Row],[Service_Window]]="Lunch",1,0)</f>
        <v>0</v>
      </c>
    </row>
    <row r="168" spans="1:7" x14ac:dyDescent="0.2">
      <c r="A168">
        <v>45939</v>
      </c>
      <c r="B168" t="s">
        <v>62</v>
      </c>
      <c r="C168" t="s">
        <v>14</v>
      </c>
      <c r="D168">
        <v>3</v>
      </c>
      <c r="E168">
        <v>0</v>
      </c>
      <c r="F168">
        <v>4</v>
      </c>
      <c r="G168">
        <f>IF(Table3[[#This Row],[Service_Window]]="Lunch",1,0)</f>
        <v>0</v>
      </c>
    </row>
    <row r="169" spans="1:7" x14ac:dyDescent="0.2">
      <c r="A169">
        <v>45939</v>
      </c>
      <c r="B169" t="s">
        <v>62</v>
      </c>
      <c r="C169" t="s">
        <v>14</v>
      </c>
      <c r="D169">
        <v>4</v>
      </c>
      <c r="E169">
        <v>0</v>
      </c>
      <c r="F169">
        <v>4</v>
      </c>
      <c r="G169">
        <f>IF(Table3[[#This Row],[Service_Window]]="Lunch",1,0)</f>
        <v>0</v>
      </c>
    </row>
    <row r="170" spans="1:7" x14ac:dyDescent="0.2">
      <c r="A170">
        <v>45939</v>
      </c>
      <c r="B170" t="s">
        <v>62</v>
      </c>
      <c r="C170" t="s">
        <v>14</v>
      </c>
      <c r="D170">
        <v>2</v>
      </c>
      <c r="E170">
        <v>0</v>
      </c>
      <c r="F170">
        <v>4</v>
      </c>
      <c r="G170">
        <f>IF(Table3[[#This Row],[Service_Window]]="Lunch",1,0)</f>
        <v>0</v>
      </c>
    </row>
    <row r="171" spans="1:7" x14ac:dyDescent="0.2">
      <c r="A171">
        <v>45939</v>
      </c>
      <c r="B171" t="s">
        <v>62</v>
      </c>
      <c r="C171" t="s">
        <v>14</v>
      </c>
      <c r="D171">
        <v>2</v>
      </c>
      <c r="E171">
        <v>0</v>
      </c>
      <c r="F171">
        <v>4</v>
      </c>
      <c r="G171">
        <f>IF(Table3[[#This Row],[Service_Window]]="Lunch",1,0)</f>
        <v>0</v>
      </c>
    </row>
    <row r="172" spans="1:7" x14ac:dyDescent="0.2">
      <c r="A172">
        <v>45939</v>
      </c>
      <c r="B172" t="s">
        <v>62</v>
      </c>
      <c r="C172" t="s">
        <v>14</v>
      </c>
      <c r="D172">
        <v>3</v>
      </c>
      <c r="E172">
        <v>0</v>
      </c>
      <c r="F172">
        <v>4</v>
      </c>
      <c r="G172">
        <f>IF(Table3[[#This Row],[Service_Window]]="Lunch",1,0)</f>
        <v>0</v>
      </c>
    </row>
    <row r="173" spans="1:7" x14ac:dyDescent="0.2">
      <c r="A173">
        <v>45939</v>
      </c>
      <c r="B173" t="s">
        <v>62</v>
      </c>
      <c r="C173" t="s">
        <v>14</v>
      </c>
      <c r="D173">
        <v>5</v>
      </c>
      <c r="E173">
        <v>0</v>
      </c>
      <c r="F173">
        <v>4</v>
      </c>
      <c r="G173">
        <f>IF(Table3[[#This Row],[Service_Window]]="Lunch",1,0)</f>
        <v>0</v>
      </c>
    </row>
    <row r="174" spans="1:7" x14ac:dyDescent="0.2">
      <c r="A174">
        <v>45939</v>
      </c>
      <c r="B174" t="s">
        <v>62</v>
      </c>
      <c r="C174" t="s">
        <v>14</v>
      </c>
      <c r="D174">
        <v>3</v>
      </c>
      <c r="E174">
        <v>0</v>
      </c>
      <c r="F174">
        <v>4</v>
      </c>
      <c r="G174">
        <f>IF(Table3[[#This Row],[Service_Window]]="Lunch",1,0)</f>
        <v>0</v>
      </c>
    </row>
    <row r="175" spans="1:7" x14ac:dyDescent="0.2">
      <c r="A175">
        <v>45939</v>
      </c>
      <c r="B175" t="s">
        <v>62</v>
      </c>
      <c r="C175" t="s">
        <v>14</v>
      </c>
      <c r="D175">
        <v>2</v>
      </c>
      <c r="E175">
        <v>0</v>
      </c>
      <c r="F175">
        <v>4</v>
      </c>
      <c r="G175">
        <f>IF(Table3[[#This Row],[Service_Window]]="Lunch",1,0)</f>
        <v>0</v>
      </c>
    </row>
    <row r="176" spans="1:7" x14ac:dyDescent="0.2">
      <c r="A176">
        <v>45939</v>
      </c>
      <c r="B176" t="s">
        <v>62</v>
      </c>
      <c r="C176" t="s">
        <v>43</v>
      </c>
      <c r="D176">
        <v>2</v>
      </c>
      <c r="E176">
        <v>0</v>
      </c>
      <c r="F176">
        <v>4</v>
      </c>
      <c r="G176">
        <f>IF(Table3[[#This Row],[Service_Window]]="Lunch",1,0)</f>
        <v>1</v>
      </c>
    </row>
    <row r="177" spans="1:7" x14ac:dyDescent="0.2">
      <c r="A177">
        <v>45939</v>
      </c>
      <c r="B177" t="s">
        <v>62</v>
      </c>
      <c r="C177" t="s">
        <v>43</v>
      </c>
      <c r="D177">
        <v>4</v>
      </c>
      <c r="E177">
        <v>0</v>
      </c>
      <c r="F177">
        <v>4</v>
      </c>
      <c r="G177">
        <f>IF(Table3[[#This Row],[Service_Window]]="Lunch",1,0)</f>
        <v>1</v>
      </c>
    </row>
    <row r="178" spans="1:7" x14ac:dyDescent="0.2">
      <c r="A178">
        <v>45939</v>
      </c>
      <c r="B178" t="s">
        <v>62</v>
      </c>
      <c r="C178" t="s">
        <v>43</v>
      </c>
      <c r="D178">
        <v>2</v>
      </c>
      <c r="E178">
        <v>1</v>
      </c>
      <c r="F178">
        <v>4</v>
      </c>
      <c r="G178">
        <f>IF(Table3[[#This Row],[Service_Window]]="Lunch",1,0)</f>
        <v>1</v>
      </c>
    </row>
    <row r="179" spans="1:7" x14ac:dyDescent="0.2">
      <c r="A179">
        <v>45939</v>
      </c>
      <c r="B179" t="s">
        <v>62</v>
      </c>
      <c r="C179" t="s">
        <v>43</v>
      </c>
      <c r="D179">
        <v>3</v>
      </c>
      <c r="E179">
        <v>1</v>
      </c>
      <c r="F179">
        <v>4</v>
      </c>
      <c r="G179">
        <f>IF(Table3[[#This Row],[Service_Window]]="Lunch",1,0)</f>
        <v>1</v>
      </c>
    </row>
    <row r="180" spans="1:7" x14ac:dyDescent="0.2">
      <c r="A180">
        <v>45939</v>
      </c>
      <c r="B180" t="s">
        <v>62</v>
      </c>
      <c r="C180" t="s">
        <v>43</v>
      </c>
      <c r="D180">
        <v>2</v>
      </c>
      <c r="E180">
        <v>1</v>
      </c>
      <c r="F180">
        <v>4</v>
      </c>
      <c r="G180">
        <f>IF(Table3[[#This Row],[Service_Window]]="Lunch",1,0)</f>
        <v>1</v>
      </c>
    </row>
    <row r="181" spans="1:7" x14ac:dyDescent="0.2">
      <c r="A181">
        <v>45939</v>
      </c>
      <c r="B181" t="s">
        <v>62</v>
      </c>
      <c r="C181" t="s">
        <v>43</v>
      </c>
      <c r="D181">
        <v>5</v>
      </c>
      <c r="E181">
        <v>1</v>
      </c>
      <c r="F181">
        <v>4</v>
      </c>
      <c r="G181">
        <f>IF(Table3[[#This Row],[Service_Window]]="Lunch",1,0)</f>
        <v>1</v>
      </c>
    </row>
    <row r="182" spans="1:7" x14ac:dyDescent="0.2">
      <c r="A182">
        <v>45939</v>
      </c>
      <c r="B182" t="s">
        <v>62</v>
      </c>
      <c r="C182" t="s">
        <v>43</v>
      </c>
      <c r="D182">
        <v>2</v>
      </c>
      <c r="E182">
        <v>0</v>
      </c>
      <c r="F182">
        <v>4</v>
      </c>
      <c r="G182">
        <f>IF(Table3[[#This Row],[Service_Window]]="Lunch",1,0)</f>
        <v>1</v>
      </c>
    </row>
    <row r="183" spans="1:7" x14ac:dyDescent="0.2">
      <c r="A183">
        <v>45939</v>
      </c>
      <c r="B183" t="s">
        <v>62</v>
      </c>
      <c r="C183" t="s">
        <v>43</v>
      </c>
      <c r="D183">
        <v>3</v>
      </c>
      <c r="E183">
        <v>1</v>
      </c>
      <c r="F183">
        <v>4</v>
      </c>
      <c r="G183">
        <f>IF(Table3[[#This Row],[Service_Window]]="Lunch",1,0)</f>
        <v>1</v>
      </c>
    </row>
    <row r="184" spans="1:7" x14ac:dyDescent="0.2">
      <c r="A184">
        <v>45939</v>
      </c>
      <c r="B184" t="s">
        <v>62</v>
      </c>
      <c r="C184" t="s">
        <v>43</v>
      </c>
      <c r="D184">
        <v>3</v>
      </c>
      <c r="E184">
        <v>0</v>
      </c>
      <c r="F184">
        <v>4</v>
      </c>
      <c r="G184">
        <f>IF(Table3[[#This Row],[Service_Window]]="Lunch",1,0)</f>
        <v>1</v>
      </c>
    </row>
    <row r="185" spans="1:7" x14ac:dyDescent="0.2">
      <c r="A185">
        <v>45939</v>
      </c>
      <c r="B185" t="s">
        <v>62</v>
      </c>
      <c r="C185" t="s">
        <v>43</v>
      </c>
      <c r="D185">
        <v>4</v>
      </c>
      <c r="E185">
        <v>1</v>
      </c>
      <c r="F185">
        <v>4</v>
      </c>
      <c r="G185">
        <f>IF(Table3[[#This Row],[Service_Window]]="Lunch",1,0)</f>
        <v>1</v>
      </c>
    </row>
    <row r="186" spans="1:7" x14ac:dyDescent="0.2">
      <c r="A186">
        <v>45940</v>
      </c>
      <c r="B186" t="s">
        <v>96</v>
      </c>
      <c r="C186" t="s">
        <v>14</v>
      </c>
      <c r="D186">
        <v>1</v>
      </c>
      <c r="E186">
        <v>0</v>
      </c>
      <c r="F186">
        <v>5</v>
      </c>
      <c r="G186">
        <f>IF(Table3[[#This Row],[Service_Window]]="Lunch",1,0)</f>
        <v>0</v>
      </c>
    </row>
    <row r="187" spans="1:7" x14ac:dyDescent="0.2">
      <c r="A187">
        <v>45940</v>
      </c>
      <c r="B187" t="s">
        <v>96</v>
      </c>
      <c r="C187" t="s">
        <v>14</v>
      </c>
      <c r="D187">
        <v>2</v>
      </c>
      <c r="E187">
        <v>0</v>
      </c>
      <c r="F187">
        <v>5</v>
      </c>
      <c r="G187">
        <f>IF(Table3[[#This Row],[Service_Window]]="Lunch",1,0)</f>
        <v>0</v>
      </c>
    </row>
    <row r="188" spans="1:7" x14ac:dyDescent="0.2">
      <c r="A188">
        <v>45940</v>
      </c>
      <c r="B188" t="s">
        <v>96</v>
      </c>
      <c r="C188" t="s">
        <v>14</v>
      </c>
      <c r="D188">
        <v>3</v>
      </c>
      <c r="E188">
        <v>0</v>
      </c>
      <c r="F188">
        <v>5</v>
      </c>
      <c r="G188">
        <f>IF(Table3[[#This Row],[Service_Window]]="Lunch",1,0)</f>
        <v>0</v>
      </c>
    </row>
    <row r="189" spans="1:7" x14ac:dyDescent="0.2">
      <c r="A189">
        <v>45940</v>
      </c>
      <c r="B189" t="s">
        <v>96</v>
      </c>
      <c r="C189" t="s">
        <v>14</v>
      </c>
      <c r="D189">
        <v>3</v>
      </c>
      <c r="E189">
        <v>0</v>
      </c>
      <c r="F189">
        <v>5</v>
      </c>
      <c r="G189">
        <f>IF(Table3[[#This Row],[Service_Window]]="Lunch",1,0)</f>
        <v>0</v>
      </c>
    </row>
    <row r="190" spans="1:7" x14ac:dyDescent="0.2">
      <c r="A190">
        <v>45940</v>
      </c>
      <c r="B190" t="s">
        <v>96</v>
      </c>
      <c r="C190" t="s">
        <v>14</v>
      </c>
      <c r="D190">
        <v>2</v>
      </c>
      <c r="E190">
        <v>0</v>
      </c>
      <c r="F190">
        <v>5</v>
      </c>
      <c r="G190">
        <f>IF(Table3[[#This Row],[Service_Window]]="Lunch",1,0)</f>
        <v>0</v>
      </c>
    </row>
    <row r="191" spans="1:7" x14ac:dyDescent="0.2">
      <c r="A191">
        <v>45940</v>
      </c>
      <c r="B191" t="s">
        <v>96</v>
      </c>
      <c r="C191" t="s">
        <v>14</v>
      </c>
      <c r="D191">
        <v>4</v>
      </c>
      <c r="E191">
        <v>0</v>
      </c>
      <c r="F191">
        <v>5</v>
      </c>
      <c r="G191">
        <f>IF(Table3[[#This Row],[Service_Window]]="Lunch",1,0)</f>
        <v>0</v>
      </c>
    </row>
    <row r="192" spans="1:7" x14ac:dyDescent="0.2">
      <c r="A192">
        <v>45940</v>
      </c>
      <c r="B192" t="s">
        <v>96</v>
      </c>
      <c r="C192" t="s">
        <v>14</v>
      </c>
      <c r="D192">
        <v>3</v>
      </c>
      <c r="E192">
        <v>0</v>
      </c>
      <c r="F192">
        <v>5</v>
      </c>
      <c r="G192">
        <f>IF(Table3[[#This Row],[Service_Window]]="Lunch",1,0)</f>
        <v>0</v>
      </c>
    </row>
    <row r="193" spans="1:7" x14ac:dyDescent="0.2">
      <c r="A193">
        <v>45940</v>
      </c>
      <c r="B193" t="s">
        <v>96</v>
      </c>
      <c r="C193" t="s">
        <v>14</v>
      </c>
      <c r="D193">
        <v>3</v>
      </c>
      <c r="E193">
        <v>0</v>
      </c>
      <c r="F193">
        <v>5</v>
      </c>
      <c r="G193">
        <f>IF(Table3[[#This Row],[Service_Window]]="Lunch",1,0)</f>
        <v>0</v>
      </c>
    </row>
    <row r="194" spans="1:7" x14ac:dyDescent="0.2">
      <c r="A194">
        <v>45940</v>
      </c>
      <c r="B194" t="s">
        <v>96</v>
      </c>
      <c r="C194" t="s">
        <v>43</v>
      </c>
      <c r="D194">
        <v>1</v>
      </c>
      <c r="E194">
        <v>1</v>
      </c>
      <c r="F194">
        <v>5</v>
      </c>
      <c r="G194">
        <f>IF(Table3[[#This Row],[Service_Window]]="Lunch",1,0)</f>
        <v>1</v>
      </c>
    </row>
    <row r="195" spans="1:7" x14ac:dyDescent="0.2">
      <c r="A195">
        <v>45940</v>
      </c>
      <c r="B195" t="s">
        <v>96</v>
      </c>
      <c r="C195" t="s">
        <v>43</v>
      </c>
      <c r="D195">
        <v>2</v>
      </c>
      <c r="E195">
        <v>1</v>
      </c>
      <c r="F195">
        <v>5</v>
      </c>
      <c r="G195">
        <f>IF(Table3[[#This Row],[Service_Window]]="Lunch",1,0)</f>
        <v>1</v>
      </c>
    </row>
    <row r="196" spans="1:7" x14ac:dyDescent="0.2">
      <c r="A196">
        <v>45940</v>
      </c>
      <c r="B196" t="s">
        <v>96</v>
      </c>
      <c r="C196" t="s">
        <v>43</v>
      </c>
      <c r="D196">
        <v>3</v>
      </c>
      <c r="E196">
        <v>1</v>
      </c>
      <c r="F196">
        <v>5</v>
      </c>
      <c r="G196">
        <f>IF(Table3[[#This Row],[Service_Window]]="Lunch",1,0)</f>
        <v>1</v>
      </c>
    </row>
    <row r="197" spans="1:7" x14ac:dyDescent="0.2">
      <c r="A197">
        <v>45940</v>
      </c>
      <c r="B197" t="s">
        <v>96</v>
      </c>
      <c r="C197" t="s">
        <v>43</v>
      </c>
      <c r="D197">
        <v>3</v>
      </c>
      <c r="E197">
        <v>0</v>
      </c>
      <c r="F197">
        <v>5</v>
      </c>
      <c r="G197">
        <f>IF(Table3[[#This Row],[Service_Window]]="Lunch",1,0)</f>
        <v>1</v>
      </c>
    </row>
    <row r="198" spans="1:7" x14ac:dyDescent="0.2">
      <c r="A198">
        <v>45940</v>
      </c>
      <c r="B198" t="s">
        <v>96</v>
      </c>
      <c r="C198" t="s">
        <v>43</v>
      </c>
      <c r="D198">
        <v>1</v>
      </c>
      <c r="E198">
        <v>0</v>
      </c>
      <c r="F198">
        <v>5</v>
      </c>
      <c r="G198">
        <f>IF(Table3[[#This Row],[Service_Window]]="Lunch",1,0)</f>
        <v>1</v>
      </c>
    </row>
    <row r="199" spans="1:7" x14ac:dyDescent="0.2">
      <c r="A199">
        <v>45940</v>
      </c>
      <c r="B199" t="s">
        <v>96</v>
      </c>
      <c r="C199" t="s">
        <v>43</v>
      </c>
      <c r="D199">
        <v>3</v>
      </c>
      <c r="E199">
        <v>0</v>
      </c>
      <c r="F199">
        <v>5</v>
      </c>
      <c r="G199">
        <f>IF(Table3[[#This Row],[Service_Window]]="Lunch",1,0)</f>
        <v>1</v>
      </c>
    </row>
    <row r="200" spans="1:7" x14ac:dyDescent="0.2">
      <c r="A200">
        <v>45940</v>
      </c>
      <c r="B200" t="s">
        <v>96</v>
      </c>
      <c r="C200" t="s">
        <v>43</v>
      </c>
      <c r="D200">
        <v>3</v>
      </c>
      <c r="E200">
        <v>1</v>
      </c>
      <c r="F200">
        <v>5</v>
      </c>
      <c r="G200">
        <f>IF(Table3[[#This Row],[Service_Window]]="Lunch",1,0)</f>
        <v>1</v>
      </c>
    </row>
    <row r="201" spans="1:7" x14ac:dyDescent="0.2">
      <c r="A201">
        <v>45940</v>
      </c>
      <c r="B201" t="s">
        <v>96</v>
      </c>
      <c r="C201" t="s">
        <v>43</v>
      </c>
      <c r="D201">
        <v>2</v>
      </c>
      <c r="E201">
        <v>1</v>
      </c>
      <c r="F201">
        <v>5</v>
      </c>
      <c r="G201">
        <f>IF(Table3[[#This Row],[Service_Window]]="Lunch",1,0)</f>
        <v>1</v>
      </c>
    </row>
    <row r="202" spans="1:7" x14ac:dyDescent="0.2">
      <c r="A202">
        <v>45940</v>
      </c>
      <c r="B202" t="s">
        <v>96</v>
      </c>
      <c r="C202" t="s">
        <v>43</v>
      </c>
      <c r="D202">
        <v>5</v>
      </c>
      <c r="E202">
        <v>1</v>
      </c>
      <c r="F202">
        <v>5</v>
      </c>
      <c r="G202">
        <f>IF(Table3[[#This Row],[Service_Window]]="Lunch",1,0)</f>
        <v>1</v>
      </c>
    </row>
    <row r="203" spans="1:7" x14ac:dyDescent="0.2">
      <c r="A203">
        <v>45940</v>
      </c>
      <c r="B203" t="s">
        <v>96</v>
      </c>
      <c r="C203" t="s">
        <v>43</v>
      </c>
      <c r="D203">
        <v>2</v>
      </c>
      <c r="E203">
        <v>0</v>
      </c>
      <c r="F203">
        <v>5</v>
      </c>
      <c r="G203">
        <f>IF(Table3[[#This Row],[Service_Window]]="Lunch",1,0)</f>
        <v>1</v>
      </c>
    </row>
    <row r="204" spans="1:7" x14ac:dyDescent="0.2">
      <c r="A204">
        <v>45940</v>
      </c>
      <c r="B204" t="s">
        <v>96</v>
      </c>
      <c r="C204" t="s">
        <v>43</v>
      </c>
      <c r="D204">
        <v>2</v>
      </c>
      <c r="E204">
        <v>1</v>
      </c>
      <c r="F204">
        <v>5</v>
      </c>
      <c r="G204">
        <f>IF(Table3[[#This Row],[Service_Window]]="Lunch",1,0)</f>
        <v>1</v>
      </c>
    </row>
    <row r="205" spans="1:7" x14ac:dyDescent="0.2">
      <c r="A205">
        <v>45940</v>
      </c>
      <c r="B205" t="s">
        <v>96</v>
      </c>
      <c r="C205" t="s">
        <v>43</v>
      </c>
      <c r="D205">
        <v>2</v>
      </c>
      <c r="E205">
        <v>1</v>
      </c>
      <c r="F205">
        <v>5</v>
      </c>
      <c r="G205">
        <f>IF(Table3[[#This Row],[Service_Window]]="Lunch",1,0)</f>
        <v>1</v>
      </c>
    </row>
    <row r="206" spans="1:7" x14ac:dyDescent="0.2">
      <c r="A206">
        <v>45941</v>
      </c>
      <c r="B206" t="s">
        <v>127</v>
      </c>
      <c r="C206" t="s">
        <v>14</v>
      </c>
      <c r="D206">
        <v>5</v>
      </c>
      <c r="E206">
        <v>0</v>
      </c>
      <c r="F206">
        <v>6</v>
      </c>
      <c r="G206">
        <f>IF(Table3[[#This Row],[Service_Window]]="Lunch",1,0)</f>
        <v>0</v>
      </c>
    </row>
    <row r="207" spans="1:7" x14ac:dyDescent="0.2">
      <c r="A207">
        <v>45941</v>
      </c>
      <c r="B207" t="s">
        <v>127</v>
      </c>
      <c r="C207" t="s">
        <v>14</v>
      </c>
      <c r="D207">
        <v>2</v>
      </c>
      <c r="E207">
        <v>0</v>
      </c>
      <c r="F207">
        <v>6</v>
      </c>
      <c r="G207">
        <f>IF(Table3[[#This Row],[Service_Window]]="Lunch",1,0)</f>
        <v>0</v>
      </c>
    </row>
    <row r="208" spans="1:7" x14ac:dyDescent="0.2">
      <c r="A208">
        <v>45941</v>
      </c>
      <c r="B208" t="s">
        <v>127</v>
      </c>
      <c r="C208" t="s">
        <v>14</v>
      </c>
      <c r="D208">
        <v>3</v>
      </c>
      <c r="E208">
        <v>0</v>
      </c>
      <c r="F208">
        <v>6</v>
      </c>
      <c r="G208">
        <f>IF(Table3[[#This Row],[Service_Window]]="Lunch",1,0)</f>
        <v>0</v>
      </c>
    </row>
    <row r="209" spans="1:7" x14ac:dyDescent="0.2">
      <c r="A209">
        <v>45941</v>
      </c>
      <c r="B209" t="s">
        <v>127</v>
      </c>
      <c r="C209" t="s">
        <v>14</v>
      </c>
      <c r="D209">
        <v>2</v>
      </c>
      <c r="E209">
        <v>0</v>
      </c>
      <c r="F209">
        <v>6</v>
      </c>
      <c r="G209">
        <f>IF(Table3[[#This Row],[Service_Window]]="Lunch",1,0)</f>
        <v>0</v>
      </c>
    </row>
    <row r="210" spans="1:7" x14ac:dyDescent="0.2">
      <c r="A210">
        <v>45941</v>
      </c>
      <c r="B210" t="s">
        <v>127</v>
      </c>
      <c r="C210" t="s">
        <v>14</v>
      </c>
      <c r="D210">
        <v>6</v>
      </c>
      <c r="E210">
        <v>0</v>
      </c>
      <c r="F210">
        <v>6</v>
      </c>
      <c r="G210">
        <f>IF(Table3[[#This Row],[Service_Window]]="Lunch",1,0)</f>
        <v>0</v>
      </c>
    </row>
    <row r="211" spans="1:7" x14ac:dyDescent="0.2">
      <c r="A211">
        <v>45941</v>
      </c>
      <c r="B211" t="s">
        <v>127</v>
      </c>
      <c r="C211" t="s">
        <v>14</v>
      </c>
      <c r="D211">
        <v>1</v>
      </c>
      <c r="E211">
        <v>0</v>
      </c>
      <c r="F211">
        <v>6</v>
      </c>
      <c r="G211">
        <f>IF(Table3[[#This Row],[Service_Window]]="Lunch",1,0)</f>
        <v>0</v>
      </c>
    </row>
    <row r="212" spans="1:7" x14ac:dyDescent="0.2">
      <c r="A212">
        <v>45941</v>
      </c>
      <c r="B212" t="s">
        <v>127</v>
      </c>
      <c r="C212" t="s">
        <v>14</v>
      </c>
      <c r="D212">
        <v>2</v>
      </c>
      <c r="E212">
        <v>0</v>
      </c>
      <c r="F212">
        <v>6</v>
      </c>
      <c r="G212">
        <f>IF(Table3[[#This Row],[Service_Window]]="Lunch",1,0)</f>
        <v>0</v>
      </c>
    </row>
    <row r="213" spans="1:7" x14ac:dyDescent="0.2">
      <c r="A213">
        <v>45941</v>
      </c>
      <c r="B213" t="s">
        <v>127</v>
      </c>
      <c r="C213" t="s">
        <v>14</v>
      </c>
      <c r="D213">
        <v>3</v>
      </c>
      <c r="E213">
        <v>0</v>
      </c>
      <c r="F213">
        <v>6</v>
      </c>
      <c r="G213">
        <f>IF(Table3[[#This Row],[Service_Window]]="Lunch",1,0)</f>
        <v>0</v>
      </c>
    </row>
    <row r="214" spans="1:7" x14ac:dyDescent="0.2">
      <c r="A214">
        <v>45941</v>
      </c>
      <c r="B214" t="s">
        <v>127</v>
      </c>
      <c r="C214" t="s">
        <v>14</v>
      </c>
      <c r="D214">
        <v>2</v>
      </c>
      <c r="E214">
        <v>0</v>
      </c>
      <c r="F214">
        <v>6</v>
      </c>
      <c r="G214">
        <f>IF(Table3[[#This Row],[Service_Window]]="Lunch",1,0)</f>
        <v>0</v>
      </c>
    </row>
    <row r="215" spans="1:7" x14ac:dyDescent="0.2">
      <c r="A215">
        <v>45941</v>
      </c>
      <c r="B215" t="s">
        <v>127</v>
      </c>
      <c r="C215" t="s">
        <v>14</v>
      </c>
      <c r="D215">
        <v>4</v>
      </c>
      <c r="E215">
        <v>0</v>
      </c>
      <c r="F215">
        <v>6</v>
      </c>
      <c r="G215">
        <f>IF(Table3[[#This Row],[Service_Window]]="Lunch",1,0)</f>
        <v>0</v>
      </c>
    </row>
    <row r="216" spans="1:7" x14ac:dyDescent="0.2">
      <c r="A216">
        <v>45941</v>
      </c>
      <c r="B216" t="s">
        <v>127</v>
      </c>
      <c r="C216" t="s">
        <v>14</v>
      </c>
      <c r="D216">
        <v>4</v>
      </c>
      <c r="E216">
        <v>0</v>
      </c>
      <c r="F216">
        <v>6</v>
      </c>
      <c r="G216">
        <f>IF(Table3[[#This Row],[Service_Window]]="Lunch",1,0)</f>
        <v>0</v>
      </c>
    </row>
    <row r="217" spans="1:7" x14ac:dyDescent="0.2">
      <c r="A217">
        <v>45941</v>
      </c>
      <c r="B217" t="s">
        <v>127</v>
      </c>
      <c r="C217" t="s">
        <v>14</v>
      </c>
      <c r="D217">
        <v>4</v>
      </c>
      <c r="E217">
        <v>0</v>
      </c>
      <c r="F217">
        <v>6</v>
      </c>
      <c r="G217">
        <f>IF(Table3[[#This Row],[Service_Window]]="Lunch",1,0)</f>
        <v>0</v>
      </c>
    </row>
    <row r="218" spans="1:7" x14ac:dyDescent="0.2">
      <c r="A218">
        <v>45941</v>
      </c>
      <c r="B218" t="s">
        <v>127</v>
      </c>
      <c r="C218" t="s">
        <v>14</v>
      </c>
      <c r="D218">
        <v>4</v>
      </c>
      <c r="E218">
        <v>0</v>
      </c>
      <c r="F218">
        <v>6</v>
      </c>
      <c r="G218">
        <f>IF(Table3[[#This Row],[Service_Window]]="Lunch",1,0)</f>
        <v>0</v>
      </c>
    </row>
    <row r="219" spans="1:7" x14ac:dyDescent="0.2">
      <c r="A219">
        <v>45941</v>
      </c>
      <c r="B219" t="s">
        <v>127</v>
      </c>
      <c r="C219" t="s">
        <v>14</v>
      </c>
      <c r="D219">
        <v>2</v>
      </c>
      <c r="E219">
        <v>0</v>
      </c>
      <c r="F219">
        <v>6</v>
      </c>
      <c r="G219">
        <f>IF(Table3[[#This Row],[Service_Window]]="Lunch",1,0)</f>
        <v>0</v>
      </c>
    </row>
    <row r="220" spans="1:7" x14ac:dyDescent="0.2">
      <c r="A220">
        <v>45941</v>
      </c>
      <c r="B220" t="s">
        <v>127</v>
      </c>
      <c r="C220" t="s">
        <v>43</v>
      </c>
      <c r="D220">
        <v>3</v>
      </c>
      <c r="E220">
        <v>0</v>
      </c>
      <c r="F220">
        <v>6</v>
      </c>
      <c r="G220">
        <f>IF(Table3[[#This Row],[Service_Window]]="Lunch",1,0)</f>
        <v>1</v>
      </c>
    </row>
    <row r="221" spans="1:7" x14ac:dyDescent="0.2">
      <c r="A221">
        <v>45941</v>
      </c>
      <c r="B221" t="s">
        <v>127</v>
      </c>
      <c r="C221" t="s">
        <v>43</v>
      </c>
      <c r="D221">
        <v>3</v>
      </c>
      <c r="E221">
        <v>0</v>
      </c>
      <c r="F221">
        <v>6</v>
      </c>
      <c r="G221">
        <f>IF(Table3[[#This Row],[Service_Window]]="Lunch",1,0)</f>
        <v>1</v>
      </c>
    </row>
    <row r="222" spans="1:7" x14ac:dyDescent="0.2">
      <c r="A222">
        <v>45941</v>
      </c>
      <c r="B222" t="s">
        <v>127</v>
      </c>
      <c r="C222" t="s">
        <v>43</v>
      </c>
      <c r="D222">
        <v>2</v>
      </c>
      <c r="E222">
        <v>0</v>
      </c>
      <c r="F222">
        <v>6</v>
      </c>
      <c r="G222">
        <f>IF(Table3[[#This Row],[Service_Window]]="Lunch",1,0)</f>
        <v>1</v>
      </c>
    </row>
    <row r="223" spans="1:7" x14ac:dyDescent="0.2">
      <c r="A223">
        <v>45941</v>
      </c>
      <c r="B223" t="s">
        <v>127</v>
      </c>
      <c r="C223" t="s">
        <v>43</v>
      </c>
      <c r="D223">
        <v>4</v>
      </c>
      <c r="E223">
        <v>0</v>
      </c>
      <c r="F223">
        <v>6</v>
      </c>
      <c r="G223">
        <f>IF(Table3[[#This Row],[Service_Window]]="Lunch",1,0)</f>
        <v>1</v>
      </c>
    </row>
    <row r="224" spans="1:7" x14ac:dyDescent="0.2">
      <c r="A224">
        <v>45941</v>
      </c>
      <c r="B224" t="s">
        <v>127</v>
      </c>
      <c r="C224" t="s">
        <v>43</v>
      </c>
      <c r="D224">
        <v>3</v>
      </c>
      <c r="E224">
        <v>0</v>
      </c>
      <c r="F224">
        <v>6</v>
      </c>
      <c r="G224">
        <f>IF(Table3[[#This Row],[Service_Window]]="Lunch",1,0)</f>
        <v>1</v>
      </c>
    </row>
    <row r="225" spans="1:7" x14ac:dyDescent="0.2">
      <c r="A225">
        <v>45942</v>
      </c>
      <c r="B225" t="s">
        <v>171</v>
      </c>
      <c r="C225" t="s">
        <v>14</v>
      </c>
      <c r="D225">
        <v>5</v>
      </c>
      <c r="E225">
        <v>0</v>
      </c>
      <c r="F225">
        <v>7</v>
      </c>
      <c r="G225">
        <f>IF(Table3[[#This Row],[Service_Window]]="Lunch",1,0)</f>
        <v>0</v>
      </c>
    </row>
    <row r="226" spans="1:7" x14ac:dyDescent="0.2">
      <c r="A226">
        <v>45942</v>
      </c>
      <c r="B226" t="s">
        <v>171</v>
      </c>
      <c r="C226" t="s">
        <v>14</v>
      </c>
      <c r="D226">
        <v>5</v>
      </c>
      <c r="E226">
        <v>0</v>
      </c>
      <c r="F226">
        <v>7</v>
      </c>
      <c r="G226">
        <f>IF(Table3[[#This Row],[Service_Window]]="Lunch",1,0)</f>
        <v>0</v>
      </c>
    </row>
    <row r="227" spans="1:7" x14ac:dyDescent="0.2">
      <c r="A227">
        <v>45942</v>
      </c>
      <c r="B227" t="s">
        <v>171</v>
      </c>
      <c r="C227" t="s">
        <v>14</v>
      </c>
      <c r="D227">
        <v>5</v>
      </c>
      <c r="E227">
        <v>0</v>
      </c>
      <c r="F227">
        <v>7</v>
      </c>
      <c r="G227">
        <f>IF(Table3[[#This Row],[Service_Window]]="Lunch",1,0)</f>
        <v>0</v>
      </c>
    </row>
    <row r="228" spans="1:7" x14ac:dyDescent="0.2">
      <c r="A228">
        <v>45942</v>
      </c>
      <c r="B228" t="s">
        <v>171</v>
      </c>
      <c r="C228" t="s">
        <v>14</v>
      </c>
      <c r="D228">
        <v>5</v>
      </c>
      <c r="E228">
        <v>0</v>
      </c>
      <c r="F228">
        <v>7</v>
      </c>
      <c r="G228">
        <f>IF(Table3[[#This Row],[Service_Window]]="Lunch",1,0)</f>
        <v>0</v>
      </c>
    </row>
    <row r="229" spans="1:7" x14ac:dyDescent="0.2">
      <c r="A229">
        <v>45942</v>
      </c>
      <c r="B229" t="s">
        <v>171</v>
      </c>
      <c r="C229" t="s">
        <v>14</v>
      </c>
      <c r="D229">
        <v>3</v>
      </c>
      <c r="E229">
        <v>0</v>
      </c>
      <c r="F229">
        <v>7</v>
      </c>
      <c r="G229">
        <f>IF(Table3[[#This Row],[Service_Window]]="Lunch",1,0)</f>
        <v>0</v>
      </c>
    </row>
    <row r="230" spans="1:7" x14ac:dyDescent="0.2">
      <c r="A230">
        <v>45942</v>
      </c>
      <c r="B230" t="s">
        <v>171</v>
      </c>
      <c r="C230" t="s">
        <v>14</v>
      </c>
      <c r="D230">
        <v>4</v>
      </c>
      <c r="E230">
        <v>0</v>
      </c>
      <c r="F230">
        <v>7</v>
      </c>
      <c r="G230">
        <f>IF(Table3[[#This Row],[Service_Window]]="Lunch",1,0)</f>
        <v>0</v>
      </c>
    </row>
    <row r="231" spans="1:7" x14ac:dyDescent="0.2">
      <c r="A231">
        <v>45942</v>
      </c>
      <c r="B231" t="s">
        <v>171</v>
      </c>
      <c r="C231" t="s">
        <v>14</v>
      </c>
      <c r="D231">
        <v>3</v>
      </c>
      <c r="E231">
        <v>0</v>
      </c>
      <c r="F231">
        <v>7</v>
      </c>
      <c r="G231">
        <f>IF(Table3[[#This Row],[Service_Window]]="Lunch",1,0)</f>
        <v>0</v>
      </c>
    </row>
    <row r="232" spans="1:7" x14ac:dyDescent="0.2">
      <c r="A232">
        <v>45942</v>
      </c>
      <c r="B232" t="s">
        <v>171</v>
      </c>
      <c r="C232" t="s">
        <v>14</v>
      </c>
      <c r="D232">
        <v>1</v>
      </c>
      <c r="E232">
        <v>0</v>
      </c>
      <c r="F232">
        <v>7</v>
      </c>
      <c r="G232">
        <f>IF(Table3[[#This Row],[Service_Window]]="Lunch",1,0)</f>
        <v>0</v>
      </c>
    </row>
    <row r="233" spans="1:7" x14ac:dyDescent="0.2">
      <c r="A233">
        <v>45942</v>
      </c>
      <c r="B233" t="s">
        <v>171</v>
      </c>
      <c r="C233" t="s">
        <v>14</v>
      </c>
      <c r="D233">
        <v>6</v>
      </c>
      <c r="E233">
        <v>0</v>
      </c>
      <c r="F233">
        <v>7</v>
      </c>
      <c r="G233">
        <f>IF(Table3[[#This Row],[Service_Window]]="Lunch",1,0)</f>
        <v>0</v>
      </c>
    </row>
    <row r="234" spans="1:7" x14ac:dyDescent="0.2">
      <c r="A234">
        <v>45942</v>
      </c>
      <c r="B234" t="s">
        <v>171</v>
      </c>
      <c r="C234" t="s">
        <v>14</v>
      </c>
      <c r="D234">
        <v>3</v>
      </c>
      <c r="E234">
        <v>0</v>
      </c>
      <c r="F234">
        <v>7</v>
      </c>
      <c r="G234">
        <f>IF(Table3[[#This Row],[Service_Window]]="Lunch",1,0)</f>
        <v>0</v>
      </c>
    </row>
    <row r="235" spans="1:7" x14ac:dyDescent="0.2">
      <c r="A235">
        <v>45942</v>
      </c>
      <c r="B235" t="s">
        <v>171</v>
      </c>
      <c r="C235" t="s">
        <v>14</v>
      </c>
      <c r="D235">
        <v>4</v>
      </c>
      <c r="E235">
        <v>0</v>
      </c>
      <c r="F235">
        <v>7</v>
      </c>
      <c r="G235">
        <f>IF(Table3[[#This Row],[Service_Window]]="Lunch",1,0)</f>
        <v>0</v>
      </c>
    </row>
    <row r="236" spans="1:7" x14ac:dyDescent="0.2">
      <c r="A236">
        <v>45942</v>
      </c>
      <c r="B236" t="s">
        <v>171</v>
      </c>
      <c r="C236" t="s">
        <v>14</v>
      </c>
      <c r="D236">
        <v>7</v>
      </c>
      <c r="E236">
        <v>0</v>
      </c>
      <c r="F236">
        <v>7</v>
      </c>
      <c r="G236">
        <f>IF(Table3[[#This Row],[Service_Window]]="Lunch",1,0)</f>
        <v>0</v>
      </c>
    </row>
    <row r="237" spans="1:7" x14ac:dyDescent="0.2">
      <c r="A237">
        <v>45942</v>
      </c>
      <c r="B237" t="s">
        <v>171</v>
      </c>
      <c r="C237" t="s">
        <v>14</v>
      </c>
      <c r="D237">
        <v>4</v>
      </c>
      <c r="E237">
        <v>0</v>
      </c>
      <c r="F237">
        <v>7</v>
      </c>
      <c r="G237">
        <f>IF(Table3[[#This Row],[Service_Window]]="Lunch",1,0)</f>
        <v>0</v>
      </c>
    </row>
    <row r="238" spans="1:7" x14ac:dyDescent="0.2">
      <c r="A238">
        <v>45942</v>
      </c>
      <c r="B238" t="s">
        <v>171</v>
      </c>
      <c r="C238" t="s">
        <v>14</v>
      </c>
      <c r="D238">
        <v>2</v>
      </c>
      <c r="E238">
        <v>0</v>
      </c>
      <c r="F238">
        <v>7</v>
      </c>
      <c r="G238">
        <f>IF(Table3[[#This Row],[Service_Window]]="Lunch",1,0)</f>
        <v>0</v>
      </c>
    </row>
    <row r="239" spans="1:7" x14ac:dyDescent="0.2">
      <c r="A239">
        <v>45942</v>
      </c>
      <c r="B239" t="s">
        <v>171</v>
      </c>
      <c r="C239" t="s">
        <v>14</v>
      </c>
      <c r="D239">
        <v>4</v>
      </c>
      <c r="E239">
        <v>0</v>
      </c>
      <c r="F239">
        <v>7</v>
      </c>
      <c r="G239">
        <f>IF(Table3[[#This Row],[Service_Window]]="Lunch",1,0)</f>
        <v>0</v>
      </c>
    </row>
    <row r="240" spans="1:7" x14ac:dyDescent="0.2">
      <c r="A240">
        <v>45942</v>
      </c>
      <c r="B240" t="s">
        <v>171</v>
      </c>
      <c r="C240" t="s">
        <v>43</v>
      </c>
      <c r="D240">
        <v>3</v>
      </c>
      <c r="E240">
        <v>0</v>
      </c>
      <c r="F240">
        <v>7</v>
      </c>
      <c r="G240">
        <f>IF(Table3[[#This Row],[Service_Window]]="Lunch",1,0)</f>
        <v>1</v>
      </c>
    </row>
    <row r="241" spans="1:7" x14ac:dyDescent="0.2">
      <c r="A241">
        <v>45942</v>
      </c>
      <c r="B241" t="s">
        <v>171</v>
      </c>
      <c r="C241" t="s">
        <v>43</v>
      </c>
      <c r="D241">
        <v>1</v>
      </c>
      <c r="E241">
        <v>0</v>
      </c>
      <c r="F241">
        <v>7</v>
      </c>
      <c r="G241">
        <f>IF(Table3[[#This Row],[Service_Window]]="Lunch",1,0)</f>
        <v>1</v>
      </c>
    </row>
    <row r="242" spans="1:7" x14ac:dyDescent="0.2">
      <c r="A242">
        <v>45942</v>
      </c>
      <c r="B242" t="s">
        <v>171</v>
      </c>
      <c r="C242" t="s">
        <v>43</v>
      </c>
      <c r="D242">
        <v>3</v>
      </c>
      <c r="E242">
        <v>0</v>
      </c>
      <c r="F242">
        <v>7</v>
      </c>
      <c r="G242">
        <f>IF(Table3[[#This Row],[Service_Window]]="Lunch",1,0)</f>
        <v>1</v>
      </c>
    </row>
    <row r="243" spans="1:7" x14ac:dyDescent="0.2">
      <c r="A243">
        <v>45942</v>
      </c>
      <c r="B243" t="s">
        <v>171</v>
      </c>
      <c r="C243" t="s">
        <v>43</v>
      </c>
      <c r="D243">
        <v>2</v>
      </c>
      <c r="E243">
        <v>0</v>
      </c>
      <c r="F243">
        <v>7</v>
      </c>
      <c r="G243">
        <f>IF(Table3[[#This Row],[Service_Window]]="Lunch",1,0)</f>
        <v>1</v>
      </c>
    </row>
    <row r="244" spans="1:7" x14ac:dyDescent="0.2">
      <c r="A244">
        <v>45943</v>
      </c>
      <c r="B244" t="s">
        <v>213</v>
      </c>
      <c r="C244" t="s">
        <v>14</v>
      </c>
      <c r="D244">
        <v>6</v>
      </c>
      <c r="E244">
        <v>0</v>
      </c>
      <c r="F244">
        <v>1</v>
      </c>
      <c r="G244">
        <f>IF(Table3[[#This Row],[Service_Window]]="Lunch",1,0)</f>
        <v>0</v>
      </c>
    </row>
    <row r="245" spans="1:7" x14ac:dyDescent="0.2">
      <c r="A245">
        <v>45943</v>
      </c>
      <c r="B245" t="s">
        <v>213</v>
      </c>
      <c r="C245" t="s">
        <v>14</v>
      </c>
      <c r="D245">
        <v>4</v>
      </c>
      <c r="E245">
        <v>0</v>
      </c>
      <c r="F245">
        <v>1</v>
      </c>
      <c r="G245">
        <f>IF(Table3[[#This Row],[Service_Window]]="Lunch",1,0)</f>
        <v>0</v>
      </c>
    </row>
    <row r="246" spans="1:7" x14ac:dyDescent="0.2">
      <c r="A246">
        <v>45943</v>
      </c>
      <c r="B246" t="s">
        <v>213</v>
      </c>
      <c r="C246" t="s">
        <v>14</v>
      </c>
      <c r="D246">
        <v>3</v>
      </c>
      <c r="E246">
        <v>0</v>
      </c>
      <c r="F246">
        <v>1</v>
      </c>
      <c r="G246">
        <f>IF(Table3[[#This Row],[Service_Window]]="Lunch",1,0)</f>
        <v>0</v>
      </c>
    </row>
    <row r="247" spans="1:7" x14ac:dyDescent="0.2">
      <c r="A247">
        <v>45943</v>
      </c>
      <c r="B247" t="s">
        <v>213</v>
      </c>
      <c r="C247" t="s">
        <v>14</v>
      </c>
      <c r="D247">
        <v>2</v>
      </c>
      <c r="E247">
        <v>0</v>
      </c>
      <c r="F247">
        <v>1</v>
      </c>
      <c r="G247">
        <f>IF(Table3[[#This Row],[Service_Window]]="Lunch",1,0)</f>
        <v>0</v>
      </c>
    </row>
    <row r="248" spans="1:7" x14ac:dyDescent="0.2">
      <c r="A248">
        <v>45943</v>
      </c>
      <c r="B248" t="s">
        <v>213</v>
      </c>
      <c r="C248" t="s">
        <v>14</v>
      </c>
      <c r="D248">
        <v>6</v>
      </c>
      <c r="E248">
        <v>0</v>
      </c>
      <c r="F248">
        <v>1</v>
      </c>
      <c r="G248">
        <f>IF(Table3[[#This Row],[Service_Window]]="Lunch",1,0)</f>
        <v>0</v>
      </c>
    </row>
    <row r="249" spans="1:7" x14ac:dyDescent="0.2">
      <c r="A249">
        <v>45943</v>
      </c>
      <c r="B249" t="s">
        <v>213</v>
      </c>
      <c r="C249" t="s">
        <v>14</v>
      </c>
      <c r="D249">
        <v>3</v>
      </c>
      <c r="E249">
        <v>0</v>
      </c>
      <c r="F249">
        <v>1</v>
      </c>
      <c r="G249">
        <f>IF(Table3[[#This Row],[Service_Window]]="Lunch",1,0)</f>
        <v>0</v>
      </c>
    </row>
    <row r="250" spans="1:7" x14ac:dyDescent="0.2">
      <c r="A250">
        <v>45943</v>
      </c>
      <c r="B250" t="s">
        <v>213</v>
      </c>
      <c r="C250" t="s">
        <v>14</v>
      </c>
      <c r="D250">
        <v>4</v>
      </c>
      <c r="E250">
        <v>0</v>
      </c>
      <c r="F250">
        <v>1</v>
      </c>
      <c r="G250">
        <f>IF(Table3[[#This Row],[Service_Window]]="Lunch",1,0)</f>
        <v>0</v>
      </c>
    </row>
    <row r="251" spans="1:7" x14ac:dyDescent="0.2">
      <c r="A251">
        <v>45943</v>
      </c>
      <c r="B251" t="s">
        <v>213</v>
      </c>
      <c r="C251" t="s">
        <v>14</v>
      </c>
      <c r="D251">
        <v>4</v>
      </c>
      <c r="E251">
        <v>0</v>
      </c>
      <c r="F251">
        <v>1</v>
      </c>
      <c r="G251">
        <f>IF(Table3[[#This Row],[Service_Window]]="Lunch",1,0)</f>
        <v>0</v>
      </c>
    </row>
    <row r="252" spans="1:7" x14ac:dyDescent="0.2">
      <c r="A252">
        <v>45943</v>
      </c>
      <c r="B252" t="s">
        <v>213</v>
      </c>
      <c r="C252" t="s">
        <v>14</v>
      </c>
      <c r="D252">
        <v>2</v>
      </c>
      <c r="E252">
        <v>0</v>
      </c>
      <c r="F252">
        <v>1</v>
      </c>
      <c r="G252">
        <f>IF(Table3[[#This Row],[Service_Window]]="Lunch",1,0)</f>
        <v>0</v>
      </c>
    </row>
    <row r="253" spans="1:7" x14ac:dyDescent="0.2">
      <c r="A253">
        <v>45943</v>
      </c>
      <c r="B253" t="s">
        <v>213</v>
      </c>
      <c r="C253" t="s">
        <v>14</v>
      </c>
      <c r="D253">
        <v>1</v>
      </c>
      <c r="E253">
        <v>0</v>
      </c>
      <c r="F253">
        <v>1</v>
      </c>
      <c r="G253">
        <f>IF(Table3[[#This Row],[Service_Window]]="Lunch",1,0)</f>
        <v>0</v>
      </c>
    </row>
    <row r="254" spans="1:7" x14ac:dyDescent="0.2">
      <c r="A254">
        <v>45943</v>
      </c>
      <c r="B254" t="s">
        <v>213</v>
      </c>
      <c r="C254" t="s">
        <v>14</v>
      </c>
      <c r="D254">
        <v>4</v>
      </c>
      <c r="E254">
        <v>0</v>
      </c>
      <c r="F254">
        <v>1</v>
      </c>
      <c r="G254">
        <f>IF(Table3[[#This Row],[Service_Window]]="Lunch",1,0)</f>
        <v>0</v>
      </c>
    </row>
    <row r="255" spans="1:7" x14ac:dyDescent="0.2">
      <c r="A255">
        <v>45943</v>
      </c>
      <c r="B255" t="s">
        <v>213</v>
      </c>
      <c r="C255" t="s">
        <v>14</v>
      </c>
      <c r="D255">
        <v>3</v>
      </c>
      <c r="E255">
        <v>0</v>
      </c>
      <c r="F255">
        <v>1</v>
      </c>
      <c r="G255">
        <f>IF(Table3[[#This Row],[Service_Window]]="Lunch",1,0)</f>
        <v>0</v>
      </c>
    </row>
    <row r="256" spans="1:7" x14ac:dyDescent="0.2">
      <c r="A256">
        <v>45943</v>
      </c>
      <c r="B256" t="s">
        <v>213</v>
      </c>
      <c r="C256" t="s">
        <v>14</v>
      </c>
      <c r="D256">
        <v>3</v>
      </c>
      <c r="E256">
        <v>0</v>
      </c>
      <c r="F256">
        <v>1</v>
      </c>
      <c r="G256">
        <f>IF(Table3[[#This Row],[Service_Window]]="Lunch",1,0)</f>
        <v>0</v>
      </c>
    </row>
    <row r="257" spans="1:7" x14ac:dyDescent="0.2">
      <c r="A257">
        <v>45943</v>
      </c>
      <c r="B257" t="s">
        <v>213</v>
      </c>
      <c r="C257" t="s">
        <v>14</v>
      </c>
      <c r="D257">
        <v>4</v>
      </c>
      <c r="E257">
        <v>0</v>
      </c>
      <c r="F257">
        <v>1</v>
      </c>
      <c r="G257">
        <f>IF(Table3[[#This Row],[Service_Window]]="Lunch",1,0)</f>
        <v>0</v>
      </c>
    </row>
    <row r="258" spans="1:7" x14ac:dyDescent="0.2">
      <c r="A258">
        <v>45943</v>
      </c>
      <c r="B258" t="s">
        <v>213</v>
      </c>
      <c r="C258" t="s">
        <v>14</v>
      </c>
      <c r="D258">
        <v>3</v>
      </c>
      <c r="E258">
        <v>0</v>
      </c>
      <c r="F258">
        <v>1</v>
      </c>
      <c r="G258">
        <f>IF(Table3[[#This Row],[Service_Window]]="Lunch",1,0)</f>
        <v>0</v>
      </c>
    </row>
    <row r="259" spans="1:7" x14ac:dyDescent="0.2">
      <c r="A259">
        <v>45943</v>
      </c>
      <c r="B259" t="s">
        <v>213</v>
      </c>
      <c r="C259" t="s">
        <v>14</v>
      </c>
      <c r="D259">
        <v>2</v>
      </c>
      <c r="E259">
        <v>0</v>
      </c>
      <c r="F259">
        <v>1</v>
      </c>
      <c r="G259">
        <f>IF(Table3[[#This Row],[Service_Window]]="Lunch",1,0)</f>
        <v>0</v>
      </c>
    </row>
    <row r="260" spans="1:7" x14ac:dyDescent="0.2">
      <c r="A260">
        <v>45943</v>
      </c>
      <c r="B260" t="s">
        <v>213</v>
      </c>
      <c r="C260" t="s">
        <v>14</v>
      </c>
      <c r="D260">
        <v>2</v>
      </c>
      <c r="E260">
        <v>0</v>
      </c>
      <c r="F260">
        <v>1</v>
      </c>
      <c r="G260">
        <f>IF(Table3[[#This Row],[Service_Window]]="Lunch",1,0)</f>
        <v>0</v>
      </c>
    </row>
    <row r="261" spans="1:7" x14ac:dyDescent="0.2">
      <c r="A261">
        <v>45943</v>
      </c>
      <c r="B261" t="s">
        <v>213</v>
      </c>
      <c r="C261" t="s">
        <v>14</v>
      </c>
      <c r="D261">
        <v>5</v>
      </c>
      <c r="E261">
        <v>0</v>
      </c>
      <c r="F261">
        <v>1</v>
      </c>
      <c r="G261">
        <f>IF(Table3[[#This Row],[Service_Window]]="Lunch",1,0)</f>
        <v>0</v>
      </c>
    </row>
    <row r="262" spans="1:7" x14ac:dyDescent="0.2">
      <c r="A262">
        <v>45943</v>
      </c>
      <c r="B262" t="s">
        <v>213</v>
      </c>
      <c r="C262" t="s">
        <v>43</v>
      </c>
      <c r="D262">
        <v>2</v>
      </c>
      <c r="E262">
        <v>0</v>
      </c>
      <c r="F262">
        <v>1</v>
      </c>
      <c r="G262">
        <f>IF(Table3[[#This Row],[Service_Window]]="Lunch",1,0)</f>
        <v>1</v>
      </c>
    </row>
    <row r="263" spans="1:7" x14ac:dyDescent="0.2">
      <c r="A263">
        <v>45943</v>
      </c>
      <c r="B263" t="s">
        <v>213</v>
      </c>
      <c r="C263" t="s">
        <v>43</v>
      </c>
      <c r="D263">
        <v>1</v>
      </c>
      <c r="E263">
        <v>0</v>
      </c>
      <c r="F263">
        <v>1</v>
      </c>
      <c r="G263">
        <f>IF(Table3[[#This Row],[Service_Window]]="Lunch",1,0)</f>
        <v>1</v>
      </c>
    </row>
    <row r="264" spans="1:7" x14ac:dyDescent="0.2">
      <c r="A264">
        <v>45943</v>
      </c>
      <c r="B264" t="s">
        <v>213</v>
      </c>
      <c r="C264" t="s">
        <v>43</v>
      </c>
      <c r="D264">
        <v>2</v>
      </c>
      <c r="E264">
        <v>0</v>
      </c>
      <c r="F264">
        <v>1</v>
      </c>
      <c r="G264">
        <f>IF(Table3[[#This Row],[Service_Window]]="Lunch",1,0)</f>
        <v>1</v>
      </c>
    </row>
    <row r="265" spans="1:7" x14ac:dyDescent="0.2">
      <c r="A265">
        <v>45944</v>
      </c>
      <c r="B265" t="s">
        <v>250</v>
      </c>
      <c r="C265" t="s">
        <v>14</v>
      </c>
      <c r="D265">
        <v>2</v>
      </c>
      <c r="E265">
        <v>0</v>
      </c>
      <c r="F265">
        <v>2</v>
      </c>
      <c r="G265">
        <f>IF(Table3[[#This Row],[Service_Window]]="Lunch",1,0)</f>
        <v>0</v>
      </c>
    </row>
    <row r="266" spans="1:7" x14ac:dyDescent="0.2">
      <c r="A266">
        <v>45944</v>
      </c>
      <c r="B266" t="s">
        <v>250</v>
      </c>
      <c r="C266" t="s">
        <v>14</v>
      </c>
      <c r="D266">
        <v>4</v>
      </c>
      <c r="E266">
        <v>0</v>
      </c>
      <c r="F266">
        <v>2</v>
      </c>
      <c r="G266">
        <f>IF(Table3[[#This Row],[Service_Window]]="Lunch",1,0)</f>
        <v>0</v>
      </c>
    </row>
    <row r="267" spans="1:7" x14ac:dyDescent="0.2">
      <c r="A267">
        <v>45944</v>
      </c>
      <c r="B267" t="s">
        <v>250</v>
      </c>
      <c r="C267" t="s">
        <v>14</v>
      </c>
      <c r="D267">
        <v>3</v>
      </c>
      <c r="E267">
        <v>0</v>
      </c>
      <c r="F267">
        <v>2</v>
      </c>
      <c r="G267">
        <f>IF(Table3[[#This Row],[Service_Window]]="Lunch",1,0)</f>
        <v>0</v>
      </c>
    </row>
    <row r="268" spans="1:7" x14ac:dyDescent="0.2">
      <c r="A268">
        <v>45944</v>
      </c>
      <c r="B268" t="s">
        <v>250</v>
      </c>
      <c r="C268" t="s">
        <v>14</v>
      </c>
      <c r="D268">
        <v>6</v>
      </c>
      <c r="E268">
        <v>0</v>
      </c>
      <c r="F268">
        <v>2</v>
      </c>
      <c r="G268">
        <f>IF(Table3[[#This Row],[Service_Window]]="Lunch",1,0)</f>
        <v>0</v>
      </c>
    </row>
    <row r="269" spans="1:7" x14ac:dyDescent="0.2">
      <c r="A269">
        <v>45944</v>
      </c>
      <c r="B269" t="s">
        <v>250</v>
      </c>
      <c r="C269" t="s">
        <v>14</v>
      </c>
      <c r="D269">
        <v>5</v>
      </c>
      <c r="E269">
        <v>0</v>
      </c>
      <c r="F269">
        <v>2</v>
      </c>
      <c r="G269">
        <f>IF(Table3[[#This Row],[Service_Window]]="Lunch",1,0)</f>
        <v>0</v>
      </c>
    </row>
    <row r="270" spans="1:7" x14ac:dyDescent="0.2">
      <c r="A270">
        <v>45944</v>
      </c>
      <c r="B270" t="s">
        <v>250</v>
      </c>
      <c r="C270" t="s">
        <v>14</v>
      </c>
      <c r="D270">
        <v>3</v>
      </c>
      <c r="E270">
        <v>0</v>
      </c>
      <c r="F270">
        <v>2</v>
      </c>
      <c r="G270">
        <f>IF(Table3[[#This Row],[Service_Window]]="Lunch",1,0)</f>
        <v>0</v>
      </c>
    </row>
    <row r="271" spans="1:7" x14ac:dyDescent="0.2">
      <c r="A271">
        <v>45944</v>
      </c>
      <c r="B271" t="s">
        <v>250</v>
      </c>
      <c r="C271" t="s">
        <v>14</v>
      </c>
      <c r="D271">
        <v>2</v>
      </c>
      <c r="E271">
        <v>0</v>
      </c>
      <c r="F271">
        <v>2</v>
      </c>
      <c r="G271">
        <f>IF(Table3[[#This Row],[Service_Window]]="Lunch",1,0)</f>
        <v>0</v>
      </c>
    </row>
    <row r="272" spans="1:7" x14ac:dyDescent="0.2">
      <c r="A272">
        <v>45944</v>
      </c>
      <c r="B272" t="s">
        <v>250</v>
      </c>
      <c r="C272" t="s">
        <v>14</v>
      </c>
      <c r="D272">
        <v>1</v>
      </c>
      <c r="E272">
        <v>0</v>
      </c>
      <c r="F272">
        <v>2</v>
      </c>
      <c r="G272">
        <f>IF(Table3[[#This Row],[Service_Window]]="Lunch",1,0)</f>
        <v>0</v>
      </c>
    </row>
    <row r="273" spans="1:7" x14ac:dyDescent="0.2">
      <c r="A273">
        <v>45944</v>
      </c>
      <c r="B273" t="s">
        <v>250</v>
      </c>
      <c r="C273" t="s">
        <v>14</v>
      </c>
      <c r="D273">
        <v>4</v>
      </c>
      <c r="E273">
        <v>0</v>
      </c>
      <c r="F273">
        <v>2</v>
      </c>
      <c r="G273">
        <f>IF(Table3[[#This Row],[Service_Window]]="Lunch",1,0)</f>
        <v>0</v>
      </c>
    </row>
    <row r="274" spans="1:7" x14ac:dyDescent="0.2">
      <c r="A274">
        <v>45944</v>
      </c>
      <c r="B274" t="s">
        <v>250</v>
      </c>
      <c r="C274" t="s">
        <v>14</v>
      </c>
      <c r="D274">
        <v>4</v>
      </c>
      <c r="E274">
        <v>0</v>
      </c>
      <c r="F274">
        <v>2</v>
      </c>
      <c r="G274">
        <f>IF(Table3[[#This Row],[Service_Window]]="Lunch",1,0)</f>
        <v>0</v>
      </c>
    </row>
    <row r="275" spans="1:7" x14ac:dyDescent="0.2">
      <c r="A275">
        <v>45944</v>
      </c>
      <c r="B275" t="s">
        <v>250</v>
      </c>
      <c r="C275" t="s">
        <v>14</v>
      </c>
      <c r="D275">
        <v>3</v>
      </c>
      <c r="E275">
        <v>0</v>
      </c>
      <c r="F275">
        <v>2</v>
      </c>
      <c r="G275">
        <f>IF(Table3[[#This Row],[Service_Window]]="Lunch",1,0)</f>
        <v>0</v>
      </c>
    </row>
    <row r="276" spans="1:7" x14ac:dyDescent="0.2">
      <c r="A276">
        <v>45944</v>
      </c>
      <c r="B276" t="s">
        <v>250</v>
      </c>
      <c r="C276" t="s">
        <v>14</v>
      </c>
      <c r="D276">
        <v>3</v>
      </c>
      <c r="E276">
        <v>0</v>
      </c>
      <c r="F276">
        <v>2</v>
      </c>
      <c r="G276">
        <f>IF(Table3[[#This Row],[Service_Window]]="Lunch",1,0)</f>
        <v>0</v>
      </c>
    </row>
    <row r="277" spans="1:7" x14ac:dyDescent="0.2">
      <c r="A277">
        <v>45944</v>
      </c>
      <c r="B277" t="s">
        <v>250</v>
      </c>
      <c r="C277" t="s">
        <v>43</v>
      </c>
      <c r="D277">
        <v>2</v>
      </c>
      <c r="E277">
        <v>0</v>
      </c>
      <c r="F277">
        <v>2</v>
      </c>
      <c r="G277">
        <f>IF(Table3[[#This Row],[Service_Window]]="Lunch",1,0)</f>
        <v>1</v>
      </c>
    </row>
    <row r="278" spans="1:7" x14ac:dyDescent="0.2">
      <c r="A278">
        <v>45944</v>
      </c>
      <c r="B278" t="s">
        <v>250</v>
      </c>
      <c r="C278" t="s">
        <v>43</v>
      </c>
      <c r="D278">
        <v>5</v>
      </c>
      <c r="E278">
        <v>0</v>
      </c>
      <c r="F278">
        <v>2</v>
      </c>
      <c r="G278">
        <f>IF(Table3[[#This Row],[Service_Window]]="Lunch",1,0)</f>
        <v>1</v>
      </c>
    </row>
    <row r="279" spans="1:7" x14ac:dyDescent="0.2">
      <c r="A279">
        <v>45944</v>
      </c>
      <c r="B279" t="s">
        <v>250</v>
      </c>
      <c r="C279" t="s">
        <v>43</v>
      </c>
      <c r="D279">
        <v>6</v>
      </c>
      <c r="E279">
        <v>0</v>
      </c>
      <c r="F279">
        <v>2</v>
      </c>
      <c r="G279">
        <f>IF(Table3[[#This Row],[Service_Window]]="Lunch",1,0)</f>
        <v>1</v>
      </c>
    </row>
    <row r="280" spans="1:7" x14ac:dyDescent="0.2">
      <c r="A280">
        <v>45944</v>
      </c>
      <c r="B280" t="s">
        <v>250</v>
      </c>
      <c r="C280" t="s">
        <v>43</v>
      </c>
      <c r="D280">
        <v>2</v>
      </c>
      <c r="E280">
        <v>0</v>
      </c>
      <c r="F280">
        <v>2</v>
      </c>
      <c r="G280">
        <f>IF(Table3[[#This Row],[Service_Window]]="Lunch",1,0)</f>
        <v>1</v>
      </c>
    </row>
    <row r="281" spans="1:7" x14ac:dyDescent="0.2">
      <c r="A281">
        <v>45944</v>
      </c>
      <c r="B281" t="s">
        <v>250</v>
      </c>
      <c r="C281" t="s">
        <v>43</v>
      </c>
      <c r="D281">
        <v>7</v>
      </c>
      <c r="E281">
        <v>0</v>
      </c>
      <c r="F281">
        <v>2</v>
      </c>
      <c r="G281">
        <f>IF(Table3[[#This Row],[Service_Window]]="Lunch",1,0)</f>
        <v>1</v>
      </c>
    </row>
    <row r="282" spans="1:7" x14ac:dyDescent="0.2">
      <c r="A282">
        <v>45944</v>
      </c>
      <c r="B282" t="s">
        <v>250</v>
      </c>
      <c r="C282" t="s">
        <v>43</v>
      </c>
      <c r="D282">
        <v>2</v>
      </c>
      <c r="E282">
        <v>0</v>
      </c>
      <c r="F282">
        <v>2</v>
      </c>
      <c r="G282">
        <f>IF(Table3[[#This Row],[Service_Window]]="Lunch",1,0)</f>
        <v>1</v>
      </c>
    </row>
    <row r="283" spans="1:7" x14ac:dyDescent="0.2">
      <c r="A283">
        <v>45944</v>
      </c>
      <c r="B283" t="s">
        <v>250</v>
      </c>
      <c r="C283" t="s">
        <v>43</v>
      </c>
      <c r="D283">
        <v>1</v>
      </c>
      <c r="E283">
        <v>0</v>
      </c>
      <c r="F283">
        <v>2</v>
      </c>
      <c r="G283">
        <f>IF(Table3[[#This Row],[Service_Window]]="Lunch",1,0)</f>
        <v>1</v>
      </c>
    </row>
    <row r="284" spans="1:7" x14ac:dyDescent="0.2">
      <c r="A284">
        <v>45944</v>
      </c>
      <c r="B284" t="s">
        <v>250</v>
      </c>
      <c r="C284" t="s">
        <v>43</v>
      </c>
      <c r="D284">
        <v>3</v>
      </c>
      <c r="E284">
        <v>0</v>
      </c>
      <c r="F284">
        <v>2</v>
      </c>
      <c r="G284">
        <f>IF(Table3[[#This Row],[Service_Window]]="Lunch",1,0)</f>
        <v>1</v>
      </c>
    </row>
    <row r="285" spans="1:7" x14ac:dyDescent="0.2">
      <c r="A285">
        <v>45945</v>
      </c>
      <c r="B285" t="s">
        <v>13</v>
      </c>
      <c r="C285" t="s">
        <v>14</v>
      </c>
      <c r="D285">
        <v>2</v>
      </c>
      <c r="E285">
        <v>0</v>
      </c>
      <c r="F285">
        <v>3</v>
      </c>
      <c r="G285">
        <f>IF(Table3[[#This Row],[Service_Window]]="Lunch",1,0)</f>
        <v>0</v>
      </c>
    </row>
    <row r="286" spans="1:7" x14ac:dyDescent="0.2">
      <c r="A286">
        <v>45945</v>
      </c>
      <c r="B286" t="s">
        <v>13</v>
      </c>
      <c r="C286" t="s">
        <v>14</v>
      </c>
      <c r="D286">
        <v>3</v>
      </c>
      <c r="E286">
        <v>0</v>
      </c>
      <c r="F286">
        <v>3</v>
      </c>
      <c r="G286">
        <f>IF(Table3[[#This Row],[Service_Window]]="Lunch",1,0)</f>
        <v>0</v>
      </c>
    </row>
    <row r="287" spans="1:7" x14ac:dyDescent="0.2">
      <c r="A287">
        <v>45945</v>
      </c>
      <c r="B287" t="s">
        <v>13</v>
      </c>
      <c r="C287" t="s">
        <v>14</v>
      </c>
      <c r="D287">
        <v>5</v>
      </c>
      <c r="E287">
        <v>0</v>
      </c>
      <c r="F287">
        <v>3</v>
      </c>
      <c r="G287">
        <f>IF(Table3[[#This Row],[Service_Window]]="Lunch",1,0)</f>
        <v>0</v>
      </c>
    </row>
    <row r="288" spans="1:7" x14ac:dyDescent="0.2">
      <c r="A288">
        <v>45945</v>
      </c>
      <c r="B288" t="s">
        <v>13</v>
      </c>
      <c r="C288" t="s">
        <v>14</v>
      </c>
      <c r="D288">
        <v>2</v>
      </c>
      <c r="E288">
        <v>0</v>
      </c>
      <c r="F288">
        <v>3</v>
      </c>
      <c r="G288">
        <f>IF(Table3[[#This Row],[Service_Window]]="Lunch",1,0)</f>
        <v>0</v>
      </c>
    </row>
    <row r="289" spans="1:7" x14ac:dyDescent="0.2">
      <c r="A289">
        <v>45945</v>
      </c>
      <c r="B289" t="s">
        <v>13</v>
      </c>
      <c r="C289" t="s">
        <v>14</v>
      </c>
      <c r="D289">
        <v>3</v>
      </c>
      <c r="E289">
        <v>0</v>
      </c>
      <c r="F289">
        <v>3</v>
      </c>
      <c r="G289">
        <f>IF(Table3[[#This Row],[Service_Window]]="Lunch",1,0)</f>
        <v>0</v>
      </c>
    </row>
    <row r="290" spans="1:7" x14ac:dyDescent="0.2">
      <c r="A290">
        <v>45945</v>
      </c>
      <c r="B290" t="s">
        <v>13</v>
      </c>
      <c r="C290" t="s">
        <v>14</v>
      </c>
      <c r="D290">
        <v>2</v>
      </c>
      <c r="E290">
        <v>0</v>
      </c>
      <c r="F290">
        <v>3</v>
      </c>
      <c r="G290">
        <f>IF(Table3[[#This Row],[Service_Window]]="Lunch",1,0)</f>
        <v>0</v>
      </c>
    </row>
    <row r="291" spans="1:7" x14ac:dyDescent="0.2">
      <c r="A291">
        <v>45945</v>
      </c>
      <c r="B291" t="s">
        <v>13</v>
      </c>
      <c r="C291" t="s">
        <v>14</v>
      </c>
      <c r="D291">
        <v>2</v>
      </c>
      <c r="E291">
        <v>0</v>
      </c>
      <c r="F291">
        <v>3</v>
      </c>
      <c r="G291">
        <f>IF(Table3[[#This Row],[Service_Window]]="Lunch",1,0)</f>
        <v>0</v>
      </c>
    </row>
    <row r="292" spans="1:7" x14ac:dyDescent="0.2">
      <c r="A292">
        <v>45945</v>
      </c>
      <c r="B292" t="s">
        <v>13</v>
      </c>
      <c r="C292" t="s">
        <v>14</v>
      </c>
      <c r="D292">
        <v>4</v>
      </c>
      <c r="E292">
        <v>0</v>
      </c>
      <c r="F292">
        <v>3</v>
      </c>
      <c r="G292">
        <f>IF(Table3[[#This Row],[Service_Window]]="Lunch",1,0)</f>
        <v>0</v>
      </c>
    </row>
    <row r="293" spans="1:7" x14ac:dyDescent="0.2">
      <c r="A293">
        <v>45945</v>
      </c>
      <c r="B293" t="s">
        <v>13</v>
      </c>
      <c r="C293" t="s">
        <v>14</v>
      </c>
      <c r="D293">
        <v>2</v>
      </c>
      <c r="E293">
        <v>0</v>
      </c>
      <c r="F293">
        <v>3</v>
      </c>
      <c r="G293">
        <f>IF(Table3[[#This Row],[Service_Window]]="Lunch",1,0)</f>
        <v>0</v>
      </c>
    </row>
    <row r="294" spans="1:7" x14ac:dyDescent="0.2">
      <c r="A294">
        <v>45945</v>
      </c>
      <c r="B294" t="s">
        <v>13</v>
      </c>
      <c r="C294" t="s">
        <v>14</v>
      </c>
      <c r="D294">
        <v>4</v>
      </c>
      <c r="E294">
        <v>0</v>
      </c>
      <c r="F294">
        <v>3</v>
      </c>
      <c r="G294">
        <f>IF(Table3[[#This Row],[Service_Window]]="Lunch",1,0)</f>
        <v>0</v>
      </c>
    </row>
    <row r="295" spans="1:7" x14ac:dyDescent="0.2">
      <c r="A295">
        <v>45945</v>
      </c>
      <c r="B295" t="s">
        <v>13</v>
      </c>
      <c r="C295" t="s">
        <v>14</v>
      </c>
      <c r="D295">
        <v>3</v>
      </c>
      <c r="E295">
        <v>0</v>
      </c>
      <c r="F295">
        <v>3</v>
      </c>
      <c r="G295">
        <f>IF(Table3[[#This Row],[Service_Window]]="Lunch",1,0)</f>
        <v>0</v>
      </c>
    </row>
    <row r="296" spans="1:7" x14ac:dyDescent="0.2">
      <c r="A296">
        <v>45945</v>
      </c>
      <c r="B296" t="s">
        <v>13</v>
      </c>
      <c r="C296" t="s">
        <v>14</v>
      </c>
      <c r="D296">
        <v>3</v>
      </c>
      <c r="E296">
        <v>0</v>
      </c>
      <c r="F296">
        <v>3</v>
      </c>
      <c r="G296">
        <f>IF(Table3[[#This Row],[Service_Window]]="Lunch",1,0)</f>
        <v>0</v>
      </c>
    </row>
    <row r="297" spans="1:7" x14ac:dyDescent="0.2">
      <c r="A297">
        <v>45945</v>
      </c>
      <c r="B297" t="s">
        <v>13</v>
      </c>
      <c r="C297" t="s">
        <v>43</v>
      </c>
      <c r="D297">
        <v>3</v>
      </c>
      <c r="E297">
        <v>1</v>
      </c>
      <c r="F297">
        <v>3</v>
      </c>
      <c r="G297">
        <f>IF(Table3[[#This Row],[Service_Window]]="Lunch",1,0)</f>
        <v>1</v>
      </c>
    </row>
    <row r="298" spans="1:7" x14ac:dyDescent="0.2">
      <c r="A298">
        <v>45945</v>
      </c>
      <c r="B298" t="s">
        <v>13</v>
      </c>
      <c r="C298" t="s">
        <v>43</v>
      </c>
      <c r="D298">
        <v>5</v>
      </c>
      <c r="E298">
        <v>1</v>
      </c>
      <c r="F298">
        <v>3</v>
      </c>
      <c r="G298">
        <f>IF(Table3[[#This Row],[Service_Window]]="Lunch",1,0)</f>
        <v>1</v>
      </c>
    </row>
    <row r="299" spans="1:7" x14ac:dyDescent="0.2">
      <c r="A299">
        <v>45945</v>
      </c>
      <c r="B299" t="s">
        <v>13</v>
      </c>
      <c r="C299" t="s">
        <v>43</v>
      </c>
      <c r="D299">
        <v>4</v>
      </c>
      <c r="E299">
        <v>1</v>
      </c>
      <c r="F299">
        <v>3</v>
      </c>
      <c r="G299">
        <f>IF(Table3[[#This Row],[Service_Window]]="Lunch",1,0)</f>
        <v>1</v>
      </c>
    </row>
    <row r="300" spans="1:7" x14ac:dyDescent="0.2">
      <c r="A300">
        <v>45945</v>
      </c>
      <c r="B300" t="s">
        <v>13</v>
      </c>
      <c r="C300" t="s">
        <v>43</v>
      </c>
      <c r="D300">
        <v>3</v>
      </c>
      <c r="E300">
        <v>0</v>
      </c>
      <c r="F300">
        <v>3</v>
      </c>
      <c r="G300">
        <f>IF(Table3[[#This Row],[Service_Window]]="Lunch",1,0)</f>
        <v>1</v>
      </c>
    </row>
    <row r="301" spans="1:7" x14ac:dyDescent="0.2">
      <c r="A301">
        <v>45945</v>
      </c>
      <c r="B301" t="s">
        <v>13</v>
      </c>
      <c r="C301" t="s">
        <v>43</v>
      </c>
      <c r="D301">
        <v>3</v>
      </c>
      <c r="E301">
        <v>1</v>
      </c>
      <c r="F301">
        <v>3</v>
      </c>
      <c r="G301">
        <f>IF(Table3[[#This Row],[Service_Window]]="Lunch",1,0)</f>
        <v>1</v>
      </c>
    </row>
    <row r="302" spans="1:7" x14ac:dyDescent="0.2">
      <c r="A302">
        <v>45945</v>
      </c>
      <c r="B302" t="s">
        <v>13</v>
      </c>
      <c r="C302" t="s">
        <v>43</v>
      </c>
      <c r="D302">
        <v>2</v>
      </c>
      <c r="E302">
        <v>1</v>
      </c>
      <c r="F302">
        <v>3</v>
      </c>
      <c r="G302">
        <f>IF(Table3[[#This Row],[Service_Window]]="Lunch",1,0)</f>
        <v>1</v>
      </c>
    </row>
    <row r="303" spans="1:7" x14ac:dyDescent="0.2">
      <c r="A303">
        <v>45945</v>
      </c>
      <c r="B303" t="s">
        <v>13</v>
      </c>
      <c r="C303" t="s">
        <v>43</v>
      </c>
      <c r="D303">
        <v>4</v>
      </c>
      <c r="E303">
        <v>1</v>
      </c>
      <c r="F303">
        <v>3</v>
      </c>
      <c r="G303">
        <f>IF(Table3[[#This Row],[Service_Window]]="Lunch",1,0)</f>
        <v>1</v>
      </c>
    </row>
    <row r="304" spans="1:7" x14ac:dyDescent="0.2">
      <c r="A304">
        <v>45945</v>
      </c>
      <c r="B304" t="s">
        <v>13</v>
      </c>
      <c r="C304" t="s">
        <v>43</v>
      </c>
      <c r="D304">
        <v>6</v>
      </c>
      <c r="E304">
        <v>1</v>
      </c>
      <c r="F304">
        <v>3</v>
      </c>
      <c r="G304">
        <f>IF(Table3[[#This Row],[Service_Window]]="Lunch",1,0)</f>
        <v>1</v>
      </c>
    </row>
    <row r="305" spans="1:7" x14ac:dyDescent="0.2">
      <c r="A305">
        <v>45945</v>
      </c>
      <c r="B305" t="s">
        <v>13</v>
      </c>
      <c r="C305" t="s">
        <v>43</v>
      </c>
      <c r="D305">
        <v>7</v>
      </c>
      <c r="E305">
        <v>1</v>
      </c>
      <c r="F305">
        <v>3</v>
      </c>
      <c r="G305">
        <f>IF(Table3[[#This Row],[Service_Window]]="Lunch",1,0)</f>
        <v>1</v>
      </c>
    </row>
    <row r="306" spans="1:7" x14ac:dyDescent="0.2">
      <c r="A306">
        <v>45946</v>
      </c>
      <c r="B306" t="s">
        <v>62</v>
      </c>
      <c r="C306" t="s">
        <v>14</v>
      </c>
      <c r="D306">
        <v>6</v>
      </c>
      <c r="E306">
        <v>0</v>
      </c>
      <c r="F306">
        <v>4</v>
      </c>
      <c r="G306">
        <f>IF(Table3[[#This Row],[Service_Window]]="Lunch",1,0)</f>
        <v>0</v>
      </c>
    </row>
    <row r="307" spans="1:7" x14ac:dyDescent="0.2">
      <c r="A307">
        <v>45946</v>
      </c>
      <c r="B307" t="s">
        <v>62</v>
      </c>
      <c r="C307" t="s">
        <v>14</v>
      </c>
      <c r="D307">
        <v>5</v>
      </c>
      <c r="E307">
        <v>0</v>
      </c>
      <c r="F307">
        <v>4</v>
      </c>
      <c r="G307">
        <f>IF(Table3[[#This Row],[Service_Window]]="Lunch",1,0)</f>
        <v>0</v>
      </c>
    </row>
    <row r="308" spans="1:7" x14ac:dyDescent="0.2">
      <c r="A308">
        <v>45946</v>
      </c>
      <c r="B308" t="s">
        <v>62</v>
      </c>
      <c r="C308" t="s">
        <v>14</v>
      </c>
      <c r="D308">
        <v>2</v>
      </c>
      <c r="E308">
        <v>0</v>
      </c>
      <c r="F308">
        <v>4</v>
      </c>
      <c r="G308">
        <f>IF(Table3[[#This Row],[Service_Window]]="Lunch",1,0)</f>
        <v>0</v>
      </c>
    </row>
    <row r="309" spans="1:7" x14ac:dyDescent="0.2">
      <c r="A309">
        <v>45946</v>
      </c>
      <c r="B309" t="s">
        <v>62</v>
      </c>
      <c r="C309" t="s">
        <v>14</v>
      </c>
      <c r="D309">
        <v>3</v>
      </c>
      <c r="E309">
        <v>0</v>
      </c>
      <c r="F309">
        <v>4</v>
      </c>
      <c r="G309">
        <f>IF(Table3[[#This Row],[Service_Window]]="Lunch",1,0)</f>
        <v>0</v>
      </c>
    </row>
    <row r="310" spans="1:7" x14ac:dyDescent="0.2">
      <c r="A310">
        <v>45946</v>
      </c>
      <c r="B310" t="s">
        <v>62</v>
      </c>
      <c r="C310" t="s">
        <v>14</v>
      </c>
      <c r="D310">
        <v>2</v>
      </c>
      <c r="E310">
        <v>0</v>
      </c>
      <c r="F310">
        <v>4</v>
      </c>
      <c r="G310">
        <f>IF(Table3[[#This Row],[Service_Window]]="Lunch",1,0)</f>
        <v>0</v>
      </c>
    </row>
    <row r="311" spans="1:7" x14ac:dyDescent="0.2">
      <c r="A311">
        <v>45946</v>
      </c>
      <c r="B311" t="s">
        <v>62</v>
      </c>
      <c r="C311" t="s">
        <v>14</v>
      </c>
      <c r="D311">
        <v>5</v>
      </c>
      <c r="E311">
        <v>0</v>
      </c>
      <c r="F311">
        <v>4</v>
      </c>
      <c r="G311">
        <f>IF(Table3[[#This Row],[Service_Window]]="Lunch",1,0)</f>
        <v>0</v>
      </c>
    </row>
    <row r="312" spans="1:7" x14ac:dyDescent="0.2">
      <c r="A312">
        <v>45946</v>
      </c>
      <c r="B312" t="s">
        <v>62</v>
      </c>
      <c r="C312" t="s">
        <v>14</v>
      </c>
      <c r="D312">
        <v>3</v>
      </c>
      <c r="E312">
        <v>0</v>
      </c>
      <c r="F312">
        <v>4</v>
      </c>
      <c r="G312">
        <f>IF(Table3[[#This Row],[Service_Window]]="Lunch",1,0)</f>
        <v>0</v>
      </c>
    </row>
    <row r="313" spans="1:7" x14ac:dyDescent="0.2">
      <c r="A313">
        <v>45946</v>
      </c>
      <c r="B313" t="s">
        <v>62</v>
      </c>
      <c r="C313" t="s">
        <v>14</v>
      </c>
      <c r="D313">
        <v>6</v>
      </c>
      <c r="E313">
        <v>0</v>
      </c>
      <c r="F313">
        <v>4</v>
      </c>
      <c r="G313">
        <f>IF(Table3[[#This Row],[Service_Window]]="Lunch",1,0)</f>
        <v>0</v>
      </c>
    </row>
    <row r="314" spans="1:7" x14ac:dyDescent="0.2">
      <c r="A314">
        <v>45946</v>
      </c>
      <c r="B314" t="s">
        <v>62</v>
      </c>
      <c r="C314" t="s">
        <v>14</v>
      </c>
      <c r="D314">
        <v>3</v>
      </c>
      <c r="E314">
        <v>0</v>
      </c>
      <c r="F314">
        <v>4</v>
      </c>
      <c r="G314">
        <f>IF(Table3[[#This Row],[Service_Window]]="Lunch",1,0)</f>
        <v>0</v>
      </c>
    </row>
    <row r="315" spans="1:7" x14ac:dyDescent="0.2">
      <c r="A315">
        <v>45946</v>
      </c>
      <c r="B315" t="s">
        <v>62</v>
      </c>
      <c r="C315" t="s">
        <v>43</v>
      </c>
      <c r="D315">
        <v>1</v>
      </c>
      <c r="E315">
        <v>1</v>
      </c>
      <c r="F315">
        <v>4</v>
      </c>
      <c r="G315">
        <f>IF(Table3[[#This Row],[Service_Window]]="Lunch",1,0)</f>
        <v>1</v>
      </c>
    </row>
    <row r="316" spans="1:7" x14ac:dyDescent="0.2">
      <c r="A316">
        <v>45946</v>
      </c>
      <c r="B316" t="s">
        <v>62</v>
      </c>
      <c r="C316" t="s">
        <v>43</v>
      </c>
      <c r="D316">
        <v>3</v>
      </c>
      <c r="E316">
        <v>0</v>
      </c>
      <c r="F316">
        <v>4</v>
      </c>
      <c r="G316">
        <f>IF(Table3[[#This Row],[Service_Window]]="Lunch",1,0)</f>
        <v>1</v>
      </c>
    </row>
    <row r="317" spans="1:7" x14ac:dyDescent="0.2">
      <c r="A317">
        <v>45946</v>
      </c>
      <c r="B317" t="s">
        <v>62</v>
      </c>
      <c r="C317" t="s">
        <v>43</v>
      </c>
      <c r="D317">
        <v>5</v>
      </c>
      <c r="E317">
        <v>1</v>
      </c>
      <c r="F317">
        <v>4</v>
      </c>
      <c r="G317">
        <f>IF(Table3[[#This Row],[Service_Window]]="Lunch",1,0)</f>
        <v>1</v>
      </c>
    </row>
    <row r="318" spans="1:7" x14ac:dyDescent="0.2">
      <c r="A318">
        <v>45946</v>
      </c>
      <c r="B318" t="s">
        <v>62</v>
      </c>
      <c r="C318" t="s">
        <v>43</v>
      </c>
      <c r="D318">
        <v>4</v>
      </c>
      <c r="E318">
        <v>1</v>
      </c>
      <c r="F318">
        <v>4</v>
      </c>
      <c r="G318">
        <f>IF(Table3[[#This Row],[Service_Window]]="Lunch",1,0)</f>
        <v>1</v>
      </c>
    </row>
    <row r="319" spans="1:7" x14ac:dyDescent="0.2">
      <c r="A319">
        <v>45946</v>
      </c>
      <c r="B319" t="s">
        <v>62</v>
      </c>
      <c r="C319" t="s">
        <v>43</v>
      </c>
      <c r="D319">
        <v>4</v>
      </c>
      <c r="E319">
        <v>1</v>
      </c>
      <c r="F319">
        <v>4</v>
      </c>
      <c r="G319">
        <f>IF(Table3[[#This Row],[Service_Window]]="Lunch",1,0)</f>
        <v>1</v>
      </c>
    </row>
    <row r="320" spans="1:7" x14ac:dyDescent="0.2">
      <c r="A320">
        <v>45946</v>
      </c>
      <c r="B320" t="s">
        <v>62</v>
      </c>
      <c r="C320" t="s">
        <v>43</v>
      </c>
      <c r="D320">
        <v>2</v>
      </c>
      <c r="E320">
        <v>1</v>
      </c>
      <c r="F320">
        <v>4</v>
      </c>
      <c r="G320">
        <f>IF(Table3[[#This Row],[Service_Window]]="Lunch",1,0)</f>
        <v>1</v>
      </c>
    </row>
    <row r="321" spans="1:7" x14ac:dyDescent="0.2">
      <c r="A321">
        <v>45946</v>
      </c>
      <c r="B321" t="s">
        <v>62</v>
      </c>
      <c r="C321" t="s">
        <v>43</v>
      </c>
      <c r="D321">
        <v>2</v>
      </c>
      <c r="E321">
        <v>0</v>
      </c>
      <c r="F321">
        <v>4</v>
      </c>
      <c r="G321">
        <f>IF(Table3[[#This Row],[Service_Window]]="Lunch",1,0)</f>
        <v>1</v>
      </c>
    </row>
    <row r="322" spans="1:7" x14ac:dyDescent="0.2">
      <c r="A322">
        <v>45946</v>
      </c>
      <c r="B322" t="s">
        <v>62</v>
      </c>
      <c r="C322" t="s">
        <v>43</v>
      </c>
      <c r="D322">
        <v>7</v>
      </c>
      <c r="E322">
        <v>1</v>
      </c>
      <c r="F322">
        <v>4</v>
      </c>
      <c r="G322">
        <f>IF(Table3[[#This Row],[Service_Window]]="Lunch",1,0)</f>
        <v>1</v>
      </c>
    </row>
    <row r="323" spans="1:7" x14ac:dyDescent="0.2">
      <c r="A323">
        <v>45946</v>
      </c>
      <c r="B323" t="s">
        <v>62</v>
      </c>
      <c r="C323" t="s">
        <v>43</v>
      </c>
      <c r="D323">
        <v>4</v>
      </c>
      <c r="E323">
        <v>1</v>
      </c>
      <c r="F323">
        <v>4</v>
      </c>
      <c r="G323">
        <f>IF(Table3[[#This Row],[Service_Window]]="Lunch",1,0)</f>
        <v>1</v>
      </c>
    </row>
    <row r="324" spans="1:7" x14ac:dyDescent="0.2">
      <c r="A324">
        <v>45946</v>
      </c>
      <c r="B324" t="s">
        <v>62</v>
      </c>
      <c r="C324" t="s">
        <v>43</v>
      </c>
      <c r="D324">
        <v>3</v>
      </c>
      <c r="E324">
        <v>1</v>
      </c>
      <c r="F324">
        <v>4</v>
      </c>
      <c r="G324">
        <f>IF(Table3[[#This Row],[Service_Window]]="Lunch",1,0)</f>
        <v>1</v>
      </c>
    </row>
    <row r="325" spans="1:7" x14ac:dyDescent="0.2">
      <c r="A325">
        <v>45946</v>
      </c>
      <c r="B325" t="s">
        <v>62</v>
      </c>
      <c r="C325" t="s">
        <v>43</v>
      </c>
      <c r="D325">
        <v>1</v>
      </c>
      <c r="E325">
        <v>0</v>
      </c>
      <c r="F325">
        <v>4</v>
      </c>
      <c r="G325">
        <f>IF(Table3[[#This Row],[Service_Window]]="Lunch",1,0)</f>
        <v>1</v>
      </c>
    </row>
    <row r="326" spans="1:7" x14ac:dyDescent="0.2">
      <c r="A326">
        <v>45946</v>
      </c>
      <c r="B326" t="s">
        <v>62</v>
      </c>
      <c r="C326" t="s">
        <v>43</v>
      </c>
      <c r="D326">
        <v>4</v>
      </c>
      <c r="E326">
        <v>1</v>
      </c>
      <c r="F326">
        <v>4</v>
      </c>
      <c r="G326">
        <f>IF(Table3[[#This Row],[Service_Window]]="Lunch",1,0)</f>
        <v>1</v>
      </c>
    </row>
    <row r="327" spans="1:7" x14ac:dyDescent="0.2">
      <c r="A327">
        <v>45946</v>
      </c>
      <c r="B327" t="s">
        <v>62</v>
      </c>
      <c r="C327" t="s">
        <v>43</v>
      </c>
      <c r="D327">
        <v>4</v>
      </c>
      <c r="E327">
        <v>1</v>
      </c>
      <c r="F327">
        <v>4</v>
      </c>
      <c r="G327">
        <f>IF(Table3[[#This Row],[Service_Window]]="Lunch",1,0)</f>
        <v>1</v>
      </c>
    </row>
    <row r="328" spans="1:7" x14ac:dyDescent="0.2">
      <c r="A328">
        <v>45946</v>
      </c>
      <c r="B328" t="s">
        <v>62</v>
      </c>
      <c r="C328" t="s">
        <v>43</v>
      </c>
      <c r="D328">
        <v>3</v>
      </c>
      <c r="E328">
        <v>1</v>
      </c>
      <c r="F328">
        <v>4</v>
      </c>
      <c r="G328">
        <f>IF(Table3[[#This Row],[Service_Window]]="Lunch",1,0)</f>
        <v>1</v>
      </c>
    </row>
    <row r="329" spans="1:7" x14ac:dyDescent="0.2">
      <c r="A329">
        <v>45946</v>
      </c>
      <c r="B329" t="s">
        <v>62</v>
      </c>
      <c r="C329" t="s">
        <v>43</v>
      </c>
      <c r="D329">
        <v>5</v>
      </c>
      <c r="E329">
        <v>1</v>
      </c>
      <c r="F329">
        <v>4</v>
      </c>
      <c r="G329">
        <f>IF(Table3[[#This Row],[Service_Window]]="Lunch",1,0)</f>
        <v>1</v>
      </c>
    </row>
    <row r="330" spans="1:7" x14ac:dyDescent="0.2">
      <c r="A330">
        <v>45946</v>
      </c>
      <c r="B330" t="s">
        <v>62</v>
      </c>
      <c r="C330" t="s">
        <v>43</v>
      </c>
      <c r="D330">
        <v>3</v>
      </c>
      <c r="E330">
        <v>1</v>
      </c>
      <c r="F330">
        <v>4</v>
      </c>
      <c r="G330">
        <f>IF(Table3[[#This Row],[Service_Window]]="Lunch",1,0)</f>
        <v>1</v>
      </c>
    </row>
    <row r="331" spans="1:7" x14ac:dyDescent="0.2">
      <c r="A331">
        <v>45947</v>
      </c>
      <c r="B331" t="s">
        <v>96</v>
      </c>
      <c r="C331" t="s">
        <v>14</v>
      </c>
      <c r="D331">
        <v>4</v>
      </c>
      <c r="E331">
        <v>0</v>
      </c>
      <c r="F331">
        <v>5</v>
      </c>
      <c r="G331">
        <f>IF(Table3[[#This Row],[Service_Window]]="Lunch",1,0)</f>
        <v>0</v>
      </c>
    </row>
    <row r="332" spans="1:7" x14ac:dyDescent="0.2">
      <c r="A332">
        <v>45947</v>
      </c>
      <c r="B332" t="s">
        <v>96</v>
      </c>
      <c r="C332" t="s">
        <v>14</v>
      </c>
      <c r="D332">
        <v>3</v>
      </c>
      <c r="E332">
        <v>0</v>
      </c>
      <c r="F332">
        <v>5</v>
      </c>
      <c r="G332">
        <f>IF(Table3[[#This Row],[Service_Window]]="Lunch",1,0)</f>
        <v>0</v>
      </c>
    </row>
    <row r="333" spans="1:7" x14ac:dyDescent="0.2">
      <c r="A333">
        <v>45947</v>
      </c>
      <c r="B333" t="s">
        <v>96</v>
      </c>
      <c r="C333" t="s">
        <v>14</v>
      </c>
      <c r="D333">
        <v>4</v>
      </c>
      <c r="E333">
        <v>0</v>
      </c>
      <c r="F333">
        <v>5</v>
      </c>
      <c r="G333">
        <f>IF(Table3[[#This Row],[Service_Window]]="Lunch",1,0)</f>
        <v>0</v>
      </c>
    </row>
    <row r="334" spans="1:7" x14ac:dyDescent="0.2">
      <c r="A334">
        <v>45947</v>
      </c>
      <c r="B334" t="s">
        <v>96</v>
      </c>
      <c r="C334" t="s">
        <v>14</v>
      </c>
      <c r="D334">
        <v>1</v>
      </c>
      <c r="E334">
        <v>0</v>
      </c>
      <c r="F334">
        <v>5</v>
      </c>
      <c r="G334">
        <f>IF(Table3[[#This Row],[Service_Window]]="Lunch",1,0)</f>
        <v>0</v>
      </c>
    </row>
    <row r="335" spans="1:7" x14ac:dyDescent="0.2">
      <c r="A335">
        <v>45947</v>
      </c>
      <c r="B335" t="s">
        <v>96</v>
      </c>
      <c r="C335" t="s">
        <v>14</v>
      </c>
      <c r="D335">
        <v>1</v>
      </c>
      <c r="E335">
        <v>0</v>
      </c>
      <c r="F335">
        <v>5</v>
      </c>
      <c r="G335">
        <f>IF(Table3[[#This Row],[Service_Window]]="Lunch",1,0)</f>
        <v>0</v>
      </c>
    </row>
    <row r="336" spans="1:7" x14ac:dyDescent="0.2">
      <c r="A336">
        <v>45947</v>
      </c>
      <c r="B336" t="s">
        <v>96</v>
      </c>
      <c r="C336" t="s">
        <v>14</v>
      </c>
      <c r="D336">
        <v>3</v>
      </c>
      <c r="E336">
        <v>0</v>
      </c>
      <c r="F336">
        <v>5</v>
      </c>
      <c r="G336">
        <f>IF(Table3[[#This Row],[Service_Window]]="Lunch",1,0)</f>
        <v>0</v>
      </c>
    </row>
    <row r="337" spans="1:7" x14ac:dyDescent="0.2">
      <c r="A337">
        <v>45947</v>
      </c>
      <c r="B337" t="s">
        <v>96</v>
      </c>
      <c r="C337" t="s">
        <v>14</v>
      </c>
      <c r="D337">
        <v>1</v>
      </c>
      <c r="E337">
        <v>0</v>
      </c>
      <c r="F337">
        <v>5</v>
      </c>
      <c r="G337">
        <f>IF(Table3[[#This Row],[Service_Window]]="Lunch",1,0)</f>
        <v>0</v>
      </c>
    </row>
    <row r="338" spans="1:7" x14ac:dyDescent="0.2">
      <c r="A338">
        <v>45947</v>
      </c>
      <c r="B338" t="s">
        <v>96</v>
      </c>
      <c r="C338" t="s">
        <v>43</v>
      </c>
      <c r="D338">
        <v>4</v>
      </c>
      <c r="E338">
        <v>0</v>
      </c>
      <c r="F338">
        <v>5</v>
      </c>
      <c r="G338">
        <f>IF(Table3[[#This Row],[Service_Window]]="Lunch",1,0)</f>
        <v>1</v>
      </c>
    </row>
    <row r="339" spans="1:7" x14ac:dyDescent="0.2">
      <c r="A339">
        <v>45947</v>
      </c>
      <c r="B339" t="s">
        <v>96</v>
      </c>
      <c r="C339" t="s">
        <v>43</v>
      </c>
      <c r="D339">
        <v>2</v>
      </c>
      <c r="E339">
        <v>1</v>
      </c>
      <c r="F339">
        <v>5</v>
      </c>
      <c r="G339">
        <f>IF(Table3[[#This Row],[Service_Window]]="Lunch",1,0)</f>
        <v>1</v>
      </c>
    </row>
    <row r="340" spans="1:7" x14ac:dyDescent="0.2">
      <c r="A340">
        <v>45947</v>
      </c>
      <c r="B340" t="s">
        <v>96</v>
      </c>
      <c r="C340" t="s">
        <v>43</v>
      </c>
      <c r="D340">
        <v>3</v>
      </c>
      <c r="E340">
        <v>1</v>
      </c>
      <c r="F340">
        <v>5</v>
      </c>
      <c r="G340">
        <f>IF(Table3[[#This Row],[Service_Window]]="Lunch",1,0)</f>
        <v>1</v>
      </c>
    </row>
    <row r="341" spans="1:7" x14ac:dyDescent="0.2">
      <c r="A341">
        <v>45947</v>
      </c>
      <c r="B341" t="s">
        <v>96</v>
      </c>
      <c r="C341" t="s">
        <v>43</v>
      </c>
      <c r="D341">
        <v>3</v>
      </c>
      <c r="E341">
        <v>0</v>
      </c>
      <c r="F341">
        <v>5</v>
      </c>
      <c r="G341">
        <f>IF(Table3[[#This Row],[Service_Window]]="Lunch",1,0)</f>
        <v>1</v>
      </c>
    </row>
    <row r="342" spans="1:7" x14ac:dyDescent="0.2">
      <c r="A342">
        <v>45947</v>
      </c>
      <c r="B342" t="s">
        <v>96</v>
      </c>
      <c r="C342" t="s">
        <v>43</v>
      </c>
      <c r="D342">
        <v>6</v>
      </c>
      <c r="E342">
        <v>1</v>
      </c>
      <c r="F342">
        <v>5</v>
      </c>
      <c r="G342">
        <f>IF(Table3[[#This Row],[Service_Window]]="Lunch",1,0)</f>
        <v>1</v>
      </c>
    </row>
    <row r="343" spans="1:7" x14ac:dyDescent="0.2">
      <c r="A343">
        <v>45947</v>
      </c>
      <c r="B343" t="s">
        <v>96</v>
      </c>
      <c r="C343" t="s">
        <v>43</v>
      </c>
      <c r="D343">
        <v>3</v>
      </c>
      <c r="E343">
        <v>1</v>
      </c>
      <c r="F343">
        <v>5</v>
      </c>
      <c r="G343">
        <f>IF(Table3[[#This Row],[Service_Window]]="Lunch",1,0)</f>
        <v>1</v>
      </c>
    </row>
    <row r="344" spans="1:7" x14ac:dyDescent="0.2">
      <c r="A344">
        <v>45947</v>
      </c>
      <c r="B344" t="s">
        <v>96</v>
      </c>
      <c r="C344" t="s">
        <v>43</v>
      </c>
      <c r="D344">
        <v>3</v>
      </c>
      <c r="E344">
        <v>0</v>
      </c>
      <c r="F344">
        <v>5</v>
      </c>
      <c r="G344">
        <f>IF(Table3[[#This Row],[Service_Window]]="Lunch",1,0)</f>
        <v>1</v>
      </c>
    </row>
    <row r="345" spans="1:7" x14ac:dyDescent="0.2">
      <c r="A345">
        <v>45947</v>
      </c>
      <c r="B345" t="s">
        <v>96</v>
      </c>
      <c r="C345" t="s">
        <v>43</v>
      </c>
      <c r="D345">
        <v>3</v>
      </c>
      <c r="E345">
        <v>1</v>
      </c>
      <c r="F345">
        <v>5</v>
      </c>
      <c r="G345">
        <f>IF(Table3[[#This Row],[Service_Window]]="Lunch",1,0)</f>
        <v>1</v>
      </c>
    </row>
    <row r="346" spans="1:7" x14ac:dyDescent="0.2">
      <c r="A346">
        <v>45947</v>
      </c>
      <c r="B346" t="s">
        <v>96</v>
      </c>
      <c r="C346" t="s">
        <v>43</v>
      </c>
      <c r="D346">
        <v>2</v>
      </c>
      <c r="E346">
        <v>1</v>
      </c>
      <c r="F346">
        <v>5</v>
      </c>
      <c r="G346">
        <f>IF(Table3[[#This Row],[Service_Window]]="Lunch",1,0)</f>
        <v>1</v>
      </c>
    </row>
    <row r="347" spans="1:7" x14ac:dyDescent="0.2">
      <c r="A347">
        <v>45947</v>
      </c>
      <c r="B347" t="s">
        <v>96</v>
      </c>
      <c r="C347" t="s">
        <v>43</v>
      </c>
      <c r="D347">
        <v>5</v>
      </c>
      <c r="E347">
        <v>1</v>
      </c>
      <c r="F347">
        <v>5</v>
      </c>
      <c r="G347">
        <f>IF(Table3[[#This Row],[Service_Window]]="Lunch",1,0)</f>
        <v>1</v>
      </c>
    </row>
    <row r="348" spans="1:7" x14ac:dyDescent="0.2">
      <c r="A348">
        <v>45947</v>
      </c>
      <c r="B348" t="s">
        <v>96</v>
      </c>
      <c r="C348" t="s">
        <v>43</v>
      </c>
      <c r="D348">
        <v>2</v>
      </c>
      <c r="E348">
        <v>1</v>
      </c>
      <c r="F348">
        <v>5</v>
      </c>
      <c r="G348">
        <f>IF(Table3[[#This Row],[Service_Window]]="Lunch",1,0)</f>
        <v>1</v>
      </c>
    </row>
    <row r="349" spans="1:7" x14ac:dyDescent="0.2">
      <c r="A349">
        <v>45947</v>
      </c>
      <c r="B349" t="s">
        <v>96</v>
      </c>
      <c r="C349" t="s">
        <v>43</v>
      </c>
      <c r="D349">
        <v>3</v>
      </c>
      <c r="E349">
        <v>1</v>
      </c>
      <c r="F349">
        <v>5</v>
      </c>
      <c r="G349">
        <f>IF(Table3[[#This Row],[Service_Window]]="Lunch",1,0)</f>
        <v>1</v>
      </c>
    </row>
    <row r="350" spans="1:7" x14ac:dyDescent="0.2">
      <c r="A350">
        <v>45948</v>
      </c>
      <c r="B350" t="s">
        <v>127</v>
      </c>
      <c r="C350" t="s">
        <v>14</v>
      </c>
      <c r="D350">
        <v>4</v>
      </c>
      <c r="E350">
        <v>0</v>
      </c>
      <c r="F350">
        <v>6</v>
      </c>
      <c r="G350">
        <f>IF(Table3[[#This Row],[Service_Window]]="Lunch",1,0)</f>
        <v>0</v>
      </c>
    </row>
    <row r="351" spans="1:7" x14ac:dyDescent="0.2">
      <c r="A351">
        <v>45948</v>
      </c>
      <c r="B351" t="s">
        <v>127</v>
      </c>
      <c r="C351" t="s">
        <v>14</v>
      </c>
      <c r="D351">
        <v>3</v>
      </c>
      <c r="E351">
        <v>0</v>
      </c>
      <c r="F351">
        <v>6</v>
      </c>
      <c r="G351">
        <f>IF(Table3[[#This Row],[Service_Window]]="Lunch",1,0)</f>
        <v>0</v>
      </c>
    </row>
    <row r="352" spans="1:7" x14ac:dyDescent="0.2">
      <c r="A352">
        <v>45948</v>
      </c>
      <c r="B352" t="s">
        <v>127</v>
      </c>
      <c r="C352" t="s">
        <v>14</v>
      </c>
      <c r="D352">
        <v>4</v>
      </c>
      <c r="E352">
        <v>0</v>
      </c>
      <c r="F352">
        <v>6</v>
      </c>
      <c r="G352">
        <f>IF(Table3[[#This Row],[Service_Window]]="Lunch",1,0)</f>
        <v>0</v>
      </c>
    </row>
    <row r="353" spans="1:7" x14ac:dyDescent="0.2">
      <c r="A353">
        <v>45948</v>
      </c>
      <c r="B353" t="s">
        <v>127</v>
      </c>
      <c r="C353" t="s">
        <v>14</v>
      </c>
      <c r="D353">
        <v>4</v>
      </c>
      <c r="E353">
        <v>0</v>
      </c>
      <c r="F353">
        <v>6</v>
      </c>
      <c r="G353">
        <f>IF(Table3[[#This Row],[Service_Window]]="Lunch",1,0)</f>
        <v>0</v>
      </c>
    </row>
    <row r="354" spans="1:7" x14ac:dyDescent="0.2">
      <c r="A354">
        <v>45948</v>
      </c>
      <c r="B354" t="s">
        <v>127</v>
      </c>
      <c r="C354" t="s">
        <v>14</v>
      </c>
      <c r="D354">
        <v>6</v>
      </c>
      <c r="E354">
        <v>0</v>
      </c>
      <c r="F354">
        <v>6</v>
      </c>
      <c r="G354">
        <f>IF(Table3[[#This Row],[Service_Window]]="Lunch",1,0)</f>
        <v>0</v>
      </c>
    </row>
    <row r="355" spans="1:7" x14ac:dyDescent="0.2">
      <c r="A355">
        <v>45948</v>
      </c>
      <c r="B355" t="s">
        <v>127</v>
      </c>
      <c r="C355" t="s">
        <v>14</v>
      </c>
      <c r="D355">
        <v>4</v>
      </c>
      <c r="E355">
        <v>0</v>
      </c>
      <c r="F355">
        <v>6</v>
      </c>
      <c r="G355">
        <f>IF(Table3[[#This Row],[Service_Window]]="Lunch",1,0)</f>
        <v>0</v>
      </c>
    </row>
    <row r="356" spans="1:7" x14ac:dyDescent="0.2">
      <c r="A356">
        <v>45948</v>
      </c>
      <c r="B356" t="s">
        <v>127</v>
      </c>
      <c r="C356" t="s">
        <v>14</v>
      </c>
      <c r="D356">
        <v>2</v>
      </c>
      <c r="E356">
        <v>0</v>
      </c>
      <c r="F356">
        <v>6</v>
      </c>
      <c r="G356">
        <f>IF(Table3[[#This Row],[Service_Window]]="Lunch",1,0)</f>
        <v>0</v>
      </c>
    </row>
    <row r="357" spans="1:7" x14ac:dyDescent="0.2">
      <c r="A357">
        <v>45948</v>
      </c>
      <c r="B357" t="s">
        <v>127</v>
      </c>
      <c r="C357" t="s">
        <v>14</v>
      </c>
      <c r="D357">
        <v>2</v>
      </c>
      <c r="E357">
        <v>0</v>
      </c>
      <c r="F357">
        <v>6</v>
      </c>
      <c r="G357">
        <f>IF(Table3[[#This Row],[Service_Window]]="Lunch",1,0)</f>
        <v>0</v>
      </c>
    </row>
    <row r="358" spans="1:7" x14ac:dyDescent="0.2">
      <c r="A358">
        <v>45948</v>
      </c>
      <c r="B358" t="s">
        <v>127</v>
      </c>
      <c r="C358" t="s">
        <v>14</v>
      </c>
      <c r="D358">
        <v>6</v>
      </c>
      <c r="E358">
        <v>0</v>
      </c>
      <c r="F358">
        <v>6</v>
      </c>
      <c r="G358">
        <f>IF(Table3[[#This Row],[Service_Window]]="Lunch",1,0)</f>
        <v>0</v>
      </c>
    </row>
    <row r="359" spans="1:7" x14ac:dyDescent="0.2">
      <c r="A359">
        <v>45948</v>
      </c>
      <c r="B359" t="s">
        <v>127</v>
      </c>
      <c r="C359" t="s">
        <v>14</v>
      </c>
      <c r="D359">
        <v>2</v>
      </c>
      <c r="E359">
        <v>0</v>
      </c>
      <c r="F359">
        <v>6</v>
      </c>
      <c r="G359">
        <f>IF(Table3[[#This Row],[Service_Window]]="Lunch",1,0)</f>
        <v>0</v>
      </c>
    </row>
    <row r="360" spans="1:7" x14ac:dyDescent="0.2">
      <c r="A360">
        <v>45948</v>
      </c>
      <c r="B360" t="s">
        <v>127</v>
      </c>
      <c r="C360" t="s">
        <v>14</v>
      </c>
      <c r="D360">
        <v>3</v>
      </c>
      <c r="E360">
        <v>0</v>
      </c>
      <c r="F360">
        <v>6</v>
      </c>
      <c r="G360">
        <f>IF(Table3[[#This Row],[Service_Window]]="Lunch",1,0)</f>
        <v>0</v>
      </c>
    </row>
    <row r="361" spans="1:7" x14ac:dyDescent="0.2">
      <c r="A361">
        <v>45948</v>
      </c>
      <c r="B361" t="s">
        <v>127</v>
      </c>
      <c r="C361" t="s">
        <v>14</v>
      </c>
      <c r="D361">
        <v>3</v>
      </c>
      <c r="E361">
        <v>0</v>
      </c>
      <c r="F361">
        <v>6</v>
      </c>
      <c r="G361">
        <f>IF(Table3[[#This Row],[Service_Window]]="Lunch",1,0)</f>
        <v>0</v>
      </c>
    </row>
    <row r="362" spans="1:7" x14ac:dyDescent="0.2">
      <c r="A362">
        <v>45948</v>
      </c>
      <c r="B362" t="s">
        <v>127</v>
      </c>
      <c r="C362" t="s">
        <v>14</v>
      </c>
      <c r="D362">
        <v>3</v>
      </c>
      <c r="E362">
        <v>0</v>
      </c>
      <c r="F362">
        <v>6</v>
      </c>
      <c r="G362">
        <f>IF(Table3[[#This Row],[Service_Window]]="Lunch",1,0)</f>
        <v>0</v>
      </c>
    </row>
    <row r="363" spans="1:7" x14ac:dyDescent="0.2">
      <c r="A363">
        <v>45948</v>
      </c>
      <c r="B363" t="s">
        <v>127</v>
      </c>
      <c r="C363" t="s">
        <v>14</v>
      </c>
      <c r="D363">
        <v>4</v>
      </c>
      <c r="E363">
        <v>0</v>
      </c>
      <c r="F363">
        <v>6</v>
      </c>
      <c r="G363">
        <f>IF(Table3[[#This Row],[Service_Window]]="Lunch",1,0)</f>
        <v>0</v>
      </c>
    </row>
    <row r="364" spans="1:7" x14ac:dyDescent="0.2">
      <c r="A364">
        <v>45948</v>
      </c>
      <c r="B364" t="s">
        <v>127</v>
      </c>
      <c r="C364" t="s">
        <v>14</v>
      </c>
      <c r="D364">
        <v>2</v>
      </c>
      <c r="E364">
        <v>0</v>
      </c>
      <c r="F364">
        <v>6</v>
      </c>
      <c r="G364">
        <f>IF(Table3[[#This Row],[Service_Window]]="Lunch",1,0)</f>
        <v>0</v>
      </c>
    </row>
    <row r="365" spans="1:7" x14ac:dyDescent="0.2">
      <c r="A365">
        <v>45948</v>
      </c>
      <c r="B365" t="s">
        <v>127</v>
      </c>
      <c r="C365" t="s">
        <v>14</v>
      </c>
      <c r="D365">
        <v>3</v>
      </c>
      <c r="E365">
        <v>0</v>
      </c>
      <c r="F365">
        <v>6</v>
      </c>
      <c r="G365">
        <f>IF(Table3[[#This Row],[Service_Window]]="Lunch",1,0)</f>
        <v>0</v>
      </c>
    </row>
    <row r="366" spans="1:7" x14ac:dyDescent="0.2">
      <c r="A366">
        <v>45948</v>
      </c>
      <c r="B366" t="s">
        <v>127</v>
      </c>
      <c r="C366" t="s">
        <v>14</v>
      </c>
      <c r="D366">
        <v>4</v>
      </c>
      <c r="E366">
        <v>0</v>
      </c>
      <c r="F366">
        <v>6</v>
      </c>
      <c r="G366">
        <f>IF(Table3[[#This Row],[Service_Window]]="Lunch",1,0)</f>
        <v>0</v>
      </c>
    </row>
    <row r="367" spans="1:7" x14ac:dyDescent="0.2">
      <c r="A367">
        <v>45948</v>
      </c>
      <c r="B367" t="s">
        <v>127</v>
      </c>
      <c r="C367" t="s">
        <v>14</v>
      </c>
      <c r="D367">
        <v>2</v>
      </c>
      <c r="E367">
        <v>0</v>
      </c>
      <c r="F367">
        <v>6</v>
      </c>
      <c r="G367">
        <f>IF(Table3[[#This Row],[Service_Window]]="Lunch",1,0)</f>
        <v>0</v>
      </c>
    </row>
    <row r="368" spans="1:7" x14ac:dyDescent="0.2">
      <c r="A368">
        <v>45948</v>
      </c>
      <c r="B368" t="s">
        <v>127</v>
      </c>
      <c r="C368" t="s">
        <v>14</v>
      </c>
      <c r="D368">
        <v>1</v>
      </c>
      <c r="E368">
        <v>0</v>
      </c>
      <c r="F368">
        <v>6</v>
      </c>
      <c r="G368">
        <f>IF(Table3[[#This Row],[Service_Window]]="Lunch",1,0)</f>
        <v>0</v>
      </c>
    </row>
    <row r="369" spans="1:7" x14ac:dyDescent="0.2">
      <c r="A369">
        <v>45948</v>
      </c>
      <c r="B369" t="s">
        <v>127</v>
      </c>
      <c r="C369" t="s">
        <v>14</v>
      </c>
      <c r="D369">
        <v>1</v>
      </c>
      <c r="E369">
        <v>0</v>
      </c>
      <c r="F369">
        <v>6</v>
      </c>
      <c r="G369">
        <f>IF(Table3[[#This Row],[Service_Window]]="Lunch",1,0)</f>
        <v>0</v>
      </c>
    </row>
    <row r="370" spans="1:7" x14ac:dyDescent="0.2">
      <c r="A370">
        <v>45948</v>
      </c>
      <c r="B370" t="s">
        <v>127</v>
      </c>
      <c r="C370" t="s">
        <v>14</v>
      </c>
      <c r="D370">
        <v>6</v>
      </c>
      <c r="E370">
        <v>0</v>
      </c>
      <c r="F370">
        <v>6</v>
      </c>
      <c r="G370">
        <f>IF(Table3[[#This Row],[Service_Window]]="Lunch",1,0)</f>
        <v>0</v>
      </c>
    </row>
    <row r="371" spans="1:7" x14ac:dyDescent="0.2">
      <c r="A371">
        <v>45948</v>
      </c>
      <c r="B371" t="s">
        <v>127</v>
      </c>
      <c r="C371" t="s">
        <v>14</v>
      </c>
      <c r="D371">
        <v>2</v>
      </c>
      <c r="E371">
        <v>0</v>
      </c>
      <c r="F371">
        <v>6</v>
      </c>
      <c r="G371">
        <f>IF(Table3[[#This Row],[Service_Window]]="Lunch",1,0)</f>
        <v>0</v>
      </c>
    </row>
    <row r="372" spans="1:7" x14ac:dyDescent="0.2">
      <c r="A372">
        <v>45948</v>
      </c>
      <c r="B372" t="s">
        <v>127</v>
      </c>
      <c r="C372" t="s">
        <v>14</v>
      </c>
      <c r="D372">
        <v>2</v>
      </c>
      <c r="E372">
        <v>0</v>
      </c>
      <c r="F372">
        <v>6</v>
      </c>
      <c r="G372">
        <f>IF(Table3[[#This Row],[Service_Window]]="Lunch",1,0)</f>
        <v>0</v>
      </c>
    </row>
    <row r="373" spans="1:7" x14ac:dyDescent="0.2">
      <c r="A373">
        <v>45948</v>
      </c>
      <c r="B373" t="s">
        <v>127</v>
      </c>
      <c r="C373" t="s">
        <v>14</v>
      </c>
      <c r="D373">
        <v>2</v>
      </c>
      <c r="E373">
        <v>0</v>
      </c>
      <c r="F373">
        <v>6</v>
      </c>
      <c r="G373">
        <f>IF(Table3[[#This Row],[Service_Window]]="Lunch",1,0)</f>
        <v>0</v>
      </c>
    </row>
    <row r="374" spans="1:7" x14ac:dyDescent="0.2">
      <c r="A374">
        <v>45948</v>
      </c>
      <c r="B374" t="s">
        <v>127</v>
      </c>
      <c r="C374" t="s">
        <v>14</v>
      </c>
      <c r="D374">
        <v>4</v>
      </c>
      <c r="E374">
        <v>0</v>
      </c>
      <c r="F374">
        <v>6</v>
      </c>
      <c r="G374">
        <f>IF(Table3[[#This Row],[Service_Window]]="Lunch",1,0)</f>
        <v>0</v>
      </c>
    </row>
    <row r="375" spans="1:7" x14ac:dyDescent="0.2">
      <c r="A375">
        <v>45948</v>
      </c>
      <c r="B375" t="s">
        <v>127</v>
      </c>
      <c r="C375" t="s">
        <v>14</v>
      </c>
      <c r="D375">
        <v>1</v>
      </c>
      <c r="E375">
        <v>0</v>
      </c>
      <c r="F375">
        <v>6</v>
      </c>
      <c r="G375">
        <f>IF(Table3[[#This Row],[Service_Window]]="Lunch",1,0)</f>
        <v>0</v>
      </c>
    </row>
    <row r="376" spans="1:7" x14ac:dyDescent="0.2">
      <c r="A376">
        <v>45948</v>
      </c>
      <c r="B376" t="s">
        <v>127</v>
      </c>
      <c r="C376" t="s">
        <v>14</v>
      </c>
      <c r="D376">
        <v>5</v>
      </c>
      <c r="E376">
        <v>0</v>
      </c>
      <c r="F376">
        <v>6</v>
      </c>
      <c r="G376">
        <f>IF(Table3[[#This Row],[Service_Window]]="Lunch",1,0)</f>
        <v>0</v>
      </c>
    </row>
    <row r="377" spans="1:7" x14ac:dyDescent="0.2">
      <c r="A377">
        <v>45948</v>
      </c>
      <c r="B377" t="s">
        <v>127</v>
      </c>
      <c r="C377" t="s">
        <v>43</v>
      </c>
      <c r="D377">
        <v>2</v>
      </c>
      <c r="E377">
        <v>0</v>
      </c>
      <c r="F377">
        <v>6</v>
      </c>
      <c r="G377">
        <f>IF(Table3[[#This Row],[Service_Window]]="Lunch",1,0)</f>
        <v>1</v>
      </c>
    </row>
    <row r="378" spans="1:7" x14ac:dyDescent="0.2">
      <c r="A378">
        <v>45948</v>
      </c>
      <c r="B378" t="s">
        <v>127</v>
      </c>
      <c r="C378" t="s">
        <v>43</v>
      </c>
      <c r="D378">
        <v>3</v>
      </c>
      <c r="E378">
        <v>0</v>
      </c>
      <c r="F378">
        <v>6</v>
      </c>
      <c r="G378">
        <f>IF(Table3[[#This Row],[Service_Window]]="Lunch",1,0)</f>
        <v>1</v>
      </c>
    </row>
    <row r="379" spans="1:7" x14ac:dyDescent="0.2">
      <c r="A379">
        <v>45948</v>
      </c>
      <c r="B379" t="s">
        <v>127</v>
      </c>
      <c r="C379" t="s">
        <v>43</v>
      </c>
      <c r="D379">
        <v>5</v>
      </c>
      <c r="E379">
        <v>0</v>
      </c>
      <c r="F379">
        <v>6</v>
      </c>
      <c r="G379">
        <f>IF(Table3[[#This Row],[Service_Window]]="Lunch",1,0)</f>
        <v>1</v>
      </c>
    </row>
    <row r="380" spans="1:7" x14ac:dyDescent="0.2">
      <c r="A380">
        <v>45948</v>
      </c>
      <c r="B380" t="s">
        <v>127</v>
      </c>
      <c r="C380" t="s">
        <v>43</v>
      </c>
      <c r="D380">
        <v>3</v>
      </c>
      <c r="E380">
        <v>0</v>
      </c>
      <c r="F380">
        <v>6</v>
      </c>
      <c r="G380">
        <f>IF(Table3[[#This Row],[Service_Window]]="Lunch",1,0)</f>
        <v>1</v>
      </c>
    </row>
    <row r="381" spans="1:7" x14ac:dyDescent="0.2">
      <c r="A381">
        <v>45949</v>
      </c>
      <c r="B381" t="s">
        <v>171</v>
      </c>
      <c r="C381" t="s">
        <v>14</v>
      </c>
      <c r="D381">
        <v>2</v>
      </c>
      <c r="E381">
        <v>0</v>
      </c>
      <c r="F381">
        <v>7</v>
      </c>
      <c r="G381">
        <f>IF(Table3[[#This Row],[Service_Window]]="Lunch",1,0)</f>
        <v>0</v>
      </c>
    </row>
    <row r="382" spans="1:7" x14ac:dyDescent="0.2">
      <c r="A382">
        <v>45949</v>
      </c>
      <c r="B382" t="s">
        <v>171</v>
      </c>
      <c r="C382" t="s">
        <v>14</v>
      </c>
      <c r="D382">
        <v>1</v>
      </c>
      <c r="E382">
        <v>0</v>
      </c>
      <c r="F382">
        <v>7</v>
      </c>
      <c r="G382">
        <f>IF(Table3[[#This Row],[Service_Window]]="Lunch",1,0)</f>
        <v>0</v>
      </c>
    </row>
    <row r="383" spans="1:7" x14ac:dyDescent="0.2">
      <c r="A383">
        <v>45949</v>
      </c>
      <c r="B383" t="s">
        <v>171</v>
      </c>
      <c r="C383" t="s">
        <v>14</v>
      </c>
      <c r="D383">
        <v>2</v>
      </c>
      <c r="E383">
        <v>0</v>
      </c>
      <c r="F383">
        <v>7</v>
      </c>
      <c r="G383">
        <f>IF(Table3[[#This Row],[Service_Window]]="Lunch",1,0)</f>
        <v>0</v>
      </c>
    </row>
    <row r="384" spans="1:7" x14ac:dyDescent="0.2">
      <c r="A384">
        <v>45949</v>
      </c>
      <c r="B384" t="s">
        <v>171</v>
      </c>
      <c r="C384" t="s">
        <v>14</v>
      </c>
      <c r="D384">
        <v>3</v>
      </c>
      <c r="E384">
        <v>0</v>
      </c>
      <c r="F384">
        <v>7</v>
      </c>
      <c r="G384">
        <f>IF(Table3[[#This Row],[Service_Window]]="Lunch",1,0)</f>
        <v>0</v>
      </c>
    </row>
    <row r="385" spans="1:7" x14ac:dyDescent="0.2">
      <c r="A385">
        <v>45949</v>
      </c>
      <c r="B385" t="s">
        <v>171</v>
      </c>
      <c r="C385" t="s">
        <v>14</v>
      </c>
      <c r="D385">
        <v>4</v>
      </c>
      <c r="E385">
        <v>0</v>
      </c>
      <c r="F385">
        <v>7</v>
      </c>
      <c r="G385">
        <f>IF(Table3[[#This Row],[Service_Window]]="Lunch",1,0)</f>
        <v>0</v>
      </c>
    </row>
    <row r="386" spans="1:7" x14ac:dyDescent="0.2">
      <c r="A386">
        <v>45949</v>
      </c>
      <c r="B386" t="s">
        <v>171</v>
      </c>
      <c r="C386" t="s">
        <v>14</v>
      </c>
      <c r="D386">
        <v>3</v>
      </c>
      <c r="E386">
        <v>0</v>
      </c>
      <c r="F386">
        <v>7</v>
      </c>
      <c r="G386">
        <f>IF(Table3[[#This Row],[Service_Window]]="Lunch",1,0)</f>
        <v>0</v>
      </c>
    </row>
    <row r="387" spans="1:7" x14ac:dyDescent="0.2">
      <c r="A387">
        <v>45949</v>
      </c>
      <c r="B387" t="s">
        <v>171</v>
      </c>
      <c r="C387" t="s">
        <v>14</v>
      </c>
      <c r="D387">
        <v>6</v>
      </c>
      <c r="E387">
        <v>0</v>
      </c>
      <c r="F387">
        <v>7</v>
      </c>
      <c r="G387">
        <f>IF(Table3[[#This Row],[Service_Window]]="Lunch",1,0)</f>
        <v>0</v>
      </c>
    </row>
    <row r="388" spans="1:7" x14ac:dyDescent="0.2">
      <c r="A388">
        <v>45949</v>
      </c>
      <c r="B388" t="s">
        <v>171</v>
      </c>
      <c r="C388" t="s">
        <v>14</v>
      </c>
      <c r="D388">
        <v>1</v>
      </c>
      <c r="E388">
        <v>0</v>
      </c>
      <c r="F388">
        <v>7</v>
      </c>
      <c r="G388">
        <f>IF(Table3[[#This Row],[Service_Window]]="Lunch",1,0)</f>
        <v>0</v>
      </c>
    </row>
    <row r="389" spans="1:7" x14ac:dyDescent="0.2">
      <c r="A389">
        <v>45949</v>
      </c>
      <c r="B389" t="s">
        <v>171</v>
      </c>
      <c r="C389" t="s">
        <v>14</v>
      </c>
      <c r="D389">
        <v>6</v>
      </c>
      <c r="E389">
        <v>0</v>
      </c>
      <c r="F389">
        <v>7</v>
      </c>
      <c r="G389">
        <f>IF(Table3[[#This Row],[Service_Window]]="Lunch",1,0)</f>
        <v>0</v>
      </c>
    </row>
    <row r="390" spans="1:7" x14ac:dyDescent="0.2">
      <c r="A390">
        <v>45949</v>
      </c>
      <c r="B390" t="s">
        <v>171</v>
      </c>
      <c r="C390" t="s">
        <v>14</v>
      </c>
      <c r="D390">
        <v>3</v>
      </c>
      <c r="E390">
        <v>0</v>
      </c>
      <c r="F390">
        <v>7</v>
      </c>
      <c r="G390">
        <f>IF(Table3[[#This Row],[Service_Window]]="Lunch",1,0)</f>
        <v>0</v>
      </c>
    </row>
    <row r="391" spans="1:7" x14ac:dyDescent="0.2">
      <c r="A391">
        <v>45949</v>
      </c>
      <c r="B391" t="s">
        <v>171</v>
      </c>
      <c r="C391" t="s">
        <v>14</v>
      </c>
      <c r="D391">
        <v>3</v>
      </c>
      <c r="E391">
        <v>0</v>
      </c>
      <c r="F391">
        <v>7</v>
      </c>
      <c r="G391">
        <f>IF(Table3[[#This Row],[Service_Window]]="Lunch",1,0)</f>
        <v>0</v>
      </c>
    </row>
    <row r="392" spans="1:7" x14ac:dyDescent="0.2">
      <c r="A392">
        <v>45949</v>
      </c>
      <c r="B392" t="s">
        <v>171</v>
      </c>
      <c r="C392" t="s">
        <v>14</v>
      </c>
      <c r="D392">
        <v>3</v>
      </c>
      <c r="E392">
        <v>0</v>
      </c>
      <c r="F392">
        <v>7</v>
      </c>
      <c r="G392">
        <f>IF(Table3[[#This Row],[Service_Window]]="Lunch",1,0)</f>
        <v>0</v>
      </c>
    </row>
    <row r="393" spans="1:7" x14ac:dyDescent="0.2">
      <c r="A393">
        <v>45949</v>
      </c>
      <c r="B393" t="s">
        <v>171</v>
      </c>
      <c r="C393" t="s">
        <v>14</v>
      </c>
      <c r="D393">
        <v>3</v>
      </c>
      <c r="E393">
        <v>0</v>
      </c>
      <c r="F393">
        <v>7</v>
      </c>
      <c r="G393">
        <f>IF(Table3[[#This Row],[Service_Window]]="Lunch",1,0)</f>
        <v>0</v>
      </c>
    </row>
    <row r="394" spans="1:7" x14ac:dyDescent="0.2">
      <c r="A394">
        <v>45949</v>
      </c>
      <c r="B394" t="s">
        <v>171</v>
      </c>
      <c r="C394" t="s">
        <v>14</v>
      </c>
      <c r="D394">
        <v>2</v>
      </c>
      <c r="E394">
        <v>0</v>
      </c>
      <c r="F394">
        <v>7</v>
      </c>
      <c r="G394">
        <f>IF(Table3[[#This Row],[Service_Window]]="Lunch",1,0)</f>
        <v>0</v>
      </c>
    </row>
    <row r="395" spans="1:7" x14ac:dyDescent="0.2">
      <c r="A395">
        <v>45949</v>
      </c>
      <c r="B395" t="s">
        <v>171</v>
      </c>
      <c r="C395" t="s">
        <v>14</v>
      </c>
      <c r="D395">
        <v>6</v>
      </c>
      <c r="E395">
        <v>0</v>
      </c>
      <c r="F395">
        <v>7</v>
      </c>
      <c r="G395">
        <f>IF(Table3[[#This Row],[Service_Window]]="Lunch",1,0)</f>
        <v>0</v>
      </c>
    </row>
    <row r="396" spans="1:7" x14ac:dyDescent="0.2">
      <c r="A396">
        <v>45949</v>
      </c>
      <c r="B396" t="s">
        <v>171</v>
      </c>
      <c r="C396" t="s">
        <v>14</v>
      </c>
      <c r="D396">
        <v>7</v>
      </c>
      <c r="E396">
        <v>0</v>
      </c>
      <c r="F396">
        <v>7</v>
      </c>
      <c r="G396">
        <f>IF(Table3[[#This Row],[Service_Window]]="Lunch",1,0)</f>
        <v>0</v>
      </c>
    </row>
    <row r="397" spans="1:7" x14ac:dyDescent="0.2">
      <c r="A397">
        <v>45949</v>
      </c>
      <c r="B397" t="s">
        <v>171</v>
      </c>
      <c r="C397" t="s">
        <v>14</v>
      </c>
      <c r="D397">
        <v>2</v>
      </c>
      <c r="E397">
        <v>0</v>
      </c>
      <c r="F397">
        <v>7</v>
      </c>
      <c r="G397">
        <f>IF(Table3[[#This Row],[Service_Window]]="Lunch",1,0)</f>
        <v>0</v>
      </c>
    </row>
    <row r="398" spans="1:7" x14ac:dyDescent="0.2">
      <c r="A398">
        <v>45949</v>
      </c>
      <c r="B398" t="s">
        <v>171</v>
      </c>
      <c r="C398" t="s">
        <v>14</v>
      </c>
      <c r="D398">
        <v>4</v>
      </c>
      <c r="E398">
        <v>0</v>
      </c>
      <c r="F398">
        <v>7</v>
      </c>
      <c r="G398">
        <f>IF(Table3[[#This Row],[Service_Window]]="Lunch",1,0)</f>
        <v>0</v>
      </c>
    </row>
    <row r="399" spans="1:7" x14ac:dyDescent="0.2">
      <c r="A399">
        <v>45949</v>
      </c>
      <c r="B399" t="s">
        <v>171</v>
      </c>
      <c r="C399" t="s">
        <v>14</v>
      </c>
      <c r="D399">
        <v>4</v>
      </c>
      <c r="E399">
        <v>0</v>
      </c>
      <c r="F399">
        <v>7</v>
      </c>
      <c r="G399">
        <f>IF(Table3[[#This Row],[Service_Window]]="Lunch",1,0)</f>
        <v>0</v>
      </c>
    </row>
    <row r="400" spans="1:7" x14ac:dyDescent="0.2">
      <c r="A400">
        <v>45949</v>
      </c>
      <c r="B400" t="s">
        <v>171</v>
      </c>
      <c r="C400" t="s">
        <v>43</v>
      </c>
      <c r="D400">
        <v>4</v>
      </c>
      <c r="E400">
        <v>0</v>
      </c>
      <c r="F400">
        <v>7</v>
      </c>
      <c r="G400">
        <f>IF(Table3[[#This Row],[Service_Window]]="Lunch",1,0)</f>
        <v>1</v>
      </c>
    </row>
    <row r="401" spans="1:7" x14ac:dyDescent="0.2">
      <c r="A401">
        <v>45949</v>
      </c>
      <c r="B401" t="s">
        <v>171</v>
      </c>
      <c r="C401" t="s">
        <v>43</v>
      </c>
      <c r="D401">
        <v>4</v>
      </c>
      <c r="E401">
        <v>0</v>
      </c>
      <c r="F401">
        <v>7</v>
      </c>
      <c r="G401">
        <f>IF(Table3[[#This Row],[Service_Window]]="Lunch",1,0)</f>
        <v>1</v>
      </c>
    </row>
    <row r="402" spans="1:7" x14ac:dyDescent="0.2">
      <c r="A402">
        <v>45949</v>
      </c>
      <c r="B402" t="s">
        <v>171</v>
      </c>
      <c r="C402" t="s">
        <v>43</v>
      </c>
      <c r="D402">
        <v>4</v>
      </c>
      <c r="E402">
        <v>0</v>
      </c>
      <c r="F402">
        <v>7</v>
      </c>
      <c r="G402">
        <f>IF(Table3[[#This Row],[Service_Window]]="Lunch",1,0)</f>
        <v>1</v>
      </c>
    </row>
    <row r="403" spans="1:7" x14ac:dyDescent="0.2">
      <c r="A403">
        <v>45949</v>
      </c>
      <c r="B403" t="s">
        <v>171</v>
      </c>
      <c r="C403" t="s">
        <v>43</v>
      </c>
      <c r="D403">
        <v>2</v>
      </c>
      <c r="E403">
        <v>0</v>
      </c>
      <c r="F403">
        <v>7</v>
      </c>
      <c r="G403">
        <f>IF(Table3[[#This Row],[Service_Window]]="Lunch",1,0)</f>
        <v>1</v>
      </c>
    </row>
    <row r="404" spans="1:7" x14ac:dyDescent="0.2">
      <c r="A404">
        <v>45950</v>
      </c>
      <c r="B404" t="s">
        <v>213</v>
      </c>
      <c r="C404" t="s">
        <v>14</v>
      </c>
      <c r="D404">
        <v>2</v>
      </c>
      <c r="E404">
        <v>0</v>
      </c>
      <c r="F404">
        <v>1</v>
      </c>
      <c r="G404">
        <f>IF(Table3[[#This Row],[Service_Window]]="Lunch",1,0)</f>
        <v>0</v>
      </c>
    </row>
    <row r="405" spans="1:7" x14ac:dyDescent="0.2">
      <c r="A405">
        <v>45950</v>
      </c>
      <c r="B405" t="s">
        <v>213</v>
      </c>
      <c r="C405" t="s">
        <v>14</v>
      </c>
      <c r="D405">
        <v>4</v>
      </c>
      <c r="E405">
        <v>0</v>
      </c>
      <c r="F405">
        <v>1</v>
      </c>
      <c r="G405">
        <f>IF(Table3[[#This Row],[Service_Window]]="Lunch",1,0)</f>
        <v>0</v>
      </c>
    </row>
    <row r="406" spans="1:7" x14ac:dyDescent="0.2">
      <c r="A406">
        <v>45950</v>
      </c>
      <c r="B406" t="s">
        <v>213</v>
      </c>
      <c r="C406" t="s">
        <v>14</v>
      </c>
      <c r="D406">
        <v>2</v>
      </c>
      <c r="E406">
        <v>0</v>
      </c>
      <c r="F406">
        <v>1</v>
      </c>
      <c r="G406">
        <f>IF(Table3[[#This Row],[Service_Window]]="Lunch",1,0)</f>
        <v>0</v>
      </c>
    </row>
    <row r="407" spans="1:7" x14ac:dyDescent="0.2">
      <c r="A407">
        <v>45950</v>
      </c>
      <c r="B407" t="s">
        <v>213</v>
      </c>
      <c r="C407" t="s">
        <v>14</v>
      </c>
      <c r="D407">
        <v>2</v>
      </c>
      <c r="E407">
        <v>0</v>
      </c>
      <c r="F407">
        <v>1</v>
      </c>
      <c r="G407">
        <f>IF(Table3[[#This Row],[Service_Window]]="Lunch",1,0)</f>
        <v>0</v>
      </c>
    </row>
    <row r="408" spans="1:7" x14ac:dyDescent="0.2">
      <c r="A408">
        <v>45950</v>
      </c>
      <c r="B408" t="s">
        <v>213</v>
      </c>
      <c r="C408" t="s">
        <v>14</v>
      </c>
      <c r="D408">
        <v>1</v>
      </c>
      <c r="E408">
        <v>0</v>
      </c>
      <c r="F408">
        <v>1</v>
      </c>
      <c r="G408">
        <f>IF(Table3[[#This Row],[Service_Window]]="Lunch",1,0)</f>
        <v>0</v>
      </c>
    </row>
    <row r="409" spans="1:7" x14ac:dyDescent="0.2">
      <c r="A409">
        <v>45950</v>
      </c>
      <c r="B409" t="s">
        <v>213</v>
      </c>
      <c r="C409" t="s">
        <v>14</v>
      </c>
      <c r="D409">
        <v>5</v>
      </c>
      <c r="E409">
        <v>0</v>
      </c>
      <c r="F409">
        <v>1</v>
      </c>
      <c r="G409">
        <f>IF(Table3[[#This Row],[Service_Window]]="Lunch",1,0)</f>
        <v>0</v>
      </c>
    </row>
    <row r="410" spans="1:7" x14ac:dyDescent="0.2">
      <c r="A410">
        <v>45950</v>
      </c>
      <c r="B410" t="s">
        <v>213</v>
      </c>
      <c r="C410" t="s">
        <v>14</v>
      </c>
      <c r="D410">
        <v>3</v>
      </c>
      <c r="E410">
        <v>0</v>
      </c>
      <c r="F410">
        <v>1</v>
      </c>
      <c r="G410">
        <f>IF(Table3[[#This Row],[Service_Window]]="Lunch",1,0)</f>
        <v>0</v>
      </c>
    </row>
    <row r="411" spans="1:7" x14ac:dyDescent="0.2">
      <c r="A411">
        <v>45950</v>
      </c>
      <c r="B411" t="s">
        <v>213</v>
      </c>
      <c r="C411" t="s">
        <v>14</v>
      </c>
      <c r="D411">
        <v>2</v>
      </c>
      <c r="E411">
        <v>0</v>
      </c>
      <c r="F411">
        <v>1</v>
      </c>
      <c r="G411">
        <f>IF(Table3[[#This Row],[Service_Window]]="Lunch",1,0)</f>
        <v>0</v>
      </c>
    </row>
    <row r="412" spans="1:7" x14ac:dyDescent="0.2">
      <c r="A412">
        <v>45950</v>
      </c>
      <c r="B412" t="s">
        <v>213</v>
      </c>
      <c r="C412" t="s">
        <v>14</v>
      </c>
      <c r="D412">
        <v>1</v>
      </c>
      <c r="E412">
        <v>0</v>
      </c>
      <c r="F412">
        <v>1</v>
      </c>
      <c r="G412">
        <f>IF(Table3[[#This Row],[Service_Window]]="Lunch",1,0)</f>
        <v>0</v>
      </c>
    </row>
    <row r="413" spans="1:7" x14ac:dyDescent="0.2">
      <c r="A413">
        <v>45950</v>
      </c>
      <c r="B413" t="s">
        <v>213</v>
      </c>
      <c r="C413" t="s">
        <v>14</v>
      </c>
      <c r="D413">
        <v>3</v>
      </c>
      <c r="E413">
        <v>0</v>
      </c>
      <c r="F413">
        <v>1</v>
      </c>
      <c r="G413">
        <f>IF(Table3[[#This Row],[Service_Window]]="Lunch",1,0)</f>
        <v>0</v>
      </c>
    </row>
    <row r="414" spans="1:7" x14ac:dyDescent="0.2">
      <c r="A414">
        <v>45950</v>
      </c>
      <c r="B414" t="s">
        <v>213</v>
      </c>
      <c r="C414" t="s">
        <v>14</v>
      </c>
      <c r="D414">
        <v>3</v>
      </c>
      <c r="E414">
        <v>0</v>
      </c>
      <c r="F414">
        <v>1</v>
      </c>
      <c r="G414">
        <f>IF(Table3[[#This Row],[Service_Window]]="Lunch",1,0)</f>
        <v>0</v>
      </c>
    </row>
    <row r="415" spans="1:7" x14ac:dyDescent="0.2">
      <c r="A415">
        <v>45950</v>
      </c>
      <c r="B415" t="s">
        <v>213</v>
      </c>
      <c r="C415" t="s">
        <v>14</v>
      </c>
      <c r="D415">
        <v>2</v>
      </c>
      <c r="E415">
        <v>0</v>
      </c>
      <c r="F415">
        <v>1</v>
      </c>
      <c r="G415">
        <f>IF(Table3[[#This Row],[Service_Window]]="Lunch",1,0)</f>
        <v>0</v>
      </c>
    </row>
    <row r="416" spans="1:7" x14ac:dyDescent="0.2">
      <c r="A416">
        <v>45950</v>
      </c>
      <c r="B416" t="s">
        <v>213</v>
      </c>
      <c r="C416" t="s">
        <v>14</v>
      </c>
      <c r="D416">
        <v>3</v>
      </c>
      <c r="E416">
        <v>0</v>
      </c>
      <c r="F416">
        <v>1</v>
      </c>
      <c r="G416">
        <f>IF(Table3[[#This Row],[Service_Window]]="Lunch",1,0)</f>
        <v>0</v>
      </c>
    </row>
    <row r="417" spans="1:7" x14ac:dyDescent="0.2">
      <c r="A417">
        <v>45950</v>
      </c>
      <c r="B417" t="s">
        <v>213</v>
      </c>
      <c r="C417" t="s">
        <v>14</v>
      </c>
      <c r="D417">
        <v>5</v>
      </c>
      <c r="E417">
        <v>0</v>
      </c>
      <c r="F417">
        <v>1</v>
      </c>
      <c r="G417">
        <f>IF(Table3[[#This Row],[Service_Window]]="Lunch",1,0)</f>
        <v>0</v>
      </c>
    </row>
    <row r="418" spans="1:7" x14ac:dyDescent="0.2">
      <c r="A418">
        <v>45950</v>
      </c>
      <c r="B418" t="s">
        <v>213</v>
      </c>
      <c r="C418" t="s">
        <v>14</v>
      </c>
      <c r="D418">
        <v>4</v>
      </c>
      <c r="E418">
        <v>0</v>
      </c>
      <c r="F418">
        <v>1</v>
      </c>
      <c r="G418">
        <f>IF(Table3[[#This Row],[Service_Window]]="Lunch",1,0)</f>
        <v>0</v>
      </c>
    </row>
    <row r="419" spans="1:7" x14ac:dyDescent="0.2">
      <c r="A419">
        <v>45950</v>
      </c>
      <c r="B419" t="s">
        <v>213</v>
      </c>
      <c r="C419" t="s">
        <v>43</v>
      </c>
      <c r="D419">
        <v>3</v>
      </c>
      <c r="E419">
        <v>0</v>
      </c>
      <c r="F419">
        <v>1</v>
      </c>
      <c r="G419">
        <f>IF(Table3[[#This Row],[Service_Window]]="Lunch",1,0)</f>
        <v>1</v>
      </c>
    </row>
    <row r="420" spans="1:7" x14ac:dyDescent="0.2">
      <c r="A420">
        <v>45950</v>
      </c>
      <c r="B420" t="s">
        <v>213</v>
      </c>
      <c r="C420" t="s">
        <v>43</v>
      </c>
      <c r="D420">
        <v>3</v>
      </c>
      <c r="E420">
        <v>0</v>
      </c>
      <c r="F420">
        <v>1</v>
      </c>
      <c r="G420">
        <f>IF(Table3[[#This Row],[Service_Window]]="Lunch",1,0)</f>
        <v>1</v>
      </c>
    </row>
    <row r="421" spans="1:7" x14ac:dyDescent="0.2">
      <c r="A421">
        <v>45950</v>
      </c>
      <c r="B421" t="s">
        <v>213</v>
      </c>
      <c r="C421" t="s">
        <v>43</v>
      </c>
      <c r="D421">
        <v>1</v>
      </c>
      <c r="E421">
        <v>0</v>
      </c>
      <c r="F421">
        <v>1</v>
      </c>
      <c r="G421">
        <f>IF(Table3[[#This Row],[Service_Window]]="Lunch",1,0)</f>
        <v>1</v>
      </c>
    </row>
    <row r="422" spans="1:7" x14ac:dyDescent="0.2">
      <c r="A422">
        <v>45950</v>
      </c>
      <c r="B422" t="s">
        <v>213</v>
      </c>
      <c r="C422" t="s">
        <v>43</v>
      </c>
      <c r="D422">
        <v>3</v>
      </c>
      <c r="E422">
        <v>0</v>
      </c>
      <c r="F422">
        <v>1</v>
      </c>
      <c r="G422">
        <f>IF(Table3[[#This Row],[Service_Window]]="Lunch",1,0)</f>
        <v>1</v>
      </c>
    </row>
    <row r="423" spans="1:7" x14ac:dyDescent="0.2">
      <c r="A423">
        <v>45950</v>
      </c>
      <c r="B423" t="s">
        <v>213</v>
      </c>
      <c r="C423" t="s">
        <v>43</v>
      </c>
      <c r="D423">
        <v>2</v>
      </c>
      <c r="E423">
        <v>0</v>
      </c>
      <c r="F423">
        <v>1</v>
      </c>
      <c r="G423">
        <f>IF(Table3[[#This Row],[Service_Window]]="Lunch",1,0)</f>
        <v>1</v>
      </c>
    </row>
    <row r="424" spans="1:7" x14ac:dyDescent="0.2">
      <c r="A424">
        <v>45950</v>
      </c>
      <c r="B424" t="s">
        <v>213</v>
      </c>
      <c r="C424" t="s">
        <v>43</v>
      </c>
      <c r="D424">
        <v>2</v>
      </c>
      <c r="E424">
        <v>0</v>
      </c>
      <c r="F424">
        <v>1</v>
      </c>
      <c r="G424">
        <f>IF(Table3[[#This Row],[Service_Window]]="Lunch",1,0)</f>
        <v>1</v>
      </c>
    </row>
    <row r="425" spans="1:7" x14ac:dyDescent="0.2">
      <c r="A425">
        <v>45950</v>
      </c>
      <c r="B425" t="s">
        <v>213</v>
      </c>
      <c r="C425" t="s">
        <v>43</v>
      </c>
      <c r="D425">
        <v>2</v>
      </c>
      <c r="E425">
        <v>0</v>
      </c>
      <c r="F425">
        <v>1</v>
      </c>
      <c r="G425">
        <f>IF(Table3[[#This Row],[Service_Window]]="Lunch",1,0)</f>
        <v>1</v>
      </c>
    </row>
    <row r="426" spans="1:7" x14ac:dyDescent="0.2">
      <c r="A426">
        <v>45951</v>
      </c>
      <c r="B426" t="s">
        <v>250</v>
      </c>
      <c r="C426" t="s">
        <v>14</v>
      </c>
      <c r="D426">
        <v>6</v>
      </c>
      <c r="E426">
        <v>0</v>
      </c>
      <c r="F426">
        <v>2</v>
      </c>
      <c r="G426">
        <f>IF(Table3[[#This Row],[Service_Window]]="Lunch",1,0)</f>
        <v>0</v>
      </c>
    </row>
    <row r="427" spans="1:7" x14ac:dyDescent="0.2">
      <c r="A427">
        <v>45951</v>
      </c>
      <c r="B427" t="s">
        <v>250</v>
      </c>
      <c r="C427" t="s">
        <v>14</v>
      </c>
      <c r="D427">
        <v>7</v>
      </c>
      <c r="E427">
        <v>0</v>
      </c>
      <c r="F427">
        <v>2</v>
      </c>
      <c r="G427">
        <f>IF(Table3[[#This Row],[Service_Window]]="Lunch",1,0)</f>
        <v>0</v>
      </c>
    </row>
    <row r="428" spans="1:7" x14ac:dyDescent="0.2">
      <c r="A428">
        <v>45951</v>
      </c>
      <c r="B428" t="s">
        <v>250</v>
      </c>
      <c r="C428" t="s">
        <v>14</v>
      </c>
      <c r="D428">
        <v>3</v>
      </c>
      <c r="E428">
        <v>0</v>
      </c>
      <c r="F428">
        <v>2</v>
      </c>
      <c r="G428">
        <f>IF(Table3[[#This Row],[Service_Window]]="Lunch",1,0)</f>
        <v>0</v>
      </c>
    </row>
    <row r="429" spans="1:7" x14ac:dyDescent="0.2">
      <c r="A429">
        <v>45951</v>
      </c>
      <c r="B429" t="s">
        <v>250</v>
      </c>
      <c r="C429" t="s">
        <v>14</v>
      </c>
      <c r="D429">
        <v>6</v>
      </c>
      <c r="E429">
        <v>0</v>
      </c>
      <c r="F429">
        <v>2</v>
      </c>
      <c r="G429">
        <f>IF(Table3[[#This Row],[Service_Window]]="Lunch",1,0)</f>
        <v>0</v>
      </c>
    </row>
    <row r="430" spans="1:7" x14ac:dyDescent="0.2">
      <c r="A430">
        <v>45951</v>
      </c>
      <c r="B430" t="s">
        <v>250</v>
      </c>
      <c r="C430" t="s">
        <v>14</v>
      </c>
      <c r="D430">
        <v>3</v>
      </c>
      <c r="E430">
        <v>0</v>
      </c>
      <c r="F430">
        <v>2</v>
      </c>
      <c r="G430">
        <f>IF(Table3[[#This Row],[Service_Window]]="Lunch",1,0)</f>
        <v>0</v>
      </c>
    </row>
    <row r="431" spans="1:7" x14ac:dyDescent="0.2">
      <c r="A431">
        <v>45951</v>
      </c>
      <c r="B431" t="s">
        <v>250</v>
      </c>
      <c r="C431" t="s">
        <v>14</v>
      </c>
      <c r="D431">
        <v>3</v>
      </c>
      <c r="E431">
        <v>0</v>
      </c>
      <c r="F431">
        <v>2</v>
      </c>
      <c r="G431">
        <f>IF(Table3[[#This Row],[Service_Window]]="Lunch",1,0)</f>
        <v>0</v>
      </c>
    </row>
    <row r="432" spans="1:7" x14ac:dyDescent="0.2">
      <c r="A432">
        <v>45951</v>
      </c>
      <c r="B432" t="s">
        <v>250</v>
      </c>
      <c r="C432" t="s">
        <v>14</v>
      </c>
      <c r="D432">
        <v>2</v>
      </c>
      <c r="E432">
        <v>0</v>
      </c>
      <c r="F432">
        <v>2</v>
      </c>
      <c r="G432">
        <f>IF(Table3[[#This Row],[Service_Window]]="Lunch",1,0)</f>
        <v>0</v>
      </c>
    </row>
    <row r="433" spans="1:7" x14ac:dyDescent="0.2">
      <c r="A433">
        <v>45951</v>
      </c>
      <c r="B433" t="s">
        <v>250</v>
      </c>
      <c r="C433" t="s">
        <v>14</v>
      </c>
      <c r="D433">
        <v>1</v>
      </c>
      <c r="E433">
        <v>0</v>
      </c>
      <c r="F433">
        <v>2</v>
      </c>
      <c r="G433">
        <f>IF(Table3[[#This Row],[Service_Window]]="Lunch",1,0)</f>
        <v>0</v>
      </c>
    </row>
    <row r="434" spans="1:7" x14ac:dyDescent="0.2">
      <c r="A434">
        <v>45951</v>
      </c>
      <c r="B434" t="s">
        <v>250</v>
      </c>
      <c r="C434" t="s">
        <v>14</v>
      </c>
      <c r="D434">
        <v>4</v>
      </c>
      <c r="E434">
        <v>0</v>
      </c>
      <c r="F434">
        <v>2</v>
      </c>
      <c r="G434">
        <f>IF(Table3[[#This Row],[Service_Window]]="Lunch",1,0)</f>
        <v>0</v>
      </c>
    </row>
    <row r="435" spans="1:7" x14ac:dyDescent="0.2">
      <c r="A435">
        <v>45951</v>
      </c>
      <c r="B435" t="s">
        <v>250</v>
      </c>
      <c r="C435" t="s">
        <v>14</v>
      </c>
      <c r="D435">
        <v>2</v>
      </c>
      <c r="E435">
        <v>0</v>
      </c>
      <c r="F435">
        <v>2</v>
      </c>
      <c r="G435">
        <f>IF(Table3[[#This Row],[Service_Window]]="Lunch",1,0)</f>
        <v>0</v>
      </c>
    </row>
    <row r="436" spans="1:7" x14ac:dyDescent="0.2">
      <c r="A436">
        <v>45951</v>
      </c>
      <c r="B436" t="s">
        <v>250</v>
      </c>
      <c r="C436" t="s">
        <v>14</v>
      </c>
      <c r="D436">
        <v>4</v>
      </c>
      <c r="E436">
        <v>0</v>
      </c>
      <c r="F436">
        <v>2</v>
      </c>
      <c r="G436">
        <f>IF(Table3[[#This Row],[Service_Window]]="Lunch",1,0)</f>
        <v>0</v>
      </c>
    </row>
    <row r="437" spans="1:7" x14ac:dyDescent="0.2">
      <c r="A437">
        <v>45951</v>
      </c>
      <c r="B437" t="s">
        <v>250</v>
      </c>
      <c r="C437" t="s">
        <v>14</v>
      </c>
      <c r="D437">
        <v>5</v>
      </c>
      <c r="E437">
        <v>0</v>
      </c>
      <c r="F437">
        <v>2</v>
      </c>
      <c r="G437">
        <f>IF(Table3[[#This Row],[Service_Window]]="Lunch",1,0)</f>
        <v>0</v>
      </c>
    </row>
    <row r="438" spans="1:7" x14ac:dyDescent="0.2">
      <c r="A438">
        <v>45951</v>
      </c>
      <c r="B438" t="s">
        <v>250</v>
      </c>
      <c r="C438" t="s">
        <v>14</v>
      </c>
      <c r="D438">
        <v>3</v>
      </c>
      <c r="E438">
        <v>0</v>
      </c>
      <c r="F438">
        <v>2</v>
      </c>
      <c r="G438">
        <f>IF(Table3[[#This Row],[Service_Window]]="Lunch",1,0)</f>
        <v>0</v>
      </c>
    </row>
    <row r="439" spans="1:7" x14ac:dyDescent="0.2">
      <c r="A439">
        <v>45951</v>
      </c>
      <c r="B439" t="s">
        <v>250</v>
      </c>
      <c r="C439" t="s">
        <v>14</v>
      </c>
      <c r="D439">
        <v>2</v>
      </c>
      <c r="E439">
        <v>0</v>
      </c>
      <c r="F439">
        <v>2</v>
      </c>
      <c r="G439">
        <f>IF(Table3[[#This Row],[Service_Window]]="Lunch",1,0)</f>
        <v>0</v>
      </c>
    </row>
    <row r="440" spans="1:7" x14ac:dyDescent="0.2">
      <c r="A440">
        <v>45951</v>
      </c>
      <c r="B440" t="s">
        <v>250</v>
      </c>
      <c r="C440" t="s">
        <v>14</v>
      </c>
      <c r="D440">
        <v>2</v>
      </c>
      <c r="E440">
        <v>0</v>
      </c>
      <c r="F440">
        <v>2</v>
      </c>
      <c r="G440">
        <f>IF(Table3[[#This Row],[Service_Window]]="Lunch",1,0)</f>
        <v>0</v>
      </c>
    </row>
    <row r="441" spans="1:7" x14ac:dyDescent="0.2">
      <c r="A441">
        <v>45951</v>
      </c>
      <c r="B441" t="s">
        <v>250</v>
      </c>
      <c r="C441" t="s">
        <v>14</v>
      </c>
      <c r="D441">
        <v>1</v>
      </c>
      <c r="E441">
        <v>0</v>
      </c>
      <c r="F441">
        <v>2</v>
      </c>
      <c r="G441">
        <f>IF(Table3[[#This Row],[Service_Window]]="Lunch",1,0)</f>
        <v>0</v>
      </c>
    </row>
    <row r="442" spans="1:7" x14ac:dyDescent="0.2">
      <c r="A442">
        <v>45951</v>
      </c>
      <c r="B442" t="s">
        <v>250</v>
      </c>
      <c r="C442" t="s">
        <v>14</v>
      </c>
      <c r="D442">
        <v>2</v>
      </c>
      <c r="E442">
        <v>0</v>
      </c>
      <c r="F442">
        <v>2</v>
      </c>
      <c r="G442">
        <f>IF(Table3[[#This Row],[Service_Window]]="Lunch",1,0)</f>
        <v>0</v>
      </c>
    </row>
    <row r="443" spans="1:7" x14ac:dyDescent="0.2">
      <c r="A443">
        <v>45951</v>
      </c>
      <c r="B443" t="s">
        <v>250</v>
      </c>
      <c r="C443" t="s">
        <v>14</v>
      </c>
      <c r="D443">
        <v>4</v>
      </c>
      <c r="E443">
        <v>0</v>
      </c>
      <c r="F443">
        <v>2</v>
      </c>
      <c r="G443">
        <f>IF(Table3[[#This Row],[Service_Window]]="Lunch",1,0)</f>
        <v>0</v>
      </c>
    </row>
    <row r="444" spans="1:7" x14ac:dyDescent="0.2">
      <c r="A444">
        <v>45951</v>
      </c>
      <c r="B444" t="s">
        <v>250</v>
      </c>
      <c r="C444" t="s">
        <v>14</v>
      </c>
      <c r="D444">
        <v>2</v>
      </c>
      <c r="E444">
        <v>0</v>
      </c>
      <c r="F444">
        <v>2</v>
      </c>
      <c r="G444">
        <f>IF(Table3[[#This Row],[Service_Window]]="Lunch",1,0)</f>
        <v>0</v>
      </c>
    </row>
    <row r="445" spans="1:7" x14ac:dyDescent="0.2">
      <c r="A445">
        <v>45951</v>
      </c>
      <c r="B445" t="s">
        <v>250</v>
      </c>
      <c r="C445" t="s">
        <v>14</v>
      </c>
      <c r="D445">
        <v>5</v>
      </c>
      <c r="E445">
        <v>0</v>
      </c>
      <c r="F445">
        <v>2</v>
      </c>
      <c r="G445">
        <f>IF(Table3[[#This Row],[Service_Window]]="Lunch",1,0)</f>
        <v>0</v>
      </c>
    </row>
    <row r="446" spans="1:7" x14ac:dyDescent="0.2">
      <c r="A446">
        <v>45951</v>
      </c>
      <c r="B446" t="s">
        <v>250</v>
      </c>
      <c r="C446" t="s">
        <v>14</v>
      </c>
      <c r="D446">
        <v>2</v>
      </c>
      <c r="E446">
        <v>0</v>
      </c>
      <c r="F446">
        <v>2</v>
      </c>
      <c r="G446">
        <f>IF(Table3[[#This Row],[Service_Window]]="Lunch",1,0)</f>
        <v>0</v>
      </c>
    </row>
    <row r="447" spans="1:7" x14ac:dyDescent="0.2">
      <c r="A447">
        <v>45951</v>
      </c>
      <c r="B447" t="s">
        <v>250</v>
      </c>
      <c r="C447" t="s">
        <v>14</v>
      </c>
      <c r="D447">
        <v>3</v>
      </c>
      <c r="E447">
        <v>0</v>
      </c>
      <c r="F447">
        <v>2</v>
      </c>
      <c r="G447">
        <f>IF(Table3[[#This Row],[Service_Window]]="Lunch",1,0)</f>
        <v>0</v>
      </c>
    </row>
    <row r="448" spans="1:7" x14ac:dyDescent="0.2">
      <c r="A448">
        <v>45951</v>
      </c>
      <c r="B448" t="s">
        <v>250</v>
      </c>
      <c r="C448" t="s">
        <v>14</v>
      </c>
      <c r="D448">
        <v>2</v>
      </c>
      <c r="E448">
        <v>0</v>
      </c>
      <c r="F448">
        <v>2</v>
      </c>
      <c r="G448">
        <f>IF(Table3[[#This Row],[Service_Window]]="Lunch",1,0)</f>
        <v>0</v>
      </c>
    </row>
    <row r="449" spans="1:7" x14ac:dyDescent="0.2">
      <c r="A449">
        <v>45951</v>
      </c>
      <c r="B449" t="s">
        <v>250</v>
      </c>
      <c r="C449" t="s">
        <v>14</v>
      </c>
      <c r="D449">
        <v>2</v>
      </c>
      <c r="E449">
        <v>0</v>
      </c>
      <c r="F449">
        <v>2</v>
      </c>
      <c r="G449">
        <f>IF(Table3[[#This Row],[Service_Window]]="Lunch",1,0)</f>
        <v>0</v>
      </c>
    </row>
    <row r="450" spans="1:7" x14ac:dyDescent="0.2">
      <c r="A450">
        <v>45951</v>
      </c>
      <c r="B450" t="s">
        <v>250</v>
      </c>
      <c r="C450" t="s">
        <v>43</v>
      </c>
      <c r="D450">
        <v>3</v>
      </c>
      <c r="E450">
        <v>0</v>
      </c>
      <c r="F450">
        <v>2</v>
      </c>
      <c r="G450">
        <f>IF(Table3[[#This Row],[Service_Window]]="Lunch",1,0)</f>
        <v>1</v>
      </c>
    </row>
    <row r="451" spans="1:7" x14ac:dyDescent="0.2">
      <c r="A451">
        <v>45951</v>
      </c>
      <c r="B451" t="s">
        <v>250</v>
      </c>
      <c r="C451" t="s">
        <v>43</v>
      </c>
      <c r="D451">
        <v>6</v>
      </c>
      <c r="E451">
        <v>0</v>
      </c>
      <c r="F451">
        <v>2</v>
      </c>
      <c r="G451">
        <f>IF(Table3[[#This Row],[Service_Window]]="Lunch",1,0)</f>
        <v>1</v>
      </c>
    </row>
    <row r="452" spans="1:7" x14ac:dyDescent="0.2">
      <c r="A452">
        <v>45951</v>
      </c>
      <c r="B452" t="s">
        <v>250</v>
      </c>
      <c r="C452" t="s">
        <v>43</v>
      </c>
      <c r="D452">
        <v>3</v>
      </c>
      <c r="E452">
        <v>0</v>
      </c>
      <c r="F452">
        <v>2</v>
      </c>
      <c r="G452">
        <f>IF(Table3[[#This Row],[Service_Window]]="Lunch",1,0)</f>
        <v>1</v>
      </c>
    </row>
    <row r="453" spans="1:7" x14ac:dyDescent="0.2">
      <c r="A453">
        <v>45951</v>
      </c>
      <c r="B453" t="s">
        <v>250</v>
      </c>
      <c r="C453" t="s">
        <v>43</v>
      </c>
      <c r="D453">
        <v>3</v>
      </c>
      <c r="E453">
        <v>0</v>
      </c>
      <c r="F453">
        <v>2</v>
      </c>
      <c r="G453">
        <f>IF(Table3[[#This Row],[Service_Window]]="Lunch",1,0)</f>
        <v>1</v>
      </c>
    </row>
    <row r="454" spans="1:7" x14ac:dyDescent="0.2">
      <c r="A454">
        <v>45951</v>
      </c>
      <c r="B454" t="s">
        <v>250</v>
      </c>
      <c r="C454" t="s">
        <v>43</v>
      </c>
      <c r="D454">
        <v>3</v>
      </c>
      <c r="E454">
        <v>0</v>
      </c>
      <c r="F454">
        <v>2</v>
      </c>
      <c r="G454">
        <f>IF(Table3[[#This Row],[Service_Window]]="Lunch",1,0)</f>
        <v>1</v>
      </c>
    </row>
    <row r="455" spans="1:7" x14ac:dyDescent="0.2">
      <c r="A455">
        <v>45951</v>
      </c>
      <c r="B455" t="s">
        <v>250</v>
      </c>
      <c r="C455" t="s">
        <v>43</v>
      </c>
      <c r="D455">
        <v>3</v>
      </c>
      <c r="E455">
        <v>0</v>
      </c>
      <c r="F455">
        <v>2</v>
      </c>
      <c r="G455">
        <f>IF(Table3[[#This Row],[Service_Window]]="Lunch",1,0)</f>
        <v>1</v>
      </c>
    </row>
    <row r="456" spans="1:7" x14ac:dyDescent="0.2">
      <c r="A456">
        <v>45951</v>
      </c>
      <c r="B456" t="s">
        <v>250</v>
      </c>
      <c r="C456" t="s">
        <v>43</v>
      </c>
      <c r="D456">
        <v>4</v>
      </c>
      <c r="E456">
        <v>0</v>
      </c>
      <c r="F456">
        <v>2</v>
      </c>
      <c r="G456">
        <f>IF(Table3[[#This Row],[Service_Window]]="Lunch",1,0)</f>
        <v>1</v>
      </c>
    </row>
    <row r="457" spans="1:7" x14ac:dyDescent="0.2">
      <c r="A457">
        <v>45951</v>
      </c>
      <c r="B457" t="s">
        <v>250</v>
      </c>
      <c r="C457" t="s">
        <v>43</v>
      </c>
      <c r="D457">
        <v>3</v>
      </c>
      <c r="E457">
        <v>0</v>
      </c>
      <c r="F457">
        <v>2</v>
      </c>
      <c r="G457">
        <f>IF(Table3[[#This Row],[Service_Window]]="Lunch",1,0)</f>
        <v>1</v>
      </c>
    </row>
    <row r="458" spans="1:7" x14ac:dyDescent="0.2">
      <c r="A458">
        <v>45952</v>
      </c>
      <c r="B458" t="s">
        <v>13</v>
      </c>
      <c r="C458" t="s">
        <v>14</v>
      </c>
      <c r="D458">
        <v>4</v>
      </c>
      <c r="E458">
        <v>0</v>
      </c>
      <c r="F458">
        <v>3</v>
      </c>
      <c r="G458">
        <f>IF(Table3[[#This Row],[Service_Window]]="Lunch",1,0)</f>
        <v>0</v>
      </c>
    </row>
    <row r="459" spans="1:7" x14ac:dyDescent="0.2">
      <c r="A459">
        <v>45952</v>
      </c>
      <c r="B459" t="s">
        <v>13</v>
      </c>
      <c r="C459" t="s">
        <v>14</v>
      </c>
      <c r="D459">
        <v>4</v>
      </c>
      <c r="E459">
        <v>0</v>
      </c>
      <c r="F459">
        <v>3</v>
      </c>
      <c r="G459">
        <f>IF(Table3[[#This Row],[Service_Window]]="Lunch",1,0)</f>
        <v>0</v>
      </c>
    </row>
    <row r="460" spans="1:7" x14ac:dyDescent="0.2">
      <c r="A460">
        <v>45952</v>
      </c>
      <c r="B460" t="s">
        <v>13</v>
      </c>
      <c r="C460" t="s">
        <v>14</v>
      </c>
      <c r="D460">
        <v>3</v>
      </c>
      <c r="E460">
        <v>0</v>
      </c>
      <c r="F460">
        <v>3</v>
      </c>
      <c r="G460">
        <f>IF(Table3[[#This Row],[Service_Window]]="Lunch",1,0)</f>
        <v>0</v>
      </c>
    </row>
    <row r="461" spans="1:7" x14ac:dyDescent="0.2">
      <c r="A461">
        <v>45952</v>
      </c>
      <c r="B461" t="s">
        <v>13</v>
      </c>
      <c r="C461" t="s">
        <v>14</v>
      </c>
      <c r="D461">
        <v>3</v>
      </c>
      <c r="E461">
        <v>0</v>
      </c>
      <c r="F461">
        <v>3</v>
      </c>
      <c r="G461">
        <f>IF(Table3[[#This Row],[Service_Window]]="Lunch",1,0)</f>
        <v>0</v>
      </c>
    </row>
    <row r="462" spans="1:7" x14ac:dyDescent="0.2">
      <c r="A462">
        <v>45952</v>
      </c>
      <c r="B462" t="s">
        <v>13</v>
      </c>
      <c r="C462" t="s">
        <v>14</v>
      </c>
      <c r="D462">
        <v>2</v>
      </c>
      <c r="E462">
        <v>0</v>
      </c>
      <c r="F462">
        <v>3</v>
      </c>
      <c r="G462">
        <f>IF(Table3[[#This Row],[Service_Window]]="Lunch",1,0)</f>
        <v>0</v>
      </c>
    </row>
    <row r="463" spans="1:7" x14ac:dyDescent="0.2">
      <c r="A463">
        <v>45952</v>
      </c>
      <c r="B463" t="s">
        <v>13</v>
      </c>
      <c r="C463" t="s">
        <v>14</v>
      </c>
      <c r="D463">
        <v>4</v>
      </c>
      <c r="E463">
        <v>0</v>
      </c>
      <c r="F463">
        <v>3</v>
      </c>
      <c r="G463">
        <f>IF(Table3[[#This Row],[Service_Window]]="Lunch",1,0)</f>
        <v>0</v>
      </c>
    </row>
    <row r="464" spans="1:7" x14ac:dyDescent="0.2">
      <c r="A464">
        <v>45952</v>
      </c>
      <c r="B464" t="s">
        <v>13</v>
      </c>
      <c r="C464" t="s">
        <v>14</v>
      </c>
      <c r="D464">
        <v>2</v>
      </c>
      <c r="E464">
        <v>0</v>
      </c>
      <c r="F464">
        <v>3</v>
      </c>
      <c r="G464">
        <f>IF(Table3[[#This Row],[Service_Window]]="Lunch",1,0)</f>
        <v>0</v>
      </c>
    </row>
    <row r="465" spans="1:7" x14ac:dyDescent="0.2">
      <c r="A465">
        <v>45952</v>
      </c>
      <c r="B465" t="s">
        <v>13</v>
      </c>
      <c r="C465" t="s">
        <v>43</v>
      </c>
      <c r="D465">
        <v>2</v>
      </c>
      <c r="E465">
        <v>1</v>
      </c>
      <c r="F465">
        <v>3</v>
      </c>
      <c r="G465">
        <f>IF(Table3[[#This Row],[Service_Window]]="Lunch",1,0)</f>
        <v>1</v>
      </c>
    </row>
    <row r="466" spans="1:7" x14ac:dyDescent="0.2">
      <c r="A466">
        <v>45952</v>
      </c>
      <c r="B466" t="s">
        <v>13</v>
      </c>
      <c r="C466" t="s">
        <v>43</v>
      </c>
      <c r="D466">
        <v>3</v>
      </c>
      <c r="E466">
        <v>0</v>
      </c>
      <c r="F466">
        <v>3</v>
      </c>
      <c r="G466">
        <f>IF(Table3[[#This Row],[Service_Window]]="Lunch",1,0)</f>
        <v>1</v>
      </c>
    </row>
    <row r="467" spans="1:7" x14ac:dyDescent="0.2">
      <c r="A467">
        <v>45952</v>
      </c>
      <c r="B467" t="s">
        <v>13</v>
      </c>
      <c r="C467" t="s">
        <v>43</v>
      </c>
      <c r="D467">
        <v>2</v>
      </c>
      <c r="E467">
        <v>1</v>
      </c>
      <c r="F467">
        <v>3</v>
      </c>
      <c r="G467">
        <f>IF(Table3[[#This Row],[Service_Window]]="Lunch",1,0)</f>
        <v>1</v>
      </c>
    </row>
    <row r="468" spans="1:7" x14ac:dyDescent="0.2">
      <c r="A468">
        <v>45952</v>
      </c>
      <c r="B468" t="s">
        <v>13</v>
      </c>
      <c r="C468" t="s">
        <v>43</v>
      </c>
      <c r="D468">
        <v>3</v>
      </c>
      <c r="E468">
        <v>0</v>
      </c>
      <c r="F468">
        <v>3</v>
      </c>
      <c r="G468">
        <f>IF(Table3[[#This Row],[Service_Window]]="Lunch",1,0)</f>
        <v>1</v>
      </c>
    </row>
    <row r="469" spans="1:7" x14ac:dyDescent="0.2">
      <c r="A469">
        <v>45952</v>
      </c>
      <c r="B469" t="s">
        <v>13</v>
      </c>
      <c r="C469" t="s">
        <v>43</v>
      </c>
      <c r="D469">
        <v>3</v>
      </c>
      <c r="E469">
        <v>1</v>
      </c>
      <c r="F469">
        <v>3</v>
      </c>
      <c r="G469">
        <f>IF(Table3[[#This Row],[Service_Window]]="Lunch",1,0)</f>
        <v>1</v>
      </c>
    </row>
    <row r="470" spans="1:7" x14ac:dyDescent="0.2">
      <c r="A470">
        <v>45953</v>
      </c>
      <c r="B470" t="s">
        <v>62</v>
      </c>
      <c r="C470" t="s">
        <v>14</v>
      </c>
      <c r="D470">
        <v>3</v>
      </c>
      <c r="E470">
        <v>0</v>
      </c>
      <c r="F470">
        <v>4</v>
      </c>
      <c r="G470">
        <f>IF(Table3[[#This Row],[Service_Window]]="Lunch",1,0)</f>
        <v>0</v>
      </c>
    </row>
    <row r="471" spans="1:7" x14ac:dyDescent="0.2">
      <c r="A471">
        <v>45953</v>
      </c>
      <c r="B471" t="s">
        <v>62</v>
      </c>
      <c r="C471" t="s">
        <v>14</v>
      </c>
      <c r="D471">
        <v>3</v>
      </c>
      <c r="E471">
        <v>0</v>
      </c>
      <c r="F471">
        <v>4</v>
      </c>
      <c r="G471">
        <f>IF(Table3[[#This Row],[Service_Window]]="Lunch",1,0)</f>
        <v>0</v>
      </c>
    </row>
    <row r="472" spans="1:7" x14ac:dyDescent="0.2">
      <c r="A472">
        <v>45953</v>
      </c>
      <c r="B472" t="s">
        <v>62</v>
      </c>
      <c r="C472" t="s">
        <v>14</v>
      </c>
      <c r="D472">
        <v>4</v>
      </c>
      <c r="E472">
        <v>0</v>
      </c>
      <c r="F472">
        <v>4</v>
      </c>
      <c r="G472">
        <f>IF(Table3[[#This Row],[Service_Window]]="Lunch",1,0)</f>
        <v>0</v>
      </c>
    </row>
    <row r="473" spans="1:7" x14ac:dyDescent="0.2">
      <c r="A473">
        <v>45953</v>
      </c>
      <c r="B473" t="s">
        <v>62</v>
      </c>
      <c r="C473" t="s">
        <v>14</v>
      </c>
      <c r="D473">
        <v>2</v>
      </c>
      <c r="E473">
        <v>0</v>
      </c>
      <c r="F473">
        <v>4</v>
      </c>
      <c r="G473">
        <f>IF(Table3[[#This Row],[Service_Window]]="Lunch",1,0)</f>
        <v>0</v>
      </c>
    </row>
    <row r="474" spans="1:7" x14ac:dyDescent="0.2">
      <c r="A474">
        <v>45953</v>
      </c>
      <c r="B474" t="s">
        <v>62</v>
      </c>
      <c r="C474" t="s">
        <v>14</v>
      </c>
      <c r="D474">
        <v>1</v>
      </c>
      <c r="E474">
        <v>0</v>
      </c>
      <c r="F474">
        <v>4</v>
      </c>
      <c r="G474">
        <f>IF(Table3[[#This Row],[Service_Window]]="Lunch",1,0)</f>
        <v>0</v>
      </c>
    </row>
    <row r="475" spans="1:7" x14ac:dyDescent="0.2">
      <c r="A475">
        <v>45953</v>
      </c>
      <c r="B475" t="s">
        <v>62</v>
      </c>
      <c r="C475" t="s">
        <v>14</v>
      </c>
      <c r="D475">
        <v>3</v>
      </c>
      <c r="E475">
        <v>0</v>
      </c>
      <c r="F475">
        <v>4</v>
      </c>
      <c r="G475">
        <f>IF(Table3[[#This Row],[Service_Window]]="Lunch",1,0)</f>
        <v>0</v>
      </c>
    </row>
    <row r="476" spans="1:7" x14ac:dyDescent="0.2">
      <c r="A476">
        <v>45953</v>
      </c>
      <c r="B476" t="s">
        <v>62</v>
      </c>
      <c r="C476" t="s">
        <v>14</v>
      </c>
      <c r="D476">
        <v>3</v>
      </c>
      <c r="E476">
        <v>0</v>
      </c>
      <c r="F476">
        <v>4</v>
      </c>
      <c r="G476">
        <f>IF(Table3[[#This Row],[Service_Window]]="Lunch",1,0)</f>
        <v>0</v>
      </c>
    </row>
    <row r="477" spans="1:7" x14ac:dyDescent="0.2">
      <c r="A477">
        <v>45953</v>
      </c>
      <c r="B477" t="s">
        <v>62</v>
      </c>
      <c r="C477" t="s">
        <v>14</v>
      </c>
      <c r="D477">
        <v>3</v>
      </c>
      <c r="E477">
        <v>0</v>
      </c>
      <c r="F477">
        <v>4</v>
      </c>
      <c r="G477">
        <f>IF(Table3[[#This Row],[Service_Window]]="Lunch",1,0)</f>
        <v>0</v>
      </c>
    </row>
    <row r="478" spans="1:7" x14ac:dyDescent="0.2">
      <c r="A478">
        <v>45953</v>
      </c>
      <c r="B478" t="s">
        <v>62</v>
      </c>
      <c r="C478" t="s">
        <v>14</v>
      </c>
      <c r="D478">
        <v>4</v>
      </c>
      <c r="E478">
        <v>0</v>
      </c>
      <c r="F478">
        <v>4</v>
      </c>
      <c r="G478">
        <f>IF(Table3[[#This Row],[Service_Window]]="Lunch",1,0)</f>
        <v>0</v>
      </c>
    </row>
    <row r="479" spans="1:7" x14ac:dyDescent="0.2">
      <c r="A479">
        <v>45953</v>
      </c>
      <c r="B479" t="s">
        <v>62</v>
      </c>
      <c r="C479" t="s">
        <v>14</v>
      </c>
      <c r="D479">
        <v>2</v>
      </c>
      <c r="E479">
        <v>0</v>
      </c>
      <c r="F479">
        <v>4</v>
      </c>
      <c r="G479">
        <f>IF(Table3[[#This Row],[Service_Window]]="Lunch",1,0)</f>
        <v>0</v>
      </c>
    </row>
    <row r="480" spans="1:7" x14ac:dyDescent="0.2">
      <c r="A480">
        <v>45953</v>
      </c>
      <c r="B480" t="s">
        <v>62</v>
      </c>
      <c r="C480" t="s">
        <v>43</v>
      </c>
      <c r="D480">
        <v>2</v>
      </c>
      <c r="E480">
        <v>1</v>
      </c>
      <c r="F480">
        <v>4</v>
      </c>
      <c r="G480">
        <f>IF(Table3[[#This Row],[Service_Window]]="Lunch",1,0)</f>
        <v>1</v>
      </c>
    </row>
    <row r="481" spans="1:7" x14ac:dyDescent="0.2">
      <c r="A481">
        <v>45953</v>
      </c>
      <c r="B481" t="s">
        <v>62</v>
      </c>
      <c r="C481" t="s">
        <v>43</v>
      </c>
      <c r="D481">
        <v>3</v>
      </c>
      <c r="E481">
        <v>0</v>
      </c>
      <c r="F481">
        <v>4</v>
      </c>
      <c r="G481">
        <f>IF(Table3[[#This Row],[Service_Window]]="Lunch",1,0)</f>
        <v>1</v>
      </c>
    </row>
    <row r="482" spans="1:7" x14ac:dyDescent="0.2">
      <c r="A482">
        <v>45953</v>
      </c>
      <c r="B482" t="s">
        <v>62</v>
      </c>
      <c r="C482" t="s">
        <v>43</v>
      </c>
      <c r="D482">
        <v>2</v>
      </c>
      <c r="E482">
        <v>0</v>
      </c>
      <c r="F482">
        <v>4</v>
      </c>
      <c r="G482">
        <f>IF(Table3[[#This Row],[Service_Window]]="Lunch",1,0)</f>
        <v>1</v>
      </c>
    </row>
    <row r="483" spans="1:7" x14ac:dyDescent="0.2">
      <c r="A483">
        <v>45953</v>
      </c>
      <c r="B483" t="s">
        <v>62</v>
      </c>
      <c r="C483" t="s">
        <v>43</v>
      </c>
      <c r="D483">
        <v>4</v>
      </c>
      <c r="E483">
        <v>1</v>
      </c>
      <c r="F483">
        <v>4</v>
      </c>
      <c r="G483">
        <f>IF(Table3[[#This Row],[Service_Window]]="Lunch",1,0)</f>
        <v>1</v>
      </c>
    </row>
    <row r="484" spans="1:7" x14ac:dyDescent="0.2">
      <c r="A484">
        <v>45953</v>
      </c>
      <c r="B484" t="s">
        <v>62</v>
      </c>
      <c r="C484" t="s">
        <v>43</v>
      </c>
      <c r="D484">
        <v>4</v>
      </c>
      <c r="E484">
        <v>1</v>
      </c>
      <c r="F484">
        <v>4</v>
      </c>
      <c r="G484">
        <f>IF(Table3[[#This Row],[Service_Window]]="Lunch",1,0)</f>
        <v>1</v>
      </c>
    </row>
    <row r="485" spans="1:7" x14ac:dyDescent="0.2">
      <c r="A485">
        <v>45953</v>
      </c>
      <c r="B485" t="s">
        <v>62</v>
      </c>
      <c r="C485" t="s">
        <v>43</v>
      </c>
      <c r="D485">
        <v>1</v>
      </c>
      <c r="E485">
        <v>0</v>
      </c>
      <c r="F485">
        <v>4</v>
      </c>
      <c r="G485">
        <f>IF(Table3[[#This Row],[Service_Window]]="Lunch",1,0)</f>
        <v>1</v>
      </c>
    </row>
    <row r="486" spans="1:7" x14ac:dyDescent="0.2">
      <c r="A486">
        <v>45953</v>
      </c>
      <c r="B486" t="s">
        <v>62</v>
      </c>
      <c r="C486" t="s">
        <v>43</v>
      </c>
      <c r="D486">
        <v>3</v>
      </c>
      <c r="E486">
        <v>1</v>
      </c>
      <c r="F486">
        <v>4</v>
      </c>
      <c r="G486">
        <f>IF(Table3[[#This Row],[Service_Window]]="Lunch",1,0)</f>
        <v>1</v>
      </c>
    </row>
    <row r="487" spans="1:7" x14ac:dyDescent="0.2">
      <c r="A487">
        <v>45953</v>
      </c>
      <c r="B487" t="s">
        <v>62</v>
      </c>
      <c r="C487" t="s">
        <v>43</v>
      </c>
      <c r="D487">
        <v>5</v>
      </c>
      <c r="E487">
        <v>1</v>
      </c>
      <c r="F487">
        <v>4</v>
      </c>
      <c r="G487">
        <f>IF(Table3[[#This Row],[Service_Window]]="Lunch",1,0)</f>
        <v>1</v>
      </c>
    </row>
    <row r="488" spans="1:7" x14ac:dyDescent="0.2">
      <c r="A488">
        <v>45953</v>
      </c>
      <c r="B488" t="s">
        <v>62</v>
      </c>
      <c r="C488" t="s">
        <v>43</v>
      </c>
      <c r="D488">
        <v>6</v>
      </c>
      <c r="E488">
        <v>1</v>
      </c>
      <c r="F488">
        <v>4</v>
      </c>
      <c r="G488">
        <f>IF(Table3[[#This Row],[Service_Window]]="Lunch",1,0)</f>
        <v>1</v>
      </c>
    </row>
    <row r="489" spans="1:7" x14ac:dyDescent="0.2">
      <c r="A489">
        <v>45953</v>
      </c>
      <c r="B489" t="s">
        <v>62</v>
      </c>
      <c r="C489" t="s">
        <v>43</v>
      </c>
      <c r="D489">
        <v>3</v>
      </c>
      <c r="E489">
        <v>1</v>
      </c>
      <c r="F489">
        <v>4</v>
      </c>
      <c r="G489">
        <f>IF(Table3[[#This Row],[Service_Window]]="Lunch",1,0)</f>
        <v>1</v>
      </c>
    </row>
    <row r="490" spans="1:7" x14ac:dyDescent="0.2">
      <c r="A490">
        <v>45953</v>
      </c>
      <c r="B490" t="s">
        <v>62</v>
      </c>
      <c r="C490" t="s">
        <v>43</v>
      </c>
      <c r="D490">
        <v>2</v>
      </c>
      <c r="E490">
        <v>0</v>
      </c>
      <c r="F490">
        <v>4</v>
      </c>
      <c r="G490">
        <f>IF(Table3[[#This Row],[Service_Window]]="Lunch",1,0)</f>
        <v>1</v>
      </c>
    </row>
    <row r="491" spans="1:7" x14ac:dyDescent="0.2">
      <c r="A491">
        <v>45953</v>
      </c>
      <c r="B491" t="s">
        <v>62</v>
      </c>
      <c r="C491" t="s">
        <v>43</v>
      </c>
      <c r="D491">
        <v>5</v>
      </c>
      <c r="E491">
        <v>1</v>
      </c>
      <c r="F491">
        <v>4</v>
      </c>
      <c r="G491">
        <f>IF(Table3[[#This Row],[Service_Window]]="Lunch",1,0)</f>
        <v>1</v>
      </c>
    </row>
    <row r="492" spans="1:7" x14ac:dyDescent="0.2">
      <c r="A492">
        <v>45954</v>
      </c>
      <c r="B492" t="s">
        <v>96</v>
      </c>
      <c r="C492" t="s">
        <v>14</v>
      </c>
      <c r="D492">
        <v>1</v>
      </c>
      <c r="E492">
        <v>0</v>
      </c>
      <c r="F492">
        <v>5</v>
      </c>
      <c r="G492">
        <f>IF(Table3[[#This Row],[Service_Window]]="Lunch",1,0)</f>
        <v>0</v>
      </c>
    </row>
    <row r="493" spans="1:7" x14ac:dyDescent="0.2">
      <c r="A493">
        <v>45954</v>
      </c>
      <c r="B493" t="s">
        <v>96</v>
      </c>
      <c r="C493" t="s">
        <v>14</v>
      </c>
      <c r="D493">
        <v>4</v>
      </c>
      <c r="E493">
        <v>0</v>
      </c>
      <c r="F493">
        <v>5</v>
      </c>
      <c r="G493">
        <f>IF(Table3[[#This Row],[Service_Window]]="Lunch",1,0)</f>
        <v>0</v>
      </c>
    </row>
    <row r="494" spans="1:7" x14ac:dyDescent="0.2">
      <c r="A494">
        <v>45954</v>
      </c>
      <c r="B494" t="s">
        <v>96</v>
      </c>
      <c r="C494" t="s">
        <v>14</v>
      </c>
      <c r="D494">
        <v>1</v>
      </c>
      <c r="E494">
        <v>0</v>
      </c>
      <c r="F494">
        <v>5</v>
      </c>
      <c r="G494">
        <f>IF(Table3[[#This Row],[Service_Window]]="Lunch",1,0)</f>
        <v>0</v>
      </c>
    </row>
    <row r="495" spans="1:7" x14ac:dyDescent="0.2">
      <c r="A495">
        <v>45954</v>
      </c>
      <c r="B495" t="s">
        <v>96</v>
      </c>
      <c r="C495" t="s">
        <v>14</v>
      </c>
      <c r="D495">
        <v>3</v>
      </c>
      <c r="E495">
        <v>0</v>
      </c>
      <c r="F495">
        <v>5</v>
      </c>
      <c r="G495">
        <f>IF(Table3[[#This Row],[Service_Window]]="Lunch",1,0)</f>
        <v>0</v>
      </c>
    </row>
    <row r="496" spans="1:7" x14ac:dyDescent="0.2">
      <c r="A496">
        <v>45954</v>
      </c>
      <c r="B496" t="s">
        <v>96</v>
      </c>
      <c r="C496" t="s">
        <v>43</v>
      </c>
      <c r="D496">
        <v>1</v>
      </c>
      <c r="E496">
        <v>1</v>
      </c>
      <c r="F496">
        <v>5</v>
      </c>
      <c r="G496">
        <f>IF(Table3[[#This Row],[Service_Window]]="Lunch",1,0)</f>
        <v>1</v>
      </c>
    </row>
    <row r="497" spans="1:7" x14ac:dyDescent="0.2">
      <c r="A497">
        <v>45954</v>
      </c>
      <c r="B497" t="s">
        <v>96</v>
      </c>
      <c r="C497" t="s">
        <v>43</v>
      </c>
      <c r="D497">
        <v>1</v>
      </c>
      <c r="E497">
        <v>0</v>
      </c>
      <c r="F497">
        <v>5</v>
      </c>
      <c r="G497">
        <f>IF(Table3[[#This Row],[Service_Window]]="Lunch",1,0)</f>
        <v>1</v>
      </c>
    </row>
    <row r="498" spans="1:7" x14ac:dyDescent="0.2">
      <c r="A498">
        <v>45954</v>
      </c>
      <c r="B498" t="s">
        <v>96</v>
      </c>
      <c r="C498" t="s">
        <v>43</v>
      </c>
      <c r="D498">
        <v>3</v>
      </c>
      <c r="E498">
        <v>0</v>
      </c>
      <c r="F498">
        <v>5</v>
      </c>
      <c r="G498">
        <f>IF(Table3[[#This Row],[Service_Window]]="Lunch",1,0)</f>
        <v>1</v>
      </c>
    </row>
    <row r="499" spans="1:7" x14ac:dyDescent="0.2">
      <c r="A499">
        <v>45954</v>
      </c>
      <c r="B499" t="s">
        <v>96</v>
      </c>
      <c r="C499" t="s">
        <v>43</v>
      </c>
      <c r="D499">
        <v>3</v>
      </c>
      <c r="E499">
        <v>1</v>
      </c>
      <c r="F499">
        <v>5</v>
      </c>
      <c r="G499">
        <f>IF(Table3[[#This Row],[Service_Window]]="Lunch",1,0)</f>
        <v>1</v>
      </c>
    </row>
    <row r="500" spans="1:7" x14ac:dyDescent="0.2">
      <c r="A500">
        <v>45954</v>
      </c>
      <c r="B500" t="s">
        <v>96</v>
      </c>
      <c r="C500" t="s">
        <v>43</v>
      </c>
      <c r="D500">
        <v>2</v>
      </c>
      <c r="E500">
        <v>1</v>
      </c>
      <c r="F500">
        <v>5</v>
      </c>
      <c r="G500">
        <f>IF(Table3[[#This Row],[Service_Window]]="Lunch",1,0)</f>
        <v>1</v>
      </c>
    </row>
    <row r="501" spans="1:7" x14ac:dyDescent="0.2">
      <c r="A501">
        <v>45954</v>
      </c>
      <c r="B501" t="s">
        <v>96</v>
      </c>
      <c r="C501" t="s">
        <v>43</v>
      </c>
      <c r="D501">
        <v>2</v>
      </c>
      <c r="E501">
        <v>1</v>
      </c>
      <c r="F501">
        <v>5</v>
      </c>
      <c r="G501">
        <f>IF(Table3[[#This Row],[Service_Window]]="Lunch",1,0)</f>
        <v>1</v>
      </c>
    </row>
    <row r="502" spans="1:7" x14ac:dyDescent="0.2">
      <c r="A502">
        <v>45954</v>
      </c>
      <c r="B502" t="s">
        <v>96</v>
      </c>
      <c r="C502" t="s">
        <v>43</v>
      </c>
      <c r="D502">
        <v>1</v>
      </c>
      <c r="E502">
        <v>1</v>
      </c>
      <c r="F502">
        <v>5</v>
      </c>
      <c r="G502">
        <f>IF(Table3[[#This Row],[Service_Window]]="Lunch",1,0)</f>
        <v>1</v>
      </c>
    </row>
    <row r="503" spans="1:7" x14ac:dyDescent="0.2">
      <c r="A503">
        <v>45954</v>
      </c>
      <c r="B503" t="s">
        <v>96</v>
      </c>
      <c r="C503" t="s">
        <v>43</v>
      </c>
      <c r="D503">
        <v>1</v>
      </c>
      <c r="E503">
        <v>0</v>
      </c>
      <c r="F503">
        <v>5</v>
      </c>
      <c r="G503">
        <f>IF(Table3[[#This Row],[Service_Window]]="Lunch",1,0)</f>
        <v>1</v>
      </c>
    </row>
    <row r="504" spans="1:7" x14ac:dyDescent="0.2">
      <c r="A504">
        <v>45954</v>
      </c>
      <c r="B504" t="s">
        <v>96</v>
      </c>
      <c r="C504" t="s">
        <v>43</v>
      </c>
      <c r="D504">
        <v>5</v>
      </c>
      <c r="E504">
        <v>1</v>
      </c>
      <c r="F504">
        <v>5</v>
      </c>
      <c r="G504">
        <f>IF(Table3[[#This Row],[Service_Window]]="Lunch",1,0)</f>
        <v>1</v>
      </c>
    </row>
    <row r="505" spans="1:7" x14ac:dyDescent="0.2">
      <c r="A505">
        <v>45954</v>
      </c>
      <c r="B505" t="s">
        <v>96</v>
      </c>
      <c r="C505" t="s">
        <v>43</v>
      </c>
      <c r="D505">
        <v>1</v>
      </c>
      <c r="E505">
        <v>0</v>
      </c>
      <c r="F505">
        <v>5</v>
      </c>
      <c r="G505">
        <f>IF(Table3[[#This Row],[Service_Window]]="Lunch",1,0)</f>
        <v>1</v>
      </c>
    </row>
    <row r="506" spans="1:7" x14ac:dyDescent="0.2">
      <c r="A506">
        <v>45955</v>
      </c>
      <c r="B506" t="s">
        <v>127</v>
      </c>
      <c r="C506" t="s">
        <v>14</v>
      </c>
      <c r="D506">
        <v>3</v>
      </c>
      <c r="E506">
        <v>0</v>
      </c>
      <c r="F506">
        <v>6</v>
      </c>
      <c r="G506">
        <f>IF(Table3[[#This Row],[Service_Window]]="Lunch",1,0)</f>
        <v>0</v>
      </c>
    </row>
    <row r="507" spans="1:7" x14ac:dyDescent="0.2">
      <c r="A507">
        <v>45955</v>
      </c>
      <c r="B507" t="s">
        <v>127</v>
      </c>
      <c r="C507" t="s">
        <v>14</v>
      </c>
      <c r="D507">
        <v>2</v>
      </c>
      <c r="E507">
        <v>0</v>
      </c>
      <c r="F507">
        <v>6</v>
      </c>
      <c r="G507">
        <f>IF(Table3[[#This Row],[Service_Window]]="Lunch",1,0)</f>
        <v>0</v>
      </c>
    </row>
    <row r="508" spans="1:7" x14ac:dyDescent="0.2">
      <c r="A508">
        <v>45955</v>
      </c>
      <c r="B508" t="s">
        <v>127</v>
      </c>
      <c r="C508" t="s">
        <v>14</v>
      </c>
      <c r="D508">
        <v>4</v>
      </c>
      <c r="E508">
        <v>0</v>
      </c>
      <c r="F508">
        <v>6</v>
      </c>
      <c r="G508">
        <f>IF(Table3[[#This Row],[Service_Window]]="Lunch",1,0)</f>
        <v>0</v>
      </c>
    </row>
    <row r="509" spans="1:7" x14ac:dyDescent="0.2">
      <c r="A509">
        <v>45955</v>
      </c>
      <c r="B509" t="s">
        <v>127</v>
      </c>
      <c r="C509" t="s">
        <v>14</v>
      </c>
      <c r="D509">
        <v>2</v>
      </c>
      <c r="E509">
        <v>0</v>
      </c>
      <c r="F509">
        <v>6</v>
      </c>
      <c r="G509">
        <f>IF(Table3[[#This Row],[Service_Window]]="Lunch",1,0)</f>
        <v>0</v>
      </c>
    </row>
    <row r="510" spans="1:7" x14ac:dyDescent="0.2">
      <c r="A510">
        <v>45955</v>
      </c>
      <c r="B510" t="s">
        <v>127</v>
      </c>
      <c r="C510" t="s">
        <v>14</v>
      </c>
      <c r="D510">
        <v>5</v>
      </c>
      <c r="E510">
        <v>0</v>
      </c>
      <c r="F510">
        <v>6</v>
      </c>
      <c r="G510">
        <f>IF(Table3[[#This Row],[Service_Window]]="Lunch",1,0)</f>
        <v>0</v>
      </c>
    </row>
    <row r="511" spans="1:7" x14ac:dyDescent="0.2">
      <c r="A511">
        <v>45955</v>
      </c>
      <c r="B511" t="s">
        <v>127</v>
      </c>
      <c r="C511" t="s">
        <v>14</v>
      </c>
      <c r="D511">
        <v>3</v>
      </c>
      <c r="E511">
        <v>0</v>
      </c>
      <c r="F511">
        <v>6</v>
      </c>
      <c r="G511">
        <f>IF(Table3[[#This Row],[Service_Window]]="Lunch",1,0)</f>
        <v>0</v>
      </c>
    </row>
    <row r="512" spans="1:7" x14ac:dyDescent="0.2">
      <c r="A512">
        <v>45955</v>
      </c>
      <c r="B512" t="s">
        <v>127</v>
      </c>
      <c r="C512" t="s">
        <v>14</v>
      </c>
      <c r="D512">
        <v>3</v>
      </c>
      <c r="E512">
        <v>0</v>
      </c>
      <c r="F512">
        <v>6</v>
      </c>
      <c r="G512">
        <f>IF(Table3[[#This Row],[Service_Window]]="Lunch",1,0)</f>
        <v>0</v>
      </c>
    </row>
    <row r="513" spans="1:7" x14ac:dyDescent="0.2">
      <c r="A513">
        <v>45955</v>
      </c>
      <c r="B513" t="s">
        <v>127</v>
      </c>
      <c r="C513" t="s">
        <v>14</v>
      </c>
      <c r="D513">
        <v>2</v>
      </c>
      <c r="E513">
        <v>0</v>
      </c>
      <c r="F513">
        <v>6</v>
      </c>
      <c r="G513">
        <f>IF(Table3[[#This Row],[Service_Window]]="Lunch",1,0)</f>
        <v>0</v>
      </c>
    </row>
    <row r="514" spans="1:7" x14ac:dyDescent="0.2">
      <c r="A514">
        <v>45955</v>
      </c>
      <c r="B514" t="s">
        <v>127</v>
      </c>
      <c r="C514" t="s">
        <v>14</v>
      </c>
      <c r="D514">
        <v>4</v>
      </c>
      <c r="E514">
        <v>0</v>
      </c>
      <c r="F514">
        <v>6</v>
      </c>
      <c r="G514">
        <f>IF(Table3[[#This Row],[Service_Window]]="Lunch",1,0)</f>
        <v>0</v>
      </c>
    </row>
    <row r="515" spans="1:7" x14ac:dyDescent="0.2">
      <c r="A515">
        <v>45955</v>
      </c>
      <c r="B515" t="s">
        <v>127</v>
      </c>
      <c r="C515" t="s">
        <v>14</v>
      </c>
      <c r="D515">
        <v>4</v>
      </c>
      <c r="E515">
        <v>0</v>
      </c>
      <c r="F515">
        <v>6</v>
      </c>
      <c r="G515">
        <f>IF(Table3[[#This Row],[Service_Window]]="Lunch",1,0)</f>
        <v>0</v>
      </c>
    </row>
    <row r="516" spans="1:7" x14ac:dyDescent="0.2">
      <c r="A516">
        <v>45955</v>
      </c>
      <c r="B516" t="s">
        <v>127</v>
      </c>
      <c r="C516" t="s">
        <v>14</v>
      </c>
      <c r="D516">
        <v>3</v>
      </c>
      <c r="E516">
        <v>0</v>
      </c>
      <c r="F516">
        <v>6</v>
      </c>
      <c r="G516">
        <f>IF(Table3[[#This Row],[Service_Window]]="Lunch",1,0)</f>
        <v>0</v>
      </c>
    </row>
    <row r="517" spans="1:7" x14ac:dyDescent="0.2">
      <c r="A517">
        <v>45955</v>
      </c>
      <c r="B517" t="s">
        <v>127</v>
      </c>
      <c r="C517" t="s">
        <v>14</v>
      </c>
      <c r="D517">
        <v>3</v>
      </c>
      <c r="E517">
        <v>0</v>
      </c>
      <c r="F517">
        <v>6</v>
      </c>
      <c r="G517">
        <f>IF(Table3[[#This Row],[Service_Window]]="Lunch",1,0)</f>
        <v>0</v>
      </c>
    </row>
    <row r="518" spans="1:7" x14ac:dyDescent="0.2">
      <c r="A518">
        <v>45955</v>
      </c>
      <c r="B518" t="s">
        <v>127</v>
      </c>
      <c r="C518" t="s">
        <v>14</v>
      </c>
      <c r="D518">
        <v>2</v>
      </c>
      <c r="E518">
        <v>0</v>
      </c>
      <c r="F518">
        <v>6</v>
      </c>
      <c r="G518">
        <f>IF(Table3[[#This Row],[Service_Window]]="Lunch",1,0)</f>
        <v>0</v>
      </c>
    </row>
    <row r="519" spans="1:7" x14ac:dyDescent="0.2">
      <c r="A519">
        <v>45955</v>
      </c>
      <c r="B519" t="s">
        <v>127</v>
      </c>
      <c r="C519" t="s">
        <v>14</v>
      </c>
      <c r="D519">
        <v>4</v>
      </c>
      <c r="E519">
        <v>0</v>
      </c>
      <c r="F519">
        <v>6</v>
      </c>
      <c r="G519">
        <f>IF(Table3[[#This Row],[Service_Window]]="Lunch",1,0)</f>
        <v>0</v>
      </c>
    </row>
    <row r="520" spans="1:7" x14ac:dyDescent="0.2">
      <c r="A520">
        <v>45955</v>
      </c>
      <c r="B520" t="s">
        <v>127</v>
      </c>
      <c r="C520" t="s">
        <v>14</v>
      </c>
      <c r="D520">
        <v>3</v>
      </c>
      <c r="E520">
        <v>0</v>
      </c>
      <c r="F520">
        <v>6</v>
      </c>
      <c r="G520">
        <f>IF(Table3[[#This Row],[Service_Window]]="Lunch",1,0)</f>
        <v>0</v>
      </c>
    </row>
    <row r="521" spans="1:7" x14ac:dyDescent="0.2">
      <c r="A521">
        <v>45955</v>
      </c>
      <c r="B521" t="s">
        <v>127</v>
      </c>
      <c r="C521" t="s">
        <v>14</v>
      </c>
      <c r="D521">
        <v>3</v>
      </c>
      <c r="E521">
        <v>0</v>
      </c>
      <c r="F521">
        <v>6</v>
      </c>
      <c r="G521">
        <f>IF(Table3[[#This Row],[Service_Window]]="Lunch",1,0)</f>
        <v>0</v>
      </c>
    </row>
    <row r="522" spans="1:7" x14ac:dyDescent="0.2">
      <c r="A522">
        <v>45955</v>
      </c>
      <c r="B522" t="s">
        <v>127</v>
      </c>
      <c r="C522" t="s">
        <v>14</v>
      </c>
      <c r="D522">
        <v>3</v>
      </c>
      <c r="E522">
        <v>0</v>
      </c>
      <c r="F522">
        <v>6</v>
      </c>
      <c r="G522">
        <f>IF(Table3[[#This Row],[Service_Window]]="Lunch",1,0)</f>
        <v>0</v>
      </c>
    </row>
    <row r="523" spans="1:7" x14ac:dyDescent="0.2">
      <c r="A523">
        <v>45955</v>
      </c>
      <c r="B523" t="s">
        <v>127</v>
      </c>
      <c r="C523" t="s">
        <v>14</v>
      </c>
      <c r="D523">
        <v>4</v>
      </c>
      <c r="E523">
        <v>0</v>
      </c>
      <c r="F523">
        <v>6</v>
      </c>
      <c r="G523">
        <f>IF(Table3[[#This Row],[Service_Window]]="Lunch",1,0)</f>
        <v>0</v>
      </c>
    </row>
    <row r="524" spans="1:7" x14ac:dyDescent="0.2">
      <c r="A524">
        <v>45955</v>
      </c>
      <c r="B524" t="s">
        <v>127</v>
      </c>
      <c r="C524" t="s">
        <v>14</v>
      </c>
      <c r="D524">
        <v>3</v>
      </c>
      <c r="E524">
        <v>0</v>
      </c>
      <c r="F524">
        <v>6</v>
      </c>
      <c r="G524">
        <f>IF(Table3[[#This Row],[Service_Window]]="Lunch",1,0)</f>
        <v>0</v>
      </c>
    </row>
    <row r="525" spans="1:7" x14ac:dyDescent="0.2">
      <c r="A525">
        <v>45955</v>
      </c>
      <c r="B525" t="s">
        <v>127</v>
      </c>
      <c r="C525" t="s">
        <v>14</v>
      </c>
      <c r="D525">
        <v>3</v>
      </c>
      <c r="E525">
        <v>0</v>
      </c>
      <c r="F525">
        <v>6</v>
      </c>
      <c r="G525">
        <f>IF(Table3[[#This Row],[Service_Window]]="Lunch",1,0)</f>
        <v>0</v>
      </c>
    </row>
    <row r="526" spans="1:7" x14ac:dyDescent="0.2">
      <c r="A526">
        <v>45955</v>
      </c>
      <c r="B526" t="s">
        <v>127</v>
      </c>
      <c r="C526" t="s">
        <v>14</v>
      </c>
      <c r="D526">
        <v>1</v>
      </c>
      <c r="E526">
        <v>0</v>
      </c>
      <c r="F526">
        <v>6</v>
      </c>
      <c r="G526">
        <f>IF(Table3[[#This Row],[Service_Window]]="Lunch",1,0)</f>
        <v>0</v>
      </c>
    </row>
    <row r="527" spans="1:7" x14ac:dyDescent="0.2">
      <c r="A527">
        <v>45955</v>
      </c>
      <c r="B527" t="s">
        <v>127</v>
      </c>
      <c r="C527" t="s">
        <v>14</v>
      </c>
      <c r="D527">
        <v>5</v>
      </c>
      <c r="E527">
        <v>0</v>
      </c>
      <c r="F527">
        <v>6</v>
      </c>
      <c r="G527">
        <f>IF(Table3[[#This Row],[Service_Window]]="Lunch",1,0)</f>
        <v>0</v>
      </c>
    </row>
    <row r="528" spans="1:7" x14ac:dyDescent="0.2">
      <c r="A528">
        <v>45955</v>
      </c>
      <c r="B528" t="s">
        <v>127</v>
      </c>
      <c r="C528" t="s">
        <v>14</v>
      </c>
      <c r="D528">
        <v>6</v>
      </c>
      <c r="E528">
        <v>0</v>
      </c>
      <c r="F528">
        <v>6</v>
      </c>
      <c r="G528">
        <f>IF(Table3[[#This Row],[Service_Window]]="Lunch",1,0)</f>
        <v>0</v>
      </c>
    </row>
    <row r="529" spans="1:7" x14ac:dyDescent="0.2">
      <c r="A529">
        <v>45955</v>
      </c>
      <c r="B529" t="s">
        <v>127</v>
      </c>
      <c r="C529" t="s">
        <v>43</v>
      </c>
      <c r="D529">
        <v>2</v>
      </c>
      <c r="E529">
        <v>0</v>
      </c>
      <c r="F529">
        <v>6</v>
      </c>
      <c r="G529">
        <f>IF(Table3[[#This Row],[Service_Window]]="Lunch",1,0)</f>
        <v>1</v>
      </c>
    </row>
    <row r="530" spans="1:7" x14ac:dyDescent="0.2">
      <c r="A530">
        <v>45955</v>
      </c>
      <c r="B530" t="s">
        <v>127</v>
      </c>
      <c r="C530" t="s">
        <v>43</v>
      </c>
      <c r="D530">
        <v>2</v>
      </c>
      <c r="E530">
        <v>0</v>
      </c>
      <c r="F530">
        <v>6</v>
      </c>
      <c r="G530">
        <f>IF(Table3[[#This Row],[Service_Window]]="Lunch",1,0)</f>
        <v>1</v>
      </c>
    </row>
    <row r="531" spans="1:7" x14ac:dyDescent="0.2">
      <c r="A531">
        <v>45955</v>
      </c>
      <c r="B531" t="s">
        <v>127</v>
      </c>
      <c r="C531" t="s">
        <v>43</v>
      </c>
      <c r="D531">
        <v>5</v>
      </c>
      <c r="E531">
        <v>0</v>
      </c>
      <c r="F531">
        <v>6</v>
      </c>
      <c r="G531">
        <f>IF(Table3[[#This Row],[Service_Window]]="Lunch",1,0)</f>
        <v>1</v>
      </c>
    </row>
    <row r="532" spans="1:7" x14ac:dyDescent="0.2">
      <c r="A532">
        <v>45955</v>
      </c>
      <c r="B532" t="s">
        <v>127</v>
      </c>
      <c r="C532" t="s">
        <v>43</v>
      </c>
      <c r="D532">
        <v>3</v>
      </c>
      <c r="E532">
        <v>0</v>
      </c>
      <c r="F532">
        <v>6</v>
      </c>
      <c r="G532">
        <f>IF(Table3[[#This Row],[Service_Window]]="Lunch",1,0)</f>
        <v>1</v>
      </c>
    </row>
    <row r="533" spans="1:7" x14ac:dyDescent="0.2">
      <c r="A533">
        <v>45955</v>
      </c>
      <c r="B533" t="s">
        <v>127</v>
      </c>
      <c r="C533" t="s">
        <v>43</v>
      </c>
      <c r="D533">
        <v>5</v>
      </c>
      <c r="E533">
        <v>0</v>
      </c>
      <c r="F533">
        <v>6</v>
      </c>
      <c r="G533">
        <f>IF(Table3[[#This Row],[Service_Window]]="Lunch",1,0)</f>
        <v>1</v>
      </c>
    </row>
    <row r="534" spans="1:7" x14ac:dyDescent="0.2">
      <c r="A534">
        <v>45955</v>
      </c>
      <c r="B534" t="s">
        <v>127</v>
      </c>
      <c r="C534" t="s">
        <v>43</v>
      </c>
      <c r="D534">
        <v>3</v>
      </c>
      <c r="E534">
        <v>0</v>
      </c>
      <c r="F534">
        <v>6</v>
      </c>
      <c r="G534">
        <f>IF(Table3[[#This Row],[Service_Window]]="Lunch",1,0)</f>
        <v>1</v>
      </c>
    </row>
    <row r="535" spans="1:7" x14ac:dyDescent="0.2">
      <c r="A535">
        <v>45956</v>
      </c>
      <c r="B535" t="s">
        <v>171</v>
      </c>
      <c r="C535" t="s">
        <v>14</v>
      </c>
      <c r="D535">
        <v>4</v>
      </c>
      <c r="E535">
        <v>0</v>
      </c>
      <c r="F535">
        <v>7</v>
      </c>
      <c r="G535">
        <f>IF(Table3[[#This Row],[Service_Window]]="Lunch",1,0)</f>
        <v>0</v>
      </c>
    </row>
    <row r="536" spans="1:7" x14ac:dyDescent="0.2">
      <c r="A536">
        <v>45956</v>
      </c>
      <c r="B536" t="s">
        <v>171</v>
      </c>
      <c r="C536" t="s">
        <v>14</v>
      </c>
      <c r="D536">
        <v>2</v>
      </c>
      <c r="E536">
        <v>0</v>
      </c>
      <c r="F536">
        <v>7</v>
      </c>
      <c r="G536">
        <f>IF(Table3[[#This Row],[Service_Window]]="Lunch",1,0)</f>
        <v>0</v>
      </c>
    </row>
    <row r="537" spans="1:7" x14ac:dyDescent="0.2">
      <c r="A537">
        <v>45956</v>
      </c>
      <c r="B537" t="s">
        <v>171</v>
      </c>
      <c r="C537" t="s">
        <v>14</v>
      </c>
      <c r="D537">
        <v>1</v>
      </c>
      <c r="E537">
        <v>0</v>
      </c>
      <c r="F537">
        <v>7</v>
      </c>
      <c r="G537">
        <f>IF(Table3[[#This Row],[Service_Window]]="Lunch",1,0)</f>
        <v>0</v>
      </c>
    </row>
    <row r="538" spans="1:7" x14ac:dyDescent="0.2">
      <c r="A538">
        <v>45956</v>
      </c>
      <c r="B538" t="s">
        <v>171</v>
      </c>
      <c r="C538" t="s">
        <v>14</v>
      </c>
      <c r="D538">
        <v>5</v>
      </c>
      <c r="E538">
        <v>0</v>
      </c>
      <c r="F538">
        <v>7</v>
      </c>
      <c r="G538">
        <f>IF(Table3[[#This Row],[Service_Window]]="Lunch",1,0)</f>
        <v>0</v>
      </c>
    </row>
    <row r="539" spans="1:7" x14ac:dyDescent="0.2">
      <c r="A539">
        <v>45956</v>
      </c>
      <c r="B539" t="s">
        <v>171</v>
      </c>
      <c r="C539" t="s">
        <v>14</v>
      </c>
      <c r="D539">
        <v>2</v>
      </c>
      <c r="E539">
        <v>0</v>
      </c>
      <c r="F539">
        <v>7</v>
      </c>
      <c r="G539">
        <f>IF(Table3[[#This Row],[Service_Window]]="Lunch",1,0)</f>
        <v>0</v>
      </c>
    </row>
    <row r="540" spans="1:7" x14ac:dyDescent="0.2">
      <c r="A540">
        <v>45956</v>
      </c>
      <c r="B540" t="s">
        <v>171</v>
      </c>
      <c r="C540" t="s">
        <v>14</v>
      </c>
      <c r="D540">
        <v>4</v>
      </c>
      <c r="E540">
        <v>0</v>
      </c>
      <c r="F540">
        <v>7</v>
      </c>
      <c r="G540">
        <f>IF(Table3[[#This Row],[Service_Window]]="Lunch",1,0)</f>
        <v>0</v>
      </c>
    </row>
    <row r="541" spans="1:7" x14ac:dyDescent="0.2">
      <c r="A541">
        <v>45956</v>
      </c>
      <c r="B541" t="s">
        <v>171</v>
      </c>
      <c r="C541" t="s">
        <v>14</v>
      </c>
      <c r="D541">
        <v>1</v>
      </c>
      <c r="E541">
        <v>0</v>
      </c>
      <c r="F541">
        <v>7</v>
      </c>
      <c r="G541">
        <f>IF(Table3[[#This Row],[Service_Window]]="Lunch",1,0)</f>
        <v>0</v>
      </c>
    </row>
    <row r="542" spans="1:7" x14ac:dyDescent="0.2">
      <c r="A542">
        <v>45956</v>
      </c>
      <c r="B542" t="s">
        <v>171</v>
      </c>
      <c r="C542" t="s">
        <v>14</v>
      </c>
      <c r="D542">
        <v>3</v>
      </c>
      <c r="E542">
        <v>0</v>
      </c>
      <c r="F542">
        <v>7</v>
      </c>
      <c r="G542">
        <f>IF(Table3[[#This Row],[Service_Window]]="Lunch",1,0)</f>
        <v>0</v>
      </c>
    </row>
    <row r="543" spans="1:7" x14ac:dyDescent="0.2">
      <c r="A543">
        <v>45956</v>
      </c>
      <c r="B543" t="s">
        <v>171</v>
      </c>
      <c r="C543" t="s">
        <v>14</v>
      </c>
      <c r="D543">
        <v>3</v>
      </c>
      <c r="E543">
        <v>0</v>
      </c>
      <c r="F543">
        <v>7</v>
      </c>
      <c r="G543">
        <f>IF(Table3[[#This Row],[Service_Window]]="Lunch",1,0)</f>
        <v>0</v>
      </c>
    </row>
    <row r="544" spans="1:7" x14ac:dyDescent="0.2">
      <c r="A544">
        <v>45956</v>
      </c>
      <c r="B544" t="s">
        <v>171</v>
      </c>
      <c r="C544" t="s">
        <v>14</v>
      </c>
      <c r="D544">
        <v>4</v>
      </c>
      <c r="E544">
        <v>0</v>
      </c>
      <c r="F544">
        <v>7</v>
      </c>
      <c r="G544">
        <f>IF(Table3[[#This Row],[Service_Window]]="Lunch",1,0)</f>
        <v>0</v>
      </c>
    </row>
    <row r="545" spans="1:7" x14ac:dyDescent="0.2">
      <c r="A545">
        <v>45956</v>
      </c>
      <c r="B545" t="s">
        <v>171</v>
      </c>
      <c r="C545" t="s">
        <v>14</v>
      </c>
      <c r="D545">
        <v>5</v>
      </c>
      <c r="E545">
        <v>0</v>
      </c>
      <c r="F545">
        <v>7</v>
      </c>
      <c r="G545">
        <f>IF(Table3[[#This Row],[Service_Window]]="Lunch",1,0)</f>
        <v>0</v>
      </c>
    </row>
    <row r="546" spans="1:7" x14ac:dyDescent="0.2">
      <c r="A546">
        <v>45956</v>
      </c>
      <c r="B546" t="s">
        <v>171</v>
      </c>
      <c r="C546" t="s">
        <v>14</v>
      </c>
      <c r="D546">
        <v>3</v>
      </c>
      <c r="E546">
        <v>0</v>
      </c>
      <c r="F546">
        <v>7</v>
      </c>
      <c r="G546">
        <f>IF(Table3[[#This Row],[Service_Window]]="Lunch",1,0)</f>
        <v>0</v>
      </c>
    </row>
    <row r="547" spans="1:7" x14ac:dyDescent="0.2">
      <c r="A547">
        <v>45956</v>
      </c>
      <c r="B547" t="s">
        <v>171</v>
      </c>
      <c r="C547" t="s">
        <v>14</v>
      </c>
      <c r="D547">
        <v>1</v>
      </c>
      <c r="E547">
        <v>0</v>
      </c>
      <c r="F547">
        <v>7</v>
      </c>
      <c r="G547">
        <f>IF(Table3[[#This Row],[Service_Window]]="Lunch",1,0)</f>
        <v>0</v>
      </c>
    </row>
    <row r="548" spans="1:7" x14ac:dyDescent="0.2">
      <c r="A548">
        <v>45956</v>
      </c>
      <c r="B548" t="s">
        <v>171</v>
      </c>
      <c r="C548" t="s">
        <v>43</v>
      </c>
      <c r="D548">
        <v>2</v>
      </c>
      <c r="E548">
        <v>0</v>
      </c>
      <c r="F548">
        <v>7</v>
      </c>
      <c r="G548">
        <f>IF(Table3[[#This Row],[Service_Window]]="Lunch",1,0)</f>
        <v>1</v>
      </c>
    </row>
    <row r="549" spans="1:7" x14ac:dyDescent="0.2">
      <c r="A549">
        <v>45956</v>
      </c>
      <c r="B549" t="s">
        <v>171</v>
      </c>
      <c r="C549" t="s">
        <v>43</v>
      </c>
      <c r="D549">
        <v>2</v>
      </c>
      <c r="E549">
        <v>0</v>
      </c>
      <c r="F549">
        <v>7</v>
      </c>
      <c r="G549">
        <f>IF(Table3[[#This Row],[Service_Window]]="Lunch",1,0)</f>
        <v>1</v>
      </c>
    </row>
    <row r="550" spans="1:7" x14ac:dyDescent="0.2">
      <c r="A550">
        <v>45956</v>
      </c>
      <c r="B550" t="s">
        <v>171</v>
      </c>
      <c r="C550" t="s">
        <v>43</v>
      </c>
      <c r="D550">
        <v>2</v>
      </c>
      <c r="E550">
        <v>0</v>
      </c>
      <c r="F550">
        <v>7</v>
      </c>
      <c r="G550">
        <f>IF(Table3[[#This Row],[Service_Window]]="Lunch",1,0)</f>
        <v>1</v>
      </c>
    </row>
    <row r="551" spans="1:7" x14ac:dyDescent="0.2">
      <c r="A551">
        <v>45957</v>
      </c>
      <c r="B551" t="s">
        <v>213</v>
      </c>
      <c r="C551" t="s">
        <v>14</v>
      </c>
      <c r="D551">
        <v>2</v>
      </c>
      <c r="E551">
        <v>0</v>
      </c>
      <c r="F551">
        <v>1</v>
      </c>
      <c r="G551">
        <f>IF(Table3[[#This Row],[Service_Window]]="Lunch",1,0)</f>
        <v>0</v>
      </c>
    </row>
    <row r="552" spans="1:7" x14ac:dyDescent="0.2">
      <c r="A552">
        <v>45957</v>
      </c>
      <c r="B552" t="s">
        <v>213</v>
      </c>
      <c r="C552" t="s">
        <v>14</v>
      </c>
      <c r="D552">
        <v>4</v>
      </c>
      <c r="E552">
        <v>0</v>
      </c>
      <c r="F552">
        <v>1</v>
      </c>
      <c r="G552">
        <f>IF(Table3[[#This Row],[Service_Window]]="Lunch",1,0)</f>
        <v>0</v>
      </c>
    </row>
    <row r="553" spans="1:7" x14ac:dyDescent="0.2">
      <c r="A553">
        <v>45957</v>
      </c>
      <c r="B553" t="s">
        <v>213</v>
      </c>
      <c r="C553" t="s">
        <v>14</v>
      </c>
      <c r="D553">
        <v>1</v>
      </c>
      <c r="E553">
        <v>0</v>
      </c>
      <c r="F553">
        <v>1</v>
      </c>
      <c r="G553">
        <f>IF(Table3[[#This Row],[Service_Window]]="Lunch",1,0)</f>
        <v>0</v>
      </c>
    </row>
    <row r="554" spans="1:7" x14ac:dyDescent="0.2">
      <c r="A554">
        <v>45957</v>
      </c>
      <c r="B554" t="s">
        <v>213</v>
      </c>
      <c r="C554" t="s">
        <v>14</v>
      </c>
      <c r="D554">
        <v>5</v>
      </c>
      <c r="E554">
        <v>0</v>
      </c>
      <c r="F554">
        <v>1</v>
      </c>
      <c r="G554">
        <f>IF(Table3[[#This Row],[Service_Window]]="Lunch",1,0)</f>
        <v>0</v>
      </c>
    </row>
    <row r="555" spans="1:7" x14ac:dyDescent="0.2">
      <c r="A555">
        <v>45957</v>
      </c>
      <c r="B555" t="s">
        <v>213</v>
      </c>
      <c r="C555" t="s">
        <v>14</v>
      </c>
      <c r="D555">
        <v>2</v>
      </c>
      <c r="E555">
        <v>0</v>
      </c>
      <c r="F555">
        <v>1</v>
      </c>
      <c r="G555">
        <f>IF(Table3[[#This Row],[Service_Window]]="Lunch",1,0)</f>
        <v>0</v>
      </c>
    </row>
    <row r="556" spans="1:7" x14ac:dyDescent="0.2">
      <c r="A556">
        <v>45957</v>
      </c>
      <c r="B556" t="s">
        <v>213</v>
      </c>
      <c r="C556" t="s">
        <v>14</v>
      </c>
      <c r="D556">
        <v>4</v>
      </c>
      <c r="E556">
        <v>0</v>
      </c>
      <c r="F556">
        <v>1</v>
      </c>
      <c r="G556">
        <f>IF(Table3[[#This Row],[Service_Window]]="Lunch",1,0)</f>
        <v>0</v>
      </c>
    </row>
    <row r="557" spans="1:7" x14ac:dyDescent="0.2">
      <c r="A557">
        <v>45957</v>
      </c>
      <c r="B557" t="s">
        <v>213</v>
      </c>
      <c r="C557" t="s">
        <v>14</v>
      </c>
      <c r="D557">
        <v>4</v>
      </c>
      <c r="E557">
        <v>0</v>
      </c>
      <c r="F557">
        <v>1</v>
      </c>
      <c r="G557">
        <f>IF(Table3[[#This Row],[Service_Window]]="Lunch",1,0)</f>
        <v>0</v>
      </c>
    </row>
    <row r="558" spans="1:7" x14ac:dyDescent="0.2">
      <c r="A558">
        <v>45957</v>
      </c>
      <c r="B558" t="s">
        <v>213</v>
      </c>
      <c r="C558" t="s">
        <v>14</v>
      </c>
      <c r="D558">
        <v>2</v>
      </c>
      <c r="E558">
        <v>0</v>
      </c>
      <c r="F558">
        <v>1</v>
      </c>
      <c r="G558">
        <f>IF(Table3[[#This Row],[Service_Window]]="Lunch",1,0)</f>
        <v>0</v>
      </c>
    </row>
    <row r="559" spans="1:7" x14ac:dyDescent="0.2">
      <c r="A559">
        <v>45957</v>
      </c>
      <c r="B559" t="s">
        <v>213</v>
      </c>
      <c r="C559" t="s">
        <v>14</v>
      </c>
      <c r="D559">
        <v>2</v>
      </c>
      <c r="E559">
        <v>0</v>
      </c>
      <c r="F559">
        <v>1</v>
      </c>
      <c r="G559">
        <f>IF(Table3[[#This Row],[Service_Window]]="Lunch",1,0)</f>
        <v>0</v>
      </c>
    </row>
    <row r="560" spans="1:7" x14ac:dyDescent="0.2">
      <c r="A560">
        <v>45957</v>
      </c>
      <c r="B560" t="s">
        <v>213</v>
      </c>
      <c r="C560" t="s">
        <v>14</v>
      </c>
      <c r="D560">
        <v>3</v>
      </c>
      <c r="E560">
        <v>0</v>
      </c>
      <c r="F560">
        <v>1</v>
      </c>
      <c r="G560">
        <f>IF(Table3[[#This Row],[Service_Window]]="Lunch",1,0)</f>
        <v>0</v>
      </c>
    </row>
    <row r="561" spans="1:7" x14ac:dyDescent="0.2">
      <c r="A561">
        <v>45957</v>
      </c>
      <c r="B561" t="s">
        <v>213</v>
      </c>
      <c r="C561" t="s">
        <v>14</v>
      </c>
      <c r="D561">
        <v>1</v>
      </c>
      <c r="E561">
        <v>0</v>
      </c>
      <c r="F561">
        <v>1</v>
      </c>
      <c r="G561">
        <f>IF(Table3[[#This Row],[Service_Window]]="Lunch",1,0)</f>
        <v>0</v>
      </c>
    </row>
    <row r="562" spans="1:7" x14ac:dyDescent="0.2">
      <c r="A562">
        <v>45957</v>
      </c>
      <c r="B562" t="s">
        <v>213</v>
      </c>
      <c r="C562" t="s">
        <v>14</v>
      </c>
      <c r="D562">
        <v>1</v>
      </c>
      <c r="E562">
        <v>0</v>
      </c>
      <c r="F562">
        <v>1</v>
      </c>
      <c r="G562">
        <f>IF(Table3[[#This Row],[Service_Window]]="Lunch",1,0)</f>
        <v>0</v>
      </c>
    </row>
    <row r="563" spans="1:7" x14ac:dyDescent="0.2">
      <c r="A563">
        <v>45957</v>
      </c>
      <c r="B563" t="s">
        <v>213</v>
      </c>
      <c r="C563" t="s">
        <v>14</v>
      </c>
      <c r="D563">
        <v>1</v>
      </c>
      <c r="E563">
        <v>0</v>
      </c>
      <c r="F563">
        <v>1</v>
      </c>
      <c r="G563">
        <f>IF(Table3[[#This Row],[Service_Window]]="Lunch",1,0)</f>
        <v>0</v>
      </c>
    </row>
    <row r="564" spans="1:7" x14ac:dyDescent="0.2">
      <c r="A564">
        <v>45957</v>
      </c>
      <c r="B564" t="s">
        <v>213</v>
      </c>
      <c r="C564" t="s">
        <v>14</v>
      </c>
      <c r="D564">
        <v>5</v>
      </c>
      <c r="E564">
        <v>0</v>
      </c>
      <c r="F564">
        <v>1</v>
      </c>
      <c r="G564">
        <f>IF(Table3[[#This Row],[Service_Window]]="Lunch",1,0)</f>
        <v>0</v>
      </c>
    </row>
    <row r="565" spans="1:7" x14ac:dyDescent="0.2">
      <c r="A565">
        <v>45957</v>
      </c>
      <c r="B565" t="s">
        <v>213</v>
      </c>
      <c r="C565" t="s">
        <v>14</v>
      </c>
      <c r="D565">
        <v>1</v>
      </c>
      <c r="E565">
        <v>0</v>
      </c>
      <c r="F565">
        <v>1</v>
      </c>
      <c r="G565">
        <f>IF(Table3[[#This Row],[Service_Window]]="Lunch",1,0)</f>
        <v>0</v>
      </c>
    </row>
    <row r="566" spans="1:7" x14ac:dyDescent="0.2">
      <c r="A566">
        <v>45957</v>
      </c>
      <c r="B566" t="s">
        <v>213</v>
      </c>
      <c r="C566" t="s">
        <v>14</v>
      </c>
      <c r="D566">
        <v>5</v>
      </c>
      <c r="E566">
        <v>0</v>
      </c>
      <c r="F566">
        <v>1</v>
      </c>
      <c r="G566">
        <f>IF(Table3[[#This Row],[Service_Window]]="Lunch",1,0)</f>
        <v>0</v>
      </c>
    </row>
    <row r="567" spans="1:7" x14ac:dyDescent="0.2">
      <c r="A567">
        <v>45957</v>
      </c>
      <c r="B567" t="s">
        <v>213</v>
      </c>
      <c r="C567" t="s">
        <v>14</v>
      </c>
      <c r="D567">
        <v>1</v>
      </c>
      <c r="E567">
        <v>0</v>
      </c>
      <c r="F567">
        <v>1</v>
      </c>
      <c r="G567">
        <f>IF(Table3[[#This Row],[Service_Window]]="Lunch",1,0)</f>
        <v>0</v>
      </c>
    </row>
    <row r="568" spans="1:7" x14ac:dyDescent="0.2">
      <c r="A568">
        <v>45957</v>
      </c>
      <c r="B568" t="s">
        <v>213</v>
      </c>
      <c r="C568" t="s">
        <v>14</v>
      </c>
      <c r="D568">
        <v>5</v>
      </c>
      <c r="E568">
        <v>0</v>
      </c>
      <c r="F568">
        <v>1</v>
      </c>
      <c r="G568">
        <f>IF(Table3[[#This Row],[Service_Window]]="Lunch",1,0)</f>
        <v>0</v>
      </c>
    </row>
    <row r="569" spans="1:7" x14ac:dyDescent="0.2">
      <c r="A569">
        <v>45957</v>
      </c>
      <c r="B569" t="s">
        <v>213</v>
      </c>
      <c r="C569" t="s">
        <v>14</v>
      </c>
      <c r="D569">
        <v>6</v>
      </c>
      <c r="E569">
        <v>0</v>
      </c>
      <c r="F569">
        <v>1</v>
      </c>
      <c r="G569">
        <f>IF(Table3[[#This Row],[Service_Window]]="Lunch",1,0)</f>
        <v>0</v>
      </c>
    </row>
    <row r="570" spans="1:7" x14ac:dyDescent="0.2">
      <c r="A570">
        <v>45957</v>
      </c>
      <c r="B570" t="s">
        <v>213</v>
      </c>
      <c r="C570" t="s">
        <v>14</v>
      </c>
      <c r="D570">
        <v>2</v>
      </c>
      <c r="E570">
        <v>0</v>
      </c>
      <c r="F570">
        <v>1</v>
      </c>
      <c r="G570">
        <f>IF(Table3[[#This Row],[Service_Window]]="Lunch",1,0)</f>
        <v>0</v>
      </c>
    </row>
    <row r="571" spans="1:7" x14ac:dyDescent="0.2">
      <c r="A571">
        <v>45957</v>
      </c>
      <c r="B571" t="s">
        <v>213</v>
      </c>
      <c r="C571" t="s">
        <v>14</v>
      </c>
      <c r="D571">
        <v>4</v>
      </c>
      <c r="E571">
        <v>0</v>
      </c>
      <c r="F571">
        <v>1</v>
      </c>
      <c r="G571">
        <f>IF(Table3[[#This Row],[Service_Window]]="Lunch",1,0)</f>
        <v>0</v>
      </c>
    </row>
    <row r="572" spans="1:7" x14ac:dyDescent="0.2">
      <c r="A572">
        <v>45957</v>
      </c>
      <c r="B572" t="s">
        <v>213</v>
      </c>
      <c r="C572" t="s">
        <v>43</v>
      </c>
      <c r="D572">
        <v>1</v>
      </c>
      <c r="E572">
        <v>0</v>
      </c>
      <c r="F572">
        <v>1</v>
      </c>
      <c r="G572">
        <f>IF(Table3[[#This Row],[Service_Window]]="Lunch",1,0)</f>
        <v>1</v>
      </c>
    </row>
    <row r="573" spans="1:7" x14ac:dyDescent="0.2">
      <c r="A573">
        <v>45957</v>
      </c>
      <c r="B573" t="s">
        <v>213</v>
      </c>
      <c r="C573" t="s">
        <v>43</v>
      </c>
      <c r="D573">
        <v>3</v>
      </c>
      <c r="E573">
        <v>0</v>
      </c>
      <c r="F573">
        <v>1</v>
      </c>
      <c r="G573">
        <f>IF(Table3[[#This Row],[Service_Window]]="Lunch",1,0)</f>
        <v>1</v>
      </c>
    </row>
    <row r="574" spans="1:7" x14ac:dyDescent="0.2">
      <c r="A574">
        <v>45957</v>
      </c>
      <c r="B574" t="s">
        <v>213</v>
      </c>
      <c r="C574" t="s">
        <v>43</v>
      </c>
      <c r="D574">
        <v>3</v>
      </c>
      <c r="E574">
        <v>0</v>
      </c>
      <c r="F574">
        <v>1</v>
      </c>
      <c r="G574">
        <f>IF(Table3[[#This Row],[Service_Window]]="Lunch",1,0)</f>
        <v>1</v>
      </c>
    </row>
    <row r="575" spans="1:7" x14ac:dyDescent="0.2">
      <c r="A575">
        <v>45957</v>
      </c>
      <c r="B575" t="s">
        <v>213</v>
      </c>
      <c r="C575" t="s">
        <v>43</v>
      </c>
      <c r="D575">
        <v>3</v>
      </c>
      <c r="E575">
        <v>0</v>
      </c>
      <c r="F575">
        <v>1</v>
      </c>
      <c r="G575">
        <f>IF(Table3[[#This Row],[Service_Window]]="Lunch",1,0)</f>
        <v>1</v>
      </c>
    </row>
    <row r="576" spans="1:7" x14ac:dyDescent="0.2">
      <c r="A576">
        <v>45957</v>
      </c>
      <c r="B576" t="s">
        <v>213</v>
      </c>
      <c r="C576" t="s">
        <v>43</v>
      </c>
      <c r="D576">
        <v>3</v>
      </c>
      <c r="E576">
        <v>0</v>
      </c>
      <c r="F576">
        <v>1</v>
      </c>
      <c r="G576">
        <f>IF(Table3[[#This Row],[Service_Window]]="Lunch",1,0)</f>
        <v>1</v>
      </c>
    </row>
    <row r="577" spans="1:7" x14ac:dyDescent="0.2">
      <c r="A577">
        <v>45957</v>
      </c>
      <c r="B577" t="s">
        <v>213</v>
      </c>
      <c r="C577" t="s">
        <v>43</v>
      </c>
      <c r="D577">
        <v>2</v>
      </c>
      <c r="E577">
        <v>0</v>
      </c>
      <c r="F577">
        <v>1</v>
      </c>
      <c r="G577">
        <f>IF(Table3[[#This Row],[Service_Window]]="Lunch",1,0)</f>
        <v>1</v>
      </c>
    </row>
    <row r="578" spans="1:7" x14ac:dyDescent="0.2">
      <c r="A578">
        <v>45958</v>
      </c>
      <c r="B578" t="s">
        <v>250</v>
      </c>
      <c r="C578" t="s">
        <v>14</v>
      </c>
      <c r="D578">
        <v>3</v>
      </c>
      <c r="E578">
        <v>0</v>
      </c>
      <c r="F578">
        <v>2</v>
      </c>
      <c r="G578">
        <f>IF(Table3[[#This Row],[Service_Window]]="Lunch",1,0)</f>
        <v>0</v>
      </c>
    </row>
    <row r="579" spans="1:7" x14ac:dyDescent="0.2">
      <c r="A579">
        <v>45958</v>
      </c>
      <c r="B579" t="s">
        <v>250</v>
      </c>
      <c r="C579" t="s">
        <v>14</v>
      </c>
      <c r="D579">
        <v>2</v>
      </c>
      <c r="E579">
        <v>0</v>
      </c>
      <c r="F579">
        <v>2</v>
      </c>
      <c r="G579">
        <f>IF(Table3[[#This Row],[Service_Window]]="Lunch",1,0)</f>
        <v>0</v>
      </c>
    </row>
    <row r="580" spans="1:7" x14ac:dyDescent="0.2">
      <c r="A580">
        <v>45958</v>
      </c>
      <c r="B580" t="s">
        <v>250</v>
      </c>
      <c r="C580" t="s">
        <v>14</v>
      </c>
      <c r="D580">
        <v>4</v>
      </c>
      <c r="E580">
        <v>0</v>
      </c>
      <c r="F580">
        <v>2</v>
      </c>
      <c r="G580">
        <f>IF(Table3[[#This Row],[Service_Window]]="Lunch",1,0)</f>
        <v>0</v>
      </c>
    </row>
    <row r="581" spans="1:7" x14ac:dyDescent="0.2">
      <c r="A581">
        <v>45958</v>
      </c>
      <c r="B581" t="s">
        <v>250</v>
      </c>
      <c r="C581" t="s">
        <v>14</v>
      </c>
      <c r="D581">
        <v>2</v>
      </c>
      <c r="E581">
        <v>0</v>
      </c>
      <c r="F581">
        <v>2</v>
      </c>
      <c r="G581">
        <f>IF(Table3[[#This Row],[Service_Window]]="Lunch",1,0)</f>
        <v>0</v>
      </c>
    </row>
    <row r="582" spans="1:7" x14ac:dyDescent="0.2">
      <c r="A582">
        <v>45958</v>
      </c>
      <c r="B582" t="s">
        <v>250</v>
      </c>
      <c r="C582" t="s">
        <v>14</v>
      </c>
      <c r="D582">
        <v>2</v>
      </c>
      <c r="E582">
        <v>0</v>
      </c>
      <c r="F582">
        <v>2</v>
      </c>
      <c r="G582">
        <f>IF(Table3[[#This Row],[Service_Window]]="Lunch",1,0)</f>
        <v>0</v>
      </c>
    </row>
    <row r="583" spans="1:7" x14ac:dyDescent="0.2">
      <c r="A583">
        <v>45958</v>
      </c>
      <c r="B583" t="s">
        <v>250</v>
      </c>
      <c r="C583" t="s">
        <v>14</v>
      </c>
      <c r="D583">
        <v>1</v>
      </c>
      <c r="E583">
        <v>0</v>
      </c>
      <c r="F583">
        <v>2</v>
      </c>
      <c r="G583">
        <f>IF(Table3[[#This Row],[Service_Window]]="Lunch",1,0)</f>
        <v>0</v>
      </c>
    </row>
    <row r="584" spans="1:7" x14ac:dyDescent="0.2">
      <c r="A584">
        <v>45958</v>
      </c>
      <c r="B584" t="s">
        <v>250</v>
      </c>
      <c r="C584" t="s">
        <v>14</v>
      </c>
      <c r="D584">
        <v>5</v>
      </c>
      <c r="E584">
        <v>0</v>
      </c>
      <c r="F584">
        <v>2</v>
      </c>
      <c r="G584">
        <f>IF(Table3[[#This Row],[Service_Window]]="Lunch",1,0)</f>
        <v>0</v>
      </c>
    </row>
    <row r="585" spans="1:7" x14ac:dyDescent="0.2">
      <c r="A585">
        <v>45958</v>
      </c>
      <c r="B585" t="s">
        <v>250</v>
      </c>
      <c r="C585" t="s">
        <v>14</v>
      </c>
      <c r="D585">
        <v>3</v>
      </c>
      <c r="E585">
        <v>0</v>
      </c>
      <c r="F585">
        <v>2</v>
      </c>
      <c r="G585">
        <f>IF(Table3[[#This Row],[Service_Window]]="Lunch",1,0)</f>
        <v>0</v>
      </c>
    </row>
    <row r="586" spans="1:7" x14ac:dyDescent="0.2">
      <c r="A586">
        <v>45958</v>
      </c>
      <c r="B586" t="s">
        <v>250</v>
      </c>
      <c r="C586" t="s">
        <v>14</v>
      </c>
      <c r="D586">
        <v>3</v>
      </c>
      <c r="E586">
        <v>0</v>
      </c>
      <c r="F586">
        <v>2</v>
      </c>
      <c r="G586">
        <f>IF(Table3[[#This Row],[Service_Window]]="Lunch",1,0)</f>
        <v>0</v>
      </c>
    </row>
    <row r="587" spans="1:7" x14ac:dyDescent="0.2">
      <c r="A587">
        <v>45958</v>
      </c>
      <c r="B587" t="s">
        <v>250</v>
      </c>
      <c r="C587" t="s">
        <v>14</v>
      </c>
      <c r="D587">
        <v>5</v>
      </c>
      <c r="E587">
        <v>0</v>
      </c>
      <c r="F587">
        <v>2</v>
      </c>
      <c r="G587">
        <f>IF(Table3[[#This Row],[Service_Window]]="Lunch",1,0)</f>
        <v>0</v>
      </c>
    </row>
    <row r="588" spans="1:7" x14ac:dyDescent="0.2">
      <c r="A588">
        <v>45958</v>
      </c>
      <c r="B588" t="s">
        <v>250</v>
      </c>
      <c r="C588" t="s">
        <v>14</v>
      </c>
      <c r="D588">
        <v>3</v>
      </c>
      <c r="E588">
        <v>0</v>
      </c>
      <c r="F588">
        <v>2</v>
      </c>
      <c r="G588">
        <f>IF(Table3[[#This Row],[Service_Window]]="Lunch",1,0)</f>
        <v>0</v>
      </c>
    </row>
    <row r="589" spans="1:7" x14ac:dyDescent="0.2">
      <c r="A589">
        <v>45958</v>
      </c>
      <c r="B589" t="s">
        <v>250</v>
      </c>
      <c r="C589" t="s">
        <v>14</v>
      </c>
      <c r="D589">
        <v>2</v>
      </c>
      <c r="E589">
        <v>0</v>
      </c>
      <c r="F589">
        <v>2</v>
      </c>
      <c r="G589">
        <f>IF(Table3[[#This Row],[Service_Window]]="Lunch",1,0)</f>
        <v>0</v>
      </c>
    </row>
    <row r="590" spans="1:7" x14ac:dyDescent="0.2">
      <c r="A590">
        <v>45958</v>
      </c>
      <c r="B590" t="s">
        <v>250</v>
      </c>
      <c r="C590" t="s">
        <v>14</v>
      </c>
      <c r="D590">
        <v>2</v>
      </c>
      <c r="E590">
        <v>0</v>
      </c>
      <c r="F590">
        <v>2</v>
      </c>
      <c r="G590">
        <f>IF(Table3[[#This Row],[Service_Window]]="Lunch",1,0)</f>
        <v>0</v>
      </c>
    </row>
    <row r="591" spans="1:7" x14ac:dyDescent="0.2">
      <c r="A591">
        <v>45958</v>
      </c>
      <c r="B591" t="s">
        <v>250</v>
      </c>
      <c r="C591" t="s">
        <v>14</v>
      </c>
      <c r="D591">
        <v>2</v>
      </c>
      <c r="E591">
        <v>0</v>
      </c>
      <c r="F591">
        <v>2</v>
      </c>
      <c r="G591">
        <f>IF(Table3[[#This Row],[Service_Window]]="Lunch",1,0)</f>
        <v>0</v>
      </c>
    </row>
    <row r="592" spans="1:7" x14ac:dyDescent="0.2">
      <c r="A592">
        <v>45958</v>
      </c>
      <c r="B592" t="s">
        <v>250</v>
      </c>
      <c r="C592" t="s">
        <v>43</v>
      </c>
      <c r="D592">
        <v>6</v>
      </c>
      <c r="E592">
        <v>0</v>
      </c>
      <c r="F592">
        <v>2</v>
      </c>
      <c r="G592">
        <f>IF(Table3[[#This Row],[Service_Window]]="Lunch",1,0)</f>
        <v>1</v>
      </c>
    </row>
    <row r="593" spans="1:7" x14ac:dyDescent="0.2">
      <c r="A593">
        <v>45958</v>
      </c>
      <c r="B593" t="s">
        <v>250</v>
      </c>
      <c r="C593" t="s">
        <v>43</v>
      </c>
      <c r="D593">
        <v>4</v>
      </c>
      <c r="E593">
        <v>0</v>
      </c>
      <c r="F593">
        <v>2</v>
      </c>
      <c r="G593">
        <f>IF(Table3[[#This Row],[Service_Window]]="Lunch",1,0)</f>
        <v>1</v>
      </c>
    </row>
    <row r="594" spans="1:7" x14ac:dyDescent="0.2">
      <c r="A594">
        <v>45958</v>
      </c>
      <c r="B594" t="s">
        <v>250</v>
      </c>
      <c r="C594" t="s">
        <v>43</v>
      </c>
      <c r="D594">
        <v>4</v>
      </c>
      <c r="E594">
        <v>0</v>
      </c>
      <c r="F594">
        <v>2</v>
      </c>
      <c r="G594">
        <f>IF(Table3[[#This Row],[Service_Window]]="Lunch",1,0)</f>
        <v>1</v>
      </c>
    </row>
    <row r="595" spans="1:7" x14ac:dyDescent="0.2">
      <c r="A595">
        <v>45958</v>
      </c>
      <c r="B595" t="s">
        <v>250</v>
      </c>
      <c r="C595" t="s">
        <v>43</v>
      </c>
      <c r="D595">
        <v>3</v>
      </c>
      <c r="E595">
        <v>0</v>
      </c>
      <c r="F595">
        <v>2</v>
      </c>
      <c r="G595">
        <f>IF(Table3[[#This Row],[Service_Window]]="Lunch",1,0)</f>
        <v>1</v>
      </c>
    </row>
    <row r="596" spans="1:7" x14ac:dyDescent="0.2">
      <c r="A596">
        <v>45958</v>
      </c>
      <c r="B596" t="s">
        <v>250</v>
      </c>
      <c r="C596" t="s">
        <v>43</v>
      </c>
      <c r="D596">
        <v>2</v>
      </c>
      <c r="E596">
        <v>0</v>
      </c>
      <c r="F596">
        <v>2</v>
      </c>
      <c r="G596">
        <f>IF(Table3[[#This Row],[Service_Window]]="Lunch",1,0)</f>
        <v>1</v>
      </c>
    </row>
    <row r="597" spans="1:7" x14ac:dyDescent="0.2">
      <c r="A597">
        <v>45958</v>
      </c>
      <c r="B597" t="s">
        <v>250</v>
      </c>
      <c r="C597" t="s">
        <v>43</v>
      </c>
      <c r="D597">
        <v>1</v>
      </c>
      <c r="E597">
        <v>0</v>
      </c>
      <c r="F597">
        <v>2</v>
      </c>
      <c r="G597">
        <f>IF(Table3[[#This Row],[Service_Window]]="Lunch",1,0)</f>
        <v>1</v>
      </c>
    </row>
    <row r="598" spans="1:7" x14ac:dyDescent="0.2">
      <c r="A598">
        <v>45958</v>
      </c>
      <c r="B598" t="s">
        <v>250</v>
      </c>
      <c r="C598" t="s">
        <v>43</v>
      </c>
      <c r="D598">
        <v>4</v>
      </c>
      <c r="E598">
        <v>0</v>
      </c>
      <c r="F598">
        <v>2</v>
      </c>
      <c r="G598">
        <f>IF(Table3[[#This Row],[Service_Window]]="Lunch",1,0)</f>
        <v>1</v>
      </c>
    </row>
    <row r="599" spans="1:7" x14ac:dyDescent="0.2">
      <c r="A599">
        <v>45958</v>
      </c>
      <c r="B599" t="s">
        <v>250</v>
      </c>
      <c r="C599" t="s">
        <v>43</v>
      </c>
      <c r="D599">
        <v>2</v>
      </c>
      <c r="E599">
        <v>0</v>
      </c>
      <c r="F599">
        <v>2</v>
      </c>
      <c r="G599">
        <f>IF(Table3[[#This Row],[Service_Window]]="Lunch",1,0)</f>
        <v>1</v>
      </c>
    </row>
    <row r="600" spans="1:7" x14ac:dyDescent="0.2">
      <c r="A600">
        <v>45959</v>
      </c>
      <c r="B600" t="s">
        <v>13</v>
      </c>
      <c r="C600" t="s">
        <v>14</v>
      </c>
      <c r="D600">
        <v>1</v>
      </c>
      <c r="E600">
        <v>0</v>
      </c>
      <c r="F600">
        <v>3</v>
      </c>
      <c r="G600">
        <f>IF(Table3[[#This Row],[Service_Window]]="Lunch",1,0)</f>
        <v>0</v>
      </c>
    </row>
    <row r="601" spans="1:7" x14ac:dyDescent="0.2">
      <c r="A601">
        <v>45959</v>
      </c>
      <c r="B601" t="s">
        <v>13</v>
      </c>
      <c r="C601" t="s">
        <v>14</v>
      </c>
      <c r="D601">
        <v>3</v>
      </c>
      <c r="E601">
        <v>0</v>
      </c>
      <c r="F601">
        <v>3</v>
      </c>
      <c r="G601">
        <f>IF(Table3[[#This Row],[Service_Window]]="Lunch",1,0)</f>
        <v>0</v>
      </c>
    </row>
    <row r="602" spans="1:7" x14ac:dyDescent="0.2">
      <c r="A602">
        <v>45959</v>
      </c>
      <c r="B602" t="s">
        <v>13</v>
      </c>
      <c r="C602" t="s">
        <v>14</v>
      </c>
      <c r="D602">
        <v>3</v>
      </c>
      <c r="E602">
        <v>0</v>
      </c>
      <c r="F602">
        <v>3</v>
      </c>
      <c r="G602">
        <f>IF(Table3[[#This Row],[Service_Window]]="Lunch",1,0)</f>
        <v>0</v>
      </c>
    </row>
    <row r="603" spans="1:7" x14ac:dyDescent="0.2">
      <c r="A603">
        <v>45959</v>
      </c>
      <c r="B603" t="s">
        <v>13</v>
      </c>
      <c r="C603" t="s">
        <v>14</v>
      </c>
      <c r="D603">
        <v>5</v>
      </c>
      <c r="E603">
        <v>0</v>
      </c>
      <c r="F603">
        <v>3</v>
      </c>
      <c r="G603">
        <f>IF(Table3[[#This Row],[Service_Window]]="Lunch",1,0)</f>
        <v>0</v>
      </c>
    </row>
    <row r="604" spans="1:7" x14ac:dyDescent="0.2">
      <c r="A604">
        <v>45959</v>
      </c>
      <c r="B604" t="s">
        <v>13</v>
      </c>
      <c r="C604" t="s">
        <v>14</v>
      </c>
      <c r="D604">
        <v>2</v>
      </c>
      <c r="E604">
        <v>0</v>
      </c>
      <c r="F604">
        <v>3</v>
      </c>
      <c r="G604">
        <f>IF(Table3[[#This Row],[Service_Window]]="Lunch",1,0)</f>
        <v>0</v>
      </c>
    </row>
    <row r="605" spans="1:7" x14ac:dyDescent="0.2">
      <c r="A605">
        <v>45959</v>
      </c>
      <c r="B605" t="s">
        <v>13</v>
      </c>
      <c r="C605" t="s">
        <v>14</v>
      </c>
      <c r="D605">
        <v>1</v>
      </c>
      <c r="E605">
        <v>0</v>
      </c>
      <c r="F605">
        <v>3</v>
      </c>
      <c r="G605">
        <f>IF(Table3[[#This Row],[Service_Window]]="Lunch",1,0)</f>
        <v>0</v>
      </c>
    </row>
    <row r="606" spans="1:7" x14ac:dyDescent="0.2">
      <c r="A606">
        <v>45959</v>
      </c>
      <c r="B606" t="s">
        <v>13</v>
      </c>
      <c r="C606" t="s">
        <v>14</v>
      </c>
      <c r="D606">
        <v>1</v>
      </c>
      <c r="E606">
        <v>0</v>
      </c>
      <c r="F606">
        <v>3</v>
      </c>
      <c r="G606">
        <f>IF(Table3[[#This Row],[Service_Window]]="Lunch",1,0)</f>
        <v>0</v>
      </c>
    </row>
    <row r="607" spans="1:7" x14ac:dyDescent="0.2">
      <c r="A607">
        <v>45959</v>
      </c>
      <c r="B607" t="s">
        <v>13</v>
      </c>
      <c r="C607" t="s">
        <v>14</v>
      </c>
      <c r="D607">
        <v>2</v>
      </c>
      <c r="E607">
        <v>0</v>
      </c>
      <c r="F607">
        <v>3</v>
      </c>
      <c r="G607">
        <f>IF(Table3[[#This Row],[Service_Window]]="Lunch",1,0)</f>
        <v>0</v>
      </c>
    </row>
    <row r="608" spans="1:7" x14ac:dyDescent="0.2">
      <c r="A608">
        <v>45959</v>
      </c>
      <c r="B608" t="s">
        <v>13</v>
      </c>
      <c r="C608" t="s">
        <v>14</v>
      </c>
      <c r="D608">
        <v>5</v>
      </c>
      <c r="E608">
        <v>0</v>
      </c>
      <c r="F608">
        <v>3</v>
      </c>
      <c r="G608">
        <f>IF(Table3[[#This Row],[Service_Window]]="Lunch",1,0)</f>
        <v>0</v>
      </c>
    </row>
    <row r="609" spans="1:7" x14ac:dyDescent="0.2">
      <c r="A609">
        <v>45959</v>
      </c>
      <c r="B609" t="s">
        <v>13</v>
      </c>
      <c r="C609" t="s">
        <v>14</v>
      </c>
      <c r="D609">
        <v>4</v>
      </c>
      <c r="E609">
        <v>0</v>
      </c>
      <c r="F609">
        <v>3</v>
      </c>
      <c r="G609">
        <f>IF(Table3[[#This Row],[Service_Window]]="Lunch",1,0)</f>
        <v>0</v>
      </c>
    </row>
    <row r="610" spans="1:7" x14ac:dyDescent="0.2">
      <c r="A610">
        <v>45959</v>
      </c>
      <c r="B610" t="s">
        <v>13</v>
      </c>
      <c r="C610" t="s">
        <v>43</v>
      </c>
      <c r="D610">
        <v>3</v>
      </c>
      <c r="E610">
        <v>1</v>
      </c>
      <c r="F610">
        <v>3</v>
      </c>
      <c r="G610">
        <f>IF(Table3[[#This Row],[Service_Window]]="Lunch",1,0)</f>
        <v>1</v>
      </c>
    </row>
    <row r="611" spans="1:7" x14ac:dyDescent="0.2">
      <c r="A611">
        <v>45959</v>
      </c>
      <c r="B611" t="s">
        <v>13</v>
      </c>
      <c r="C611" t="s">
        <v>43</v>
      </c>
      <c r="D611">
        <v>1</v>
      </c>
      <c r="E611">
        <v>1</v>
      </c>
      <c r="F611">
        <v>3</v>
      </c>
      <c r="G611">
        <f>IF(Table3[[#This Row],[Service_Window]]="Lunch",1,0)</f>
        <v>1</v>
      </c>
    </row>
    <row r="612" spans="1:7" x14ac:dyDescent="0.2">
      <c r="A612">
        <v>45959</v>
      </c>
      <c r="B612" t="s">
        <v>13</v>
      </c>
      <c r="C612" t="s">
        <v>43</v>
      </c>
      <c r="D612">
        <v>2</v>
      </c>
      <c r="E612">
        <v>1</v>
      </c>
      <c r="F612">
        <v>3</v>
      </c>
      <c r="G612">
        <f>IF(Table3[[#This Row],[Service_Window]]="Lunch",1,0)</f>
        <v>1</v>
      </c>
    </row>
    <row r="613" spans="1:7" x14ac:dyDescent="0.2">
      <c r="A613">
        <v>45959</v>
      </c>
      <c r="B613" t="s">
        <v>13</v>
      </c>
      <c r="C613" t="s">
        <v>43</v>
      </c>
      <c r="D613">
        <v>4</v>
      </c>
      <c r="E613">
        <v>1</v>
      </c>
      <c r="F613">
        <v>3</v>
      </c>
      <c r="G613">
        <f>IF(Table3[[#This Row],[Service_Window]]="Lunch",1,0)</f>
        <v>1</v>
      </c>
    </row>
    <row r="614" spans="1:7" x14ac:dyDescent="0.2">
      <c r="A614">
        <v>45959</v>
      </c>
      <c r="B614" t="s">
        <v>13</v>
      </c>
      <c r="C614" t="s">
        <v>43</v>
      </c>
      <c r="D614">
        <v>4</v>
      </c>
      <c r="E614">
        <v>0</v>
      </c>
      <c r="F614">
        <v>3</v>
      </c>
      <c r="G614">
        <f>IF(Table3[[#This Row],[Service_Window]]="Lunch",1,0)</f>
        <v>1</v>
      </c>
    </row>
    <row r="615" spans="1:7" x14ac:dyDescent="0.2">
      <c r="A615">
        <v>45959</v>
      </c>
      <c r="B615" t="s">
        <v>13</v>
      </c>
      <c r="C615" t="s">
        <v>43</v>
      </c>
      <c r="D615">
        <v>1</v>
      </c>
      <c r="E615">
        <v>1</v>
      </c>
      <c r="F615">
        <v>3</v>
      </c>
      <c r="G615">
        <f>IF(Table3[[#This Row],[Service_Window]]="Lunch",1,0)</f>
        <v>1</v>
      </c>
    </row>
    <row r="616" spans="1:7" x14ac:dyDescent="0.2">
      <c r="A616">
        <v>45959</v>
      </c>
      <c r="B616" t="s">
        <v>13</v>
      </c>
      <c r="C616" t="s">
        <v>43</v>
      </c>
      <c r="D616">
        <v>3</v>
      </c>
      <c r="E616">
        <v>1</v>
      </c>
      <c r="F616">
        <v>3</v>
      </c>
      <c r="G616">
        <f>IF(Table3[[#This Row],[Service_Window]]="Lunch",1,0)</f>
        <v>1</v>
      </c>
    </row>
    <row r="617" spans="1:7" x14ac:dyDescent="0.2">
      <c r="A617">
        <v>45960</v>
      </c>
      <c r="B617" t="s">
        <v>62</v>
      </c>
      <c r="C617" t="s">
        <v>14</v>
      </c>
      <c r="D617">
        <v>1</v>
      </c>
      <c r="E617">
        <v>0</v>
      </c>
      <c r="F617">
        <v>4</v>
      </c>
      <c r="G617">
        <f>IF(Table3[[#This Row],[Service_Window]]="Lunch",1,0)</f>
        <v>0</v>
      </c>
    </row>
    <row r="618" spans="1:7" x14ac:dyDescent="0.2">
      <c r="A618">
        <v>45960</v>
      </c>
      <c r="B618" t="s">
        <v>62</v>
      </c>
      <c r="C618" t="s">
        <v>14</v>
      </c>
      <c r="D618">
        <v>3</v>
      </c>
      <c r="E618">
        <v>0</v>
      </c>
      <c r="F618">
        <v>4</v>
      </c>
      <c r="G618">
        <f>IF(Table3[[#This Row],[Service_Window]]="Lunch",1,0)</f>
        <v>0</v>
      </c>
    </row>
    <row r="619" spans="1:7" x14ac:dyDescent="0.2">
      <c r="A619">
        <v>45960</v>
      </c>
      <c r="B619" t="s">
        <v>62</v>
      </c>
      <c r="C619" t="s">
        <v>14</v>
      </c>
      <c r="D619">
        <v>4</v>
      </c>
      <c r="E619">
        <v>0</v>
      </c>
      <c r="F619">
        <v>4</v>
      </c>
      <c r="G619">
        <f>IF(Table3[[#This Row],[Service_Window]]="Lunch",1,0)</f>
        <v>0</v>
      </c>
    </row>
    <row r="620" spans="1:7" x14ac:dyDescent="0.2">
      <c r="A620">
        <v>45960</v>
      </c>
      <c r="B620" t="s">
        <v>62</v>
      </c>
      <c r="C620" t="s">
        <v>14</v>
      </c>
      <c r="D620">
        <v>2</v>
      </c>
      <c r="E620">
        <v>0</v>
      </c>
      <c r="F620">
        <v>4</v>
      </c>
      <c r="G620">
        <f>IF(Table3[[#This Row],[Service_Window]]="Lunch",1,0)</f>
        <v>0</v>
      </c>
    </row>
    <row r="621" spans="1:7" x14ac:dyDescent="0.2">
      <c r="A621">
        <v>45960</v>
      </c>
      <c r="B621" t="s">
        <v>62</v>
      </c>
      <c r="C621" t="s">
        <v>14</v>
      </c>
      <c r="D621">
        <v>3</v>
      </c>
      <c r="E621">
        <v>0</v>
      </c>
      <c r="F621">
        <v>4</v>
      </c>
      <c r="G621">
        <f>IF(Table3[[#This Row],[Service_Window]]="Lunch",1,0)</f>
        <v>0</v>
      </c>
    </row>
    <row r="622" spans="1:7" x14ac:dyDescent="0.2">
      <c r="A622">
        <v>45960</v>
      </c>
      <c r="B622" t="s">
        <v>62</v>
      </c>
      <c r="C622" t="s">
        <v>43</v>
      </c>
      <c r="D622">
        <v>2</v>
      </c>
      <c r="E622">
        <v>1</v>
      </c>
      <c r="F622">
        <v>4</v>
      </c>
      <c r="G622">
        <f>IF(Table3[[#This Row],[Service_Window]]="Lunch",1,0)</f>
        <v>1</v>
      </c>
    </row>
    <row r="623" spans="1:7" x14ac:dyDescent="0.2">
      <c r="A623">
        <v>45960</v>
      </c>
      <c r="B623" t="s">
        <v>62</v>
      </c>
      <c r="C623" t="s">
        <v>43</v>
      </c>
      <c r="D623">
        <v>4</v>
      </c>
      <c r="E623">
        <v>1</v>
      </c>
      <c r="F623">
        <v>4</v>
      </c>
      <c r="G623">
        <f>IF(Table3[[#This Row],[Service_Window]]="Lunch",1,0)</f>
        <v>1</v>
      </c>
    </row>
    <row r="624" spans="1:7" x14ac:dyDescent="0.2">
      <c r="A624">
        <v>45960</v>
      </c>
      <c r="B624" t="s">
        <v>62</v>
      </c>
      <c r="C624" t="s">
        <v>43</v>
      </c>
      <c r="D624">
        <v>1</v>
      </c>
      <c r="E624">
        <v>0</v>
      </c>
      <c r="F624">
        <v>4</v>
      </c>
      <c r="G624">
        <f>IF(Table3[[#This Row],[Service_Window]]="Lunch",1,0)</f>
        <v>1</v>
      </c>
    </row>
    <row r="625" spans="1:7" x14ac:dyDescent="0.2">
      <c r="A625">
        <v>45960</v>
      </c>
      <c r="B625" t="s">
        <v>62</v>
      </c>
      <c r="C625" t="s">
        <v>43</v>
      </c>
      <c r="D625">
        <v>4</v>
      </c>
      <c r="E625">
        <v>1</v>
      </c>
      <c r="F625">
        <v>4</v>
      </c>
      <c r="G625">
        <f>IF(Table3[[#This Row],[Service_Window]]="Lunch",1,0)</f>
        <v>1</v>
      </c>
    </row>
    <row r="626" spans="1:7" x14ac:dyDescent="0.2">
      <c r="A626">
        <v>45960</v>
      </c>
      <c r="B626" t="s">
        <v>62</v>
      </c>
      <c r="C626" t="s">
        <v>43</v>
      </c>
      <c r="D626">
        <v>3</v>
      </c>
      <c r="E626">
        <v>1</v>
      </c>
      <c r="F626">
        <v>4</v>
      </c>
      <c r="G626">
        <f>IF(Table3[[#This Row],[Service_Window]]="Lunch",1,0)</f>
        <v>1</v>
      </c>
    </row>
    <row r="627" spans="1:7" x14ac:dyDescent="0.2">
      <c r="A627">
        <v>45960</v>
      </c>
      <c r="B627" t="s">
        <v>62</v>
      </c>
      <c r="C627" t="s">
        <v>43</v>
      </c>
      <c r="D627">
        <v>4</v>
      </c>
      <c r="E627">
        <v>0</v>
      </c>
      <c r="F627">
        <v>4</v>
      </c>
      <c r="G627">
        <f>IF(Table3[[#This Row],[Service_Window]]="Lunch",1,0)</f>
        <v>1</v>
      </c>
    </row>
    <row r="628" spans="1:7" x14ac:dyDescent="0.2">
      <c r="A628">
        <v>45960</v>
      </c>
      <c r="B628" t="s">
        <v>62</v>
      </c>
      <c r="C628" t="s">
        <v>43</v>
      </c>
      <c r="D628">
        <v>2</v>
      </c>
      <c r="E628">
        <v>1</v>
      </c>
      <c r="F628">
        <v>4</v>
      </c>
      <c r="G628">
        <f>IF(Table3[[#This Row],[Service_Window]]="Lunch",1,0)</f>
        <v>1</v>
      </c>
    </row>
    <row r="629" spans="1:7" x14ac:dyDescent="0.2">
      <c r="A629">
        <v>45960</v>
      </c>
      <c r="B629" t="s">
        <v>62</v>
      </c>
      <c r="C629" t="s">
        <v>43</v>
      </c>
      <c r="D629">
        <v>2</v>
      </c>
      <c r="E629">
        <v>1</v>
      </c>
      <c r="F629">
        <v>4</v>
      </c>
      <c r="G629">
        <f>IF(Table3[[#This Row],[Service_Window]]="Lunch",1,0)</f>
        <v>1</v>
      </c>
    </row>
    <row r="630" spans="1:7" x14ac:dyDescent="0.2">
      <c r="A630">
        <v>45960</v>
      </c>
      <c r="B630" t="s">
        <v>62</v>
      </c>
      <c r="C630" t="s">
        <v>43</v>
      </c>
      <c r="D630">
        <v>1</v>
      </c>
      <c r="E630">
        <v>1</v>
      </c>
      <c r="F630">
        <v>4</v>
      </c>
      <c r="G630">
        <f>IF(Table3[[#This Row],[Service_Window]]="Lunch",1,0)</f>
        <v>1</v>
      </c>
    </row>
    <row r="631" spans="1:7" x14ac:dyDescent="0.2">
      <c r="A631">
        <v>45960</v>
      </c>
      <c r="B631" t="s">
        <v>62</v>
      </c>
      <c r="C631" t="s">
        <v>43</v>
      </c>
      <c r="D631">
        <v>2</v>
      </c>
      <c r="E631">
        <v>1</v>
      </c>
      <c r="F631">
        <v>4</v>
      </c>
      <c r="G631">
        <f>IF(Table3[[#This Row],[Service_Window]]="Lunch",1,0)</f>
        <v>1</v>
      </c>
    </row>
    <row r="632" spans="1:7" x14ac:dyDescent="0.2">
      <c r="A632">
        <v>45960</v>
      </c>
      <c r="B632" t="s">
        <v>62</v>
      </c>
      <c r="C632" t="s">
        <v>43</v>
      </c>
      <c r="D632">
        <v>3</v>
      </c>
      <c r="E632">
        <v>1</v>
      </c>
      <c r="F632">
        <v>4</v>
      </c>
      <c r="G632">
        <f>IF(Table3[[#This Row],[Service_Window]]="Lunch",1,0)</f>
        <v>1</v>
      </c>
    </row>
    <row r="633" spans="1:7" x14ac:dyDescent="0.2">
      <c r="A633">
        <v>45960</v>
      </c>
      <c r="B633" t="s">
        <v>62</v>
      </c>
      <c r="C633" t="s">
        <v>43</v>
      </c>
      <c r="D633">
        <v>3</v>
      </c>
      <c r="E633">
        <v>0</v>
      </c>
      <c r="F633">
        <v>4</v>
      </c>
      <c r="G633">
        <f>IF(Table3[[#This Row],[Service_Window]]="Lunch",1,0)</f>
        <v>1</v>
      </c>
    </row>
    <row r="634" spans="1:7" x14ac:dyDescent="0.2">
      <c r="A634">
        <v>45960</v>
      </c>
      <c r="B634" t="s">
        <v>62</v>
      </c>
      <c r="C634" t="s">
        <v>43</v>
      </c>
      <c r="D634">
        <v>3</v>
      </c>
      <c r="E634">
        <v>1</v>
      </c>
      <c r="F634">
        <v>4</v>
      </c>
      <c r="G634">
        <f>IF(Table3[[#This Row],[Service_Window]]="Lunch",1,0)</f>
        <v>1</v>
      </c>
    </row>
    <row r="635" spans="1:7" x14ac:dyDescent="0.2">
      <c r="A635">
        <v>45960</v>
      </c>
      <c r="B635" t="s">
        <v>62</v>
      </c>
      <c r="C635" t="s">
        <v>43</v>
      </c>
      <c r="D635">
        <v>3</v>
      </c>
      <c r="E635">
        <v>1</v>
      </c>
      <c r="F635">
        <v>4</v>
      </c>
      <c r="G635">
        <f>IF(Table3[[#This Row],[Service_Window]]="Lunch",1,0)</f>
        <v>1</v>
      </c>
    </row>
    <row r="636" spans="1:7" x14ac:dyDescent="0.2">
      <c r="A636">
        <v>45960</v>
      </c>
      <c r="B636" t="s">
        <v>62</v>
      </c>
      <c r="C636" t="s">
        <v>43</v>
      </c>
      <c r="D636">
        <v>2</v>
      </c>
      <c r="E636">
        <v>1</v>
      </c>
      <c r="F636">
        <v>4</v>
      </c>
      <c r="G636">
        <f>IF(Table3[[#This Row],[Service_Window]]="Lunch",1,0)</f>
        <v>1</v>
      </c>
    </row>
    <row r="637" spans="1:7" x14ac:dyDescent="0.2">
      <c r="A637">
        <v>45960</v>
      </c>
      <c r="B637" t="s">
        <v>62</v>
      </c>
      <c r="C637" t="s">
        <v>43</v>
      </c>
      <c r="D637">
        <v>4</v>
      </c>
      <c r="E637">
        <v>1</v>
      </c>
      <c r="F637">
        <v>4</v>
      </c>
      <c r="G637">
        <f>IF(Table3[[#This Row],[Service_Window]]="Lunch",1,0)</f>
        <v>1</v>
      </c>
    </row>
    <row r="638" spans="1:7" x14ac:dyDescent="0.2">
      <c r="A638">
        <v>45961</v>
      </c>
      <c r="B638" t="s">
        <v>96</v>
      </c>
      <c r="C638" t="s">
        <v>14</v>
      </c>
      <c r="D638">
        <v>5</v>
      </c>
      <c r="E638">
        <v>0</v>
      </c>
      <c r="F638">
        <v>5</v>
      </c>
      <c r="G638">
        <f>IF(Table3[[#This Row],[Service_Window]]="Lunch",1,0)</f>
        <v>0</v>
      </c>
    </row>
    <row r="639" spans="1:7" x14ac:dyDescent="0.2">
      <c r="A639">
        <v>45961</v>
      </c>
      <c r="B639" t="s">
        <v>96</v>
      </c>
      <c r="C639" t="s">
        <v>14</v>
      </c>
      <c r="D639">
        <v>3</v>
      </c>
      <c r="E639">
        <v>0</v>
      </c>
      <c r="F639">
        <v>5</v>
      </c>
      <c r="G639">
        <f>IF(Table3[[#This Row],[Service_Window]]="Lunch",1,0)</f>
        <v>0</v>
      </c>
    </row>
    <row r="640" spans="1:7" x14ac:dyDescent="0.2">
      <c r="A640">
        <v>45961</v>
      </c>
      <c r="B640" t="s">
        <v>96</v>
      </c>
      <c r="C640" t="s">
        <v>14</v>
      </c>
      <c r="D640">
        <v>3</v>
      </c>
      <c r="E640">
        <v>0</v>
      </c>
      <c r="F640">
        <v>5</v>
      </c>
      <c r="G640">
        <f>IF(Table3[[#This Row],[Service_Window]]="Lunch",1,0)</f>
        <v>0</v>
      </c>
    </row>
    <row r="641" spans="1:7" x14ac:dyDescent="0.2">
      <c r="A641">
        <v>45961</v>
      </c>
      <c r="B641" t="s">
        <v>96</v>
      </c>
      <c r="C641" t="s">
        <v>14</v>
      </c>
      <c r="D641">
        <v>2</v>
      </c>
      <c r="E641">
        <v>0</v>
      </c>
      <c r="F641">
        <v>5</v>
      </c>
      <c r="G641">
        <f>IF(Table3[[#This Row],[Service_Window]]="Lunch",1,0)</f>
        <v>0</v>
      </c>
    </row>
    <row r="642" spans="1:7" x14ac:dyDescent="0.2">
      <c r="A642">
        <v>45961</v>
      </c>
      <c r="B642" t="s">
        <v>96</v>
      </c>
      <c r="C642" t="s">
        <v>14</v>
      </c>
      <c r="D642">
        <v>3</v>
      </c>
      <c r="E642">
        <v>0</v>
      </c>
      <c r="F642">
        <v>5</v>
      </c>
      <c r="G642">
        <f>IF(Table3[[#This Row],[Service_Window]]="Lunch",1,0)</f>
        <v>0</v>
      </c>
    </row>
    <row r="643" spans="1:7" x14ac:dyDescent="0.2">
      <c r="A643">
        <v>45961</v>
      </c>
      <c r="B643" t="s">
        <v>96</v>
      </c>
      <c r="C643" t="s">
        <v>14</v>
      </c>
      <c r="D643">
        <v>1</v>
      </c>
      <c r="E643">
        <v>0</v>
      </c>
      <c r="F643">
        <v>5</v>
      </c>
      <c r="G643">
        <f>IF(Table3[[#This Row],[Service_Window]]="Lunch",1,0)</f>
        <v>0</v>
      </c>
    </row>
    <row r="644" spans="1:7" x14ac:dyDescent="0.2">
      <c r="A644">
        <v>45961</v>
      </c>
      <c r="B644" t="s">
        <v>96</v>
      </c>
      <c r="C644" t="s">
        <v>14</v>
      </c>
      <c r="D644">
        <v>3</v>
      </c>
      <c r="E644">
        <v>0</v>
      </c>
      <c r="F644">
        <v>5</v>
      </c>
      <c r="G644">
        <f>IF(Table3[[#This Row],[Service_Window]]="Lunch",1,0)</f>
        <v>0</v>
      </c>
    </row>
    <row r="645" spans="1:7" x14ac:dyDescent="0.2">
      <c r="A645">
        <v>45961</v>
      </c>
      <c r="B645" t="s">
        <v>96</v>
      </c>
      <c r="C645" t="s">
        <v>14</v>
      </c>
      <c r="D645">
        <v>5</v>
      </c>
      <c r="E645">
        <v>0</v>
      </c>
      <c r="F645">
        <v>5</v>
      </c>
      <c r="G645">
        <f>IF(Table3[[#This Row],[Service_Window]]="Lunch",1,0)</f>
        <v>0</v>
      </c>
    </row>
    <row r="646" spans="1:7" x14ac:dyDescent="0.2">
      <c r="A646">
        <v>45961</v>
      </c>
      <c r="B646" t="s">
        <v>96</v>
      </c>
      <c r="C646" t="s">
        <v>14</v>
      </c>
      <c r="D646">
        <v>3</v>
      </c>
      <c r="E646">
        <v>0</v>
      </c>
      <c r="F646">
        <v>5</v>
      </c>
      <c r="G646">
        <f>IF(Table3[[#This Row],[Service_Window]]="Lunch",1,0)</f>
        <v>0</v>
      </c>
    </row>
    <row r="647" spans="1:7" x14ac:dyDescent="0.2">
      <c r="A647">
        <v>45961</v>
      </c>
      <c r="B647" t="s">
        <v>96</v>
      </c>
      <c r="C647" t="s">
        <v>14</v>
      </c>
      <c r="D647">
        <v>3</v>
      </c>
      <c r="E647">
        <v>0</v>
      </c>
      <c r="F647">
        <v>5</v>
      </c>
      <c r="G647">
        <f>IF(Table3[[#This Row],[Service_Window]]="Lunch",1,0)</f>
        <v>0</v>
      </c>
    </row>
    <row r="648" spans="1:7" x14ac:dyDescent="0.2">
      <c r="A648">
        <v>45961</v>
      </c>
      <c r="B648" t="s">
        <v>96</v>
      </c>
      <c r="C648" t="s">
        <v>14</v>
      </c>
      <c r="D648">
        <v>2</v>
      </c>
      <c r="E648">
        <v>0</v>
      </c>
      <c r="F648">
        <v>5</v>
      </c>
      <c r="G648">
        <f>IF(Table3[[#This Row],[Service_Window]]="Lunch",1,0)</f>
        <v>0</v>
      </c>
    </row>
    <row r="649" spans="1:7" x14ac:dyDescent="0.2">
      <c r="A649">
        <v>45961</v>
      </c>
      <c r="B649" t="s">
        <v>96</v>
      </c>
      <c r="C649" t="s">
        <v>14</v>
      </c>
      <c r="D649">
        <v>2</v>
      </c>
      <c r="E649">
        <v>0</v>
      </c>
      <c r="F649">
        <v>5</v>
      </c>
      <c r="G649">
        <f>IF(Table3[[#This Row],[Service_Window]]="Lunch",1,0)</f>
        <v>0</v>
      </c>
    </row>
    <row r="650" spans="1:7" x14ac:dyDescent="0.2">
      <c r="A650">
        <v>45961</v>
      </c>
      <c r="B650" t="s">
        <v>96</v>
      </c>
      <c r="C650" t="s">
        <v>14</v>
      </c>
      <c r="D650">
        <v>1</v>
      </c>
      <c r="E650">
        <v>0</v>
      </c>
      <c r="F650">
        <v>5</v>
      </c>
      <c r="G650">
        <f>IF(Table3[[#This Row],[Service_Window]]="Lunch",1,0)</f>
        <v>0</v>
      </c>
    </row>
    <row r="651" spans="1:7" x14ac:dyDescent="0.2">
      <c r="A651">
        <v>45961</v>
      </c>
      <c r="B651" t="s">
        <v>96</v>
      </c>
      <c r="C651" t="s">
        <v>14</v>
      </c>
      <c r="D651">
        <v>6</v>
      </c>
      <c r="E651">
        <v>0</v>
      </c>
      <c r="F651">
        <v>5</v>
      </c>
      <c r="G651">
        <f>IF(Table3[[#This Row],[Service_Window]]="Lunch",1,0)</f>
        <v>0</v>
      </c>
    </row>
    <row r="652" spans="1:7" x14ac:dyDescent="0.2">
      <c r="A652">
        <v>45961</v>
      </c>
      <c r="B652" t="s">
        <v>96</v>
      </c>
      <c r="C652" t="s">
        <v>14</v>
      </c>
      <c r="D652">
        <v>3</v>
      </c>
      <c r="E652">
        <v>0</v>
      </c>
      <c r="F652">
        <v>5</v>
      </c>
      <c r="G652">
        <f>IF(Table3[[#This Row],[Service_Window]]="Lunch",1,0)</f>
        <v>0</v>
      </c>
    </row>
    <row r="653" spans="1:7" x14ac:dyDescent="0.2">
      <c r="A653">
        <v>45961</v>
      </c>
      <c r="B653" t="s">
        <v>96</v>
      </c>
      <c r="C653" t="s">
        <v>43</v>
      </c>
      <c r="D653">
        <v>3</v>
      </c>
      <c r="E653">
        <v>1</v>
      </c>
      <c r="F653">
        <v>5</v>
      </c>
      <c r="G653">
        <f>IF(Table3[[#This Row],[Service_Window]]="Lunch",1,0)</f>
        <v>1</v>
      </c>
    </row>
    <row r="654" spans="1:7" x14ac:dyDescent="0.2">
      <c r="A654">
        <v>45961</v>
      </c>
      <c r="B654" t="s">
        <v>96</v>
      </c>
      <c r="C654" t="s">
        <v>43</v>
      </c>
      <c r="D654">
        <v>2</v>
      </c>
      <c r="E654">
        <v>0</v>
      </c>
      <c r="F654">
        <v>5</v>
      </c>
      <c r="G654">
        <f>IF(Table3[[#This Row],[Service_Window]]="Lunch",1,0)</f>
        <v>1</v>
      </c>
    </row>
    <row r="655" spans="1:7" x14ac:dyDescent="0.2">
      <c r="A655">
        <v>45961</v>
      </c>
      <c r="B655" t="s">
        <v>96</v>
      </c>
      <c r="C655" t="s">
        <v>43</v>
      </c>
      <c r="D655">
        <v>3</v>
      </c>
      <c r="E655">
        <v>1</v>
      </c>
      <c r="F655">
        <v>5</v>
      </c>
      <c r="G655">
        <f>IF(Table3[[#This Row],[Service_Window]]="Lunch",1,0)</f>
        <v>1</v>
      </c>
    </row>
    <row r="656" spans="1:7" x14ac:dyDescent="0.2">
      <c r="A656">
        <v>45961</v>
      </c>
      <c r="B656" t="s">
        <v>96</v>
      </c>
      <c r="C656" t="s">
        <v>43</v>
      </c>
      <c r="D656">
        <v>3</v>
      </c>
      <c r="E656">
        <v>1</v>
      </c>
      <c r="F656">
        <v>5</v>
      </c>
      <c r="G656">
        <f>IF(Table3[[#This Row],[Service_Window]]="Lunch",1,0)</f>
        <v>1</v>
      </c>
    </row>
    <row r="657" spans="1:7" x14ac:dyDescent="0.2">
      <c r="A657">
        <v>45961</v>
      </c>
      <c r="B657" t="s">
        <v>96</v>
      </c>
      <c r="C657" t="s">
        <v>43</v>
      </c>
      <c r="D657">
        <v>4</v>
      </c>
      <c r="E657">
        <v>1</v>
      </c>
      <c r="F657">
        <v>5</v>
      </c>
      <c r="G657">
        <f>IF(Table3[[#This Row],[Service_Window]]="Lunch",1,0)</f>
        <v>1</v>
      </c>
    </row>
    <row r="658" spans="1:7" x14ac:dyDescent="0.2">
      <c r="A658">
        <v>45961</v>
      </c>
      <c r="B658" t="s">
        <v>96</v>
      </c>
      <c r="C658" t="s">
        <v>43</v>
      </c>
      <c r="D658">
        <v>4</v>
      </c>
      <c r="E658">
        <v>1</v>
      </c>
      <c r="F658">
        <v>5</v>
      </c>
      <c r="G658">
        <f>IF(Table3[[#This Row],[Service_Window]]="Lunch",1,0)</f>
        <v>1</v>
      </c>
    </row>
    <row r="659" spans="1:7" x14ac:dyDescent="0.2">
      <c r="A659">
        <v>45961</v>
      </c>
      <c r="B659" t="s">
        <v>96</v>
      </c>
      <c r="C659" t="s">
        <v>43</v>
      </c>
      <c r="D659">
        <v>2</v>
      </c>
      <c r="E659">
        <v>1</v>
      </c>
      <c r="F659">
        <v>5</v>
      </c>
      <c r="G659">
        <f>IF(Table3[[#This Row],[Service_Window]]="Lunch",1,0)</f>
        <v>1</v>
      </c>
    </row>
    <row r="660" spans="1:7" x14ac:dyDescent="0.2">
      <c r="A660">
        <v>45961</v>
      </c>
      <c r="B660" t="s">
        <v>96</v>
      </c>
      <c r="C660" t="s">
        <v>43</v>
      </c>
      <c r="D660">
        <v>5</v>
      </c>
      <c r="E660">
        <v>1</v>
      </c>
      <c r="F660">
        <v>5</v>
      </c>
      <c r="G660">
        <f>IF(Table3[[#This Row],[Service_Window]]="Lunch",1,0)</f>
        <v>1</v>
      </c>
    </row>
    <row r="661" spans="1:7" x14ac:dyDescent="0.2">
      <c r="A661">
        <v>45961</v>
      </c>
      <c r="B661" t="s">
        <v>96</v>
      </c>
      <c r="C661" t="s">
        <v>43</v>
      </c>
      <c r="D661">
        <v>1</v>
      </c>
      <c r="E661">
        <v>1</v>
      </c>
      <c r="F661">
        <v>5</v>
      </c>
      <c r="G661">
        <f>IF(Table3[[#This Row],[Service_Window]]="Lunch",1,0)</f>
        <v>1</v>
      </c>
    </row>
    <row r="662" spans="1:7" x14ac:dyDescent="0.2">
      <c r="A662">
        <v>45961</v>
      </c>
      <c r="B662" t="s">
        <v>96</v>
      </c>
      <c r="C662" t="s">
        <v>43</v>
      </c>
      <c r="D662">
        <v>3</v>
      </c>
      <c r="E662">
        <v>1</v>
      </c>
      <c r="F662">
        <v>5</v>
      </c>
      <c r="G662">
        <f>IF(Table3[[#This Row],[Service_Window]]="Lunch",1,0)</f>
        <v>1</v>
      </c>
    </row>
    <row r="663" spans="1:7" x14ac:dyDescent="0.2">
      <c r="A663">
        <v>45961</v>
      </c>
      <c r="B663" t="s">
        <v>96</v>
      </c>
      <c r="C663" t="s">
        <v>43</v>
      </c>
      <c r="D663">
        <v>4</v>
      </c>
      <c r="E663">
        <v>0</v>
      </c>
      <c r="F663">
        <v>5</v>
      </c>
      <c r="G663">
        <f>IF(Table3[[#This Row],[Service_Window]]="Lunch",1,0)</f>
        <v>1</v>
      </c>
    </row>
    <row r="664" spans="1:7" x14ac:dyDescent="0.2">
      <c r="A664">
        <v>45961</v>
      </c>
      <c r="B664" t="s">
        <v>96</v>
      </c>
      <c r="C664" t="s">
        <v>43</v>
      </c>
      <c r="D664">
        <v>4</v>
      </c>
      <c r="E664">
        <v>1</v>
      </c>
      <c r="F664">
        <v>5</v>
      </c>
      <c r="G664">
        <f>IF(Table3[[#This Row],[Service_Window]]="Lunch",1,0)</f>
        <v>1</v>
      </c>
    </row>
    <row r="665" spans="1:7" x14ac:dyDescent="0.2">
      <c r="A665">
        <v>45961</v>
      </c>
      <c r="B665" t="s">
        <v>96</v>
      </c>
      <c r="C665" t="s">
        <v>43</v>
      </c>
      <c r="D665">
        <v>3</v>
      </c>
      <c r="E665">
        <v>0</v>
      </c>
      <c r="F665">
        <v>5</v>
      </c>
      <c r="G665">
        <f>IF(Table3[[#This Row],[Service_Window]]="Lunch",1,0)</f>
        <v>1</v>
      </c>
    </row>
    <row r="666" spans="1:7" x14ac:dyDescent="0.2">
      <c r="A666">
        <v>45961</v>
      </c>
      <c r="B666" t="s">
        <v>96</v>
      </c>
      <c r="C666" t="s">
        <v>43</v>
      </c>
      <c r="D666">
        <v>2</v>
      </c>
      <c r="E666">
        <v>1</v>
      </c>
      <c r="F666">
        <v>5</v>
      </c>
      <c r="G666">
        <f>IF(Table3[[#This Row],[Service_Window]]="Lunch",1,0)</f>
        <v>1</v>
      </c>
    </row>
    <row r="667" spans="1:7" x14ac:dyDescent="0.2">
      <c r="A667">
        <v>45961</v>
      </c>
      <c r="B667" t="s">
        <v>96</v>
      </c>
      <c r="C667" t="s">
        <v>43</v>
      </c>
      <c r="D667">
        <v>5</v>
      </c>
      <c r="E667">
        <v>1</v>
      </c>
      <c r="F667">
        <v>5</v>
      </c>
      <c r="G667">
        <f>IF(Table3[[#This Row],[Service_Window]]="Lunch",1,0)</f>
        <v>1</v>
      </c>
    </row>
    <row r="668" spans="1:7" x14ac:dyDescent="0.2">
      <c r="A668">
        <v>45961</v>
      </c>
      <c r="B668" t="s">
        <v>96</v>
      </c>
      <c r="C668" t="s">
        <v>43</v>
      </c>
      <c r="D668">
        <v>3</v>
      </c>
      <c r="E668">
        <v>1</v>
      </c>
      <c r="F668">
        <v>5</v>
      </c>
      <c r="G668">
        <f>IF(Table3[[#This Row],[Service_Window]]="Lunch",1,0)</f>
        <v>1</v>
      </c>
    </row>
    <row r="669" spans="1:7" x14ac:dyDescent="0.2">
      <c r="A669">
        <v>45962</v>
      </c>
      <c r="B669" t="s">
        <v>127</v>
      </c>
      <c r="C669" t="s">
        <v>14</v>
      </c>
      <c r="D669">
        <v>3</v>
      </c>
      <c r="E669">
        <v>0</v>
      </c>
      <c r="F669">
        <v>6</v>
      </c>
      <c r="G669">
        <f>IF(Table3[[#This Row],[Service_Window]]="Lunch",1,0)</f>
        <v>0</v>
      </c>
    </row>
    <row r="670" spans="1:7" x14ac:dyDescent="0.2">
      <c r="A670">
        <v>45962</v>
      </c>
      <c r="B670" t="s">
        <v>127</v>
      </c>
      <c r="C670" t="s">
        <v>14</v>
      </c>
      <c r="D670">
        <v>5</v>
      </c>
      <c r="E670">
        <v>0</v>
      </c>
      <c r="F670">
        <v>6</v>
      </c>
      <c r="G670">
        <f>IF(Table3[[#This Row],[Service_Window]]="Lunch",1,0)</f>
        <v>0</v>
      </c>
    </row>
    <row r="671" spans="1:7" x14ac:dyDescent="0.2">
      <c r="A671">
        <v>45962</v>
      </c>
      <c r="B671" t="s">
        <v>127</v>
      </c>
      <c r="C671" t="s">
        <v>14</v>
      </c>
      <c r="D671">
        <v>4</v>
      </c>
      <c r="E671">
        <v>0</v>
      </c>
      <c r="F671">
        <v>6</v>
      </c>
      <c r="G671">
        <f>IF(Table3[[#This Row],[Service_Window]]="Lunch",1,0)</f>
        <v>0</v>
      </c>
    </row>
    <row r="672" spans="1:7" x14ac:dyDescent="0.2">
      <c r="A672">
        <v>45962</v>
      </c>
      <c r="B672" t="s">
        <v>127</v>
      </c>
      <c r="C672" t="s">
        <v>14</v>
      </c>
      <c r="D672">
        <v>3</v>
      </c>
      <c r="E672">
        <v>0</v>
      </c>
      <c r="F672">
        <v>6</v>
      </c>
      <c r="G672">
        <f>IF(Table3[[#This Row],[Service_Window]]="Lunch",1,0)</f>
        <v>0</v>
      </c>
    </row>
    <row r="673" spans="1:7" x14ac:dyDescent="0.2">
      <c r="A673">
        <v>45962</v>
      </c>
      <c r="B673" t="s">
        <v>127</v>
      </c>
      <c r="C673" t="s">
        <v>14</v>
      </c>
      <c r="D673">
        <v>2</v>
      </c>
      <c r="E673">
        <v>0</v>
      </c>
      <c r="F673">
        <v>6</v>
      </c>
      <c r="G673">
        <f>IF(Table3[[#This Row],[Service_Window]]="Lunch",1,0)</f>
        <v>0</v>
      </c>
    </row>
    <row r="674" spans="1:7" x14ac:dyDescent="0.2">
      <c r="A674">
        <v>45962</v>
      </c>
      <c r="B674" t="s">
        <v>127</v>
      </c>
      <c r="C674" t="s">
        <v>14</v>
      </c>
      <c r="D674">
        <v>6</v>
      </c>
      <c r="E674">
        <v>0</v>
      </c>
      <c r="F674">
        <v>6</v>
      </c>
      <c r="G674">
        <f>IF(Table3[[#This Row],[Service_Window]]="Lunch",1,0)</f>
        <v>0</v>
      </c>
    </row>
    <row r="675" spans="1:7" x14ac:dyDescent="0.2">
      <c r="A675">
        <v>45962</v>
      </c>
      <c r="B675" t="s">
        <v>127</v>
      </c>
      <c r="C675" t="s">
        <v>14</v>
      </c>
      <c r="D675">
        <v>2</v>
      </c>
      <c r="E675">
        <v>0</v>
      </c>
      <c r="F675">
        <v>6</v>
      </c>
      <c r="G675">
        <f>IF(Table3[[#This Row],[Service_Window]]="Lunch",1,0)</f>
        <v>0</v>
      </c>
    </row>
    <row r="676" spans="1:7" x14ac:dyDescent="0.2">
      <c r="A676">
        <v>45962</v>
      </c>
      <c r="B676" t="s">
        <v>127</v>
      </c>
      <c r="C676" t="s">
        <v>14</v>
      </c>
      <c r="D676">
        <v>4</v>
      </c>
      <c r="E676">
        <v>0</v>
      </c>
      <c r="F676">
        <v>6</v>
      </c>
      <c r="G676">
        <f>IF(Table3[[#This Row],[Service_Window]]="Lunch",1,0)</f>
        <v>0</v>
      </c>
    </row>
    <row r="677" spans="1:7" x14ac:dyDescent="0.2">
      <c r="A677">
        <v>45962</v>
      </c>
      <c r="B677" t="s">
        <v>127</v>
      </c>
      <c r="C677" t="s">
        <v>14</v>
      </c>
      <c r="D677">
        <v>1</v>
      </c>
      <c r="E677">
        <v>0</v>
      </c>
      <c r="F677">
        <v>6</v>
      </c>
      <c r="G677">
        <f>IF(Table3[[#This Row],[Service_Window]]="Lunch",1,0)</f>
        <v>0</v>
      </c>
    </row>
    <row r="678" spans="1:7" x14ac:dyDescent="0.2">
      <c r="A678">
        <v>45962</v>
      </c>
      <c r="B678" t="s">
        <v>127</v>
      </c>
      <c r="C678" t="s">
        <v>14</v>
      </c>
      <c r="D678">
        <v>3</v>
      </c>
      <c r="E678">
        <v>0</v>
      </c>
      <c r="F678">
        <v>6</v>
      </c>
      <c r="G678">
        <f>IF(Table3[[#This Row],[Service_Window]]="Lunch",1,0)</f>
        <v>0</v>
      </c>
    </row>
    <row r="679" spans="1:7" x14ac:dyDescent="0.2">
      <c r="A679">
        <v>45962</v>
      </c>
      <c r="B679" t="s">
        <v>127</v>
      </c>
      <c r="C679" t="s">
        <v>14</v>
      </c>
      <c r="D679">
        <v>5</v>
      </c>
      <c r="E679">
        <v>0</v>
      </c>
      <c r="F679">
        <v>6</v>
      </c>
      <c r="G679">
        <f>IF(Table3[[#This Row],[Service_Window]]="Lunch",1,0)</f>
        <v>0</v>
      </c>
    </row>
    <row r="680" spans="1:7" x14ac:dyDescent="0.2">
      <c r="A680">
        <v>45962</v>
      </c>
      <c r="B680" t="s">
        <v>127</v>
      </c>
      <c r="C680" t="s">
        <v>14</v>
      </c>
      <c r="D680">
        <v>1</v>
      </c>
      <c r="E680">
        <v>0</v>
      </c>
      <c r="F680">
        <v>6</v>
      </c>
      <c r="G680">
        <f>IF(Table3[[#This Row],[Service_Window]]="Lunch",1,0)</f>
        <v>0</v>
      </c>
    </row>
    <row r="681" spans="1:7" x14ac:dyDescent="0.2">
      <c r="A681">
        <v>45962</v>
      </c>
      <c r="B681" t="s">
        <v>127</v>
      </c>
      <c r="C681" t="s">
        <v>14</v>
      </c>
      <c r="D681">
        <v>6</v>
      </c>
      <c r="E681">
        <v>0</v>
      </c>
      <c r="F681">
        <v>6</v>
      </c>
      <c r="G681">
        <f>IF(Table3[[#This Row],[Service_Window]]="Lunch",1,0)</f>
        <v>0</v>
      </c>
    </row>
    <row r="682" spans="1:7" x14ac:dyDescent="0.2">
      <c r="A682">
        <v>45962</v>
      </c>
      <c r="B682" t="s">
        <v>127</v>
      </c>
      <c r="C682" t="s">
        <v>14</v>
      </c>
      <c r="D682">
        <v>3</v>
      </c>
      <c r="E682">
        <v>0</v>
      </c>
      <c r="F682">
        <v>6</v>
      </c>
      <c r="G682">
        <f>IF(Table3[[#This Row],[Service_Window]]="Lunch",1,0)</f>
        <v>0</v>
      </c>
    </row>
    <row r="683" spans="1:7" x14ac:dyDescent="0.2">
      <c r="A683">
        <v>45962</v>
      </c>
      <c r="B683" t="s">
        <v>127</v>
      </c>
      <c r="C683" t="s">
        <v>14</v>
      </c>
      <c r="D683">
        <v>3</v>
      </c>
      <c r="E683">
        <v>0</v>
      </c>
      <c r="F683">
        <v>6</v>
      </c>
      <c r="G683">
        <f>IF(Table3[[#This Row],[Service_Window]]="Lunch",1,0)</f>
        <v>0</v>
      </c>
    </row>
    <row r="684" spans="1:7" x14ac:dyDescent="0.2">
      <c r="A684">
        <v>45962</v>
      </c>
      <c r="B684" t="s">
        <v>127</v>
      </c>
      <c r="C684" t="s">
        <v>14</v>
      </c>
      <c r="D684">
        <v>3</v>
      </c>
      <c r="E684">
        <v>0</v>
      </c>
      <c r="F684">
        <v>6</v>
      </c>
      <c r="G684">
        <f>IF(Table3[[#This Row],[Service_Window]]="Lunch",1,0)</f>
        <v>0</v>
      </c>
    </row>
    <row r="685" spans="1:7" x14ac:dyDescent="0.2">
      <c r="A685">
        <v>45962</v>
      </c>
      <c r="B685" t="s">
        <v>127</v>
      </c>
      <c r="C685" t="s">
        <v>14</v>
      </c>
      <c r="D685">
        <v>3</v>
      </c>
      <c r="E685">
        <v>0</v>
      </c>
      <c r="F685">
        <v>6</v>
      </c>
      <c r="G685">
        <f>IF(Table3[[#This Row],[Service_Window]]="Lunch",1,0)</f>
        <v>0</v>
      </c>
    </row>
    <row r="686" spans="1:7" x14ac:dyDescent="0.2">
      <c r="A686">
        <v>45962</v>
      </c>
      <c r="B686" t="s">
        <v>127</v>
      </c>
      <c r="C686" t="s">
        <v>14</v>
      </c>
      <c r="D686">
        <v>4</v>
      </c>
      <c r="E686">
        <v>0</v>
      </c>
      <c r="F686">
        <v>6</v>
      </c>
      <c r="G686">
        <f>IF(Table3[[#This Row],[Service_Window]]="Lunch",1,0)</f>
        <v>0</v>
      </c>
    </row>
    <row r="687" spans="1:7" x14ac:dyDescent="0.2">
      <c r="A687">
        <v>45962</v>
      </c>
      <c r="B687" t="s">
        <v>127</v>
      </c>
      <c r="C687" t="s">
        <v>14</v>
      </c>
      <c r="D687">
        <v>3</v>
      </c>
      <c r="E687">
        <v>0</v>
      </c>
      <c r="F687">
        <v>6</v>
      </c>
      <c r="G687">
        <f>IF(Table3[[#This Row],[Service_Window]]="Lunch",1,0)</f>
        <v>0</v>
      </c>
    </row>
    <row r="688" spans="1:7" x14ac:dyDescent="0.2">
      <c r="A688">
        <v>45962</v>
      </c>
      <c r="B688" t="s">
        <v>127</v>
      </c>
      <c r="C688" t="s">
        <v>14</v>
      </c>
      <c r="D688">
        <v>5</v>
      </c>
      <c r="E688">
        <v>0</v>
      </c>
      <c r="F688">
        <v>6</v>
      </c>
      <c r="G688">
        <f>IF(Table3[[#This Row],[Service_Window]]="Lunch",1,0)</f>
        <v>0</v>
      </c>
    </row>
    <row r="689" spans="1:7" x14ac:dyDescent="0.2">
      <c r="A689">
        <v>45962</v>
      </c>
      <c r="B689" t="s">
        <v>127</v>
      </c>
      <c r="C689" t="s">
        <v>14</v>
      </c>
      <c r="D689">
        <v>5</v>
      </c>
      <c r="E689">
        <v>0</v>
      </c>
      <c r="F689">
        <v>6</v>
      </c>
      <c r="G689">
        <f>IF(Table3[[#This Row],[Service_Window]]="Lunch",1,0)</f>
        <v>0</v>
      </c>
    </row>
    <row r="690" spans="1:7" x14ac:dyDescent="0.2">
      <c r="A690">
        <v>45962</v>
      </c>
      <c r="B690" t="s">
        <v>127</v>
      </c>
      <c r="C690" t="s">
        <v>14</v>
      </c>
      <c r="D690">
        <v>8</v>
      </c>
      <c r="E690">
        <v>0</v>
      </c>
      <c r="F690">
        <v>6</v>
      </c>
      <c r="G690">
        <f>IF(Table3[[#This Row],[Service_Window]]="Lunch",1,0)</f>
        <v>0</v>
      </c>
    </row>
    <row r="691" spans="1:7" x14ac:dyDescent="0.2">
      <c r="A691">
        <v>45962</v>
      </c>
      <c r="B691" t="s">
        <v>127</v>
      </c>
      <c r="C691" t="s">
        <v>14</v>
      </c>
      <c r="D691">
        <v>2</v>
      </c>
      <c r="E691">
        <v>0</v>
      </c>
      <c r="F691">
        <v>6</v>
      </c>
      <c r="G691">
        <f>IF(Table3[[#This Row],[Service_Window]]="Lunch",1,0)</f>
        <v>0</v>
      </c>
    </row>
    <row r="692" spans="1:7" x14ac:dyDescent="0.2">
      <c r="A692">
        <v>45962</v>
      </c>
      <c r="B692" t="s">
        <v>127</v>
      </c>
      <c r="C692" t="s">
        <v>14</v>
      </c>
      <c r="D692">
        <v>2</v>
      </c>
      <c r="E692">
        <v>0</v>
      </c>
      <c r="F692">
        <v>6</v>
      </c>
      <c r="G692">
        <f>IF(Table3[[#This Row],[Service_Window]]="Lunch",1,0)</f>
        <v>0</v>
      </c>
    </row>
    <row r="693" spans="1:7" x14ac:dyDescent="0.2">
      <c r="A693">
        <v>45962</v>
      </c>
      <c r="B693" t="s">
        <v>127</v>
      </c>
      <c r="C693" t="s">
        <v>43</v>
      </c>
      <c r="D693">
        <v>2</v>
      </c>
      <c r="E693">
        <v>0</v>
      </c>
      <c r="F693">
        <v>6</v>
      </c>
      <c r="G693">
        <f>IF(Table3[[#This Row],[Service_Window]]="Lunch",1,0)</f>
        <v>1</v>
      </c>
    </row>
    <row r="694" spans="1:7" x14ac:dyDescent="0.2">
      <c r="A694">
        <v>45962</v>
      </c>
      <c r="B694" t="s">
        <v>127</v>
      </c>
      <c r="C694" t="s">
        <v>43</v>
      </c>
      <c r="D694">
        <v>1</v>
      </c>
      <c r="E694">
        <v>0</v>
      </c>
      <c r="F694">
        <v>6</v>
      </c>
      <c r="G694">
        <f>IF(Table3[[#This Row],[Service_Window]]="Lunch",1,0)</f>
        <v>1</v>
      </c>
    </row>
    <row r="695" spans="1:7" x14ac:dyDescent="0.2">
      <c r="A695">
        <v>45962</v>
      </c>
      <c r="B695" t="s">
        <v>127</v>
      </c>
      <c r="C695" t="s">
        <v>43</v>
      </c>
      <c r="D695">
        <v>1</v>
      </c>
      <c r="E695">
        <v>0</v>
      </c>
      <c r="F695">
        <v>6</v>
      </c>
      <c r="G695">
        <f>IF(Table3[[#This Row],[Service_Window]]="Lunch",1,0)</f>
        <v>1</v>
      </c>
    </row>
    <row r="696" spans="1:7" x14ac:dyDescent="0.2">
      <c r="A696">
        <v>45963</v>
      </c>
      <c r="B696" t="s">
        <v>171</v>
      </c>
      <c r="C696" t="s">
        <v>14</v>
      </c>
      <c r="D696">
        <v>2</v>
      </c>
      <c r="E696">
        <v>0</v>
      </c>
      <c r="F696">
        <v>7</v>
      </c>
      <c r="G696">
        <f>IF(Table3[[#This Row],[Service_Window]]="Lunch",1,0)</f>
        <v>0</v>
      </c>
    </row>
    <row r="697" spans="1:7" x14ac:dyDescent="0.2">
      <c r="A697">
        <v>45963</v>
      </c>
      <c r="B697" t="s">
        <v>171</v>
      </c>
      <c r="C697" t="s">
        <v>14</v>
      </c>
      <c r="D697">
        <v>2</v>
      </c>
      <c r="E697">
        <v>0</v>
      </c>
      <c r="F697">
        <v>7</v>
      </c>
      <c r="G697">
        <f>IF(Table3[[#This Row],[Service_Window]]="Lunch",1,0)</f>
        <v>0</v>
      </c>
    </row>
    <row r="698" spans="1:7" x14ac:dyDescent="0.2">
      <c r="A698">
        <v>45963</v>
      </c>
      <c r="B698" t="s">
        <v>171</v>
      </c>
      <c r="C698" t="s">
        <v>14</v>
      </c>
      <c r="D698">
        <v>5</v>
      </c>
      <c r="E698">
        <v>0</v>
      </c>
      <c r="F698">
        <v>7</v>
      </c>
      <c r="G698">
        <f>IF(Table3[[#This Row],[Service_Window]]="Lunch",1,0)</f>
        <v>0</v>
      </c>
    </row>
    <row r="699" spans="1:7" x14ac:dyDescent="0.2">
      <c r="A699">
        <v>45963</v>
      </c>
      <c r="B699" t="s">
        <v>171</v>
      </c>
      <c r="C699" t="s">
        <v>14</v>
      </c>
      <c r="D699">
        <v>4</v>
      </c>
      <c r="E699">
        <v>0</v>
      </c>
      <c r="F699">
        <v>7</v>
      </c>
      <c r="G699">
        <f>IF(Table3[[#This Row],[Service_Window]]="Lunch",1,0)</f>
        <v>0</v>
      </c>
    </row>
    <row r="700" spans="1:7" x14ac:dyDescent="0.2">
      <c r="A700">
        <v>45963</v>
      </c>
      <c r="B700" t="s">
        <v>171</v>
      </c>
      <c r="C700" t="s">
        <v>14</v>
      </c>
      <c r="D700">
        <v>2</v>
      </c>
      <c r="E700">
        <v>0</v>
      </c>
      <c r="F700">
        <v>7</v>
      </c>
      <c r="G700">
        <f>IF(Table3[[#This Row],[Service_Window]]="Lunch",1,0)</f>
        <v>0</v>
      </c>
    </row>
    <row r="701" spans="1:7" x14ac:dyDescent="0.2">
      <c r="A701">
        <v>45963</v>
      </c>
      <c r="B701" t="s">
        <v>171</v>
      </c>
      <c r="C701" t="s">
        <v>14</v>
      </c>
      <c r="D701">
        <v>4</v>
      </c>
      <c r="E701">
        <v>0</v>
      </c>
      <c r="F701">
        <v>7</v>
      </c>
      <c r="G701">
        <f>IF(Table3[[#This Row],[Service_Window]]="Lunch",1,0)</f>
        <v>0</v>
      </c>
    </row>
    <row r="702" spans="1:7" x14ac:dyDescent="0.2">
      <c r="A702">
        <v>45963</v>
      </c>
      <c r="B702" t="s">
        <v>171</v>
      </c>
      <c r="C702" t="s">
        <v>14</v>
      </c>
      <c r="D702">
        <v>1</v>
      </c>
      <c r="E702">
        <v>0</v>
      </c>
      <c r="F702">
        <v>7</v>
      </c>
      <c r="G702">
        <f>IF(Table3[[#This Row],[Service_Window]]="Lunch",1,0)</f>
        <v>0</v>
      </c>
    </row>
    <row r="703" spans="1:7" x14ac:dyDescent="0.2">
      <c r="A703">
        <v>45963</v>
      </c>
      <c r="B703" t="s">
        <v>171</v>
      </c>
      <c r="C703" t="s">
        <v>14</v>
      </c>
      <c r="D703">
        <v>3</v>
      </c>
      <c r="E703">
        <v>0</v>
      </c>
      <c r="F703">
        <v>7</v>
      </c>
      <c r="G703">
        <f>IF(Table3[[#This Row],[Service_Window]]="Lunch",1,0)</f>
        <v>0</v>
      </c>
    </row>
    <row r="704" spans="1:7" x14ac:dyDescent="0.2">
      <c r="A704">
        <v>45963</v>
      </c>
      <c r="B704" t="s">
        <v>171</v>
      </c>
      <c r="C704" t="s">
        <v>14</v>
      </c>
      <c r="D704">
        <v>5</v>
      </c>
      <c r="E704">
        <v>0</v>
      </c>
      <c r="F704">
        <v>7</v>
      </c>
      <c r="G704">
        <f>IF(Table3[[#This Row],[Service_Window]]="Lunch",1,0)</f>
        <v>0</v>
      </c>
    </row>
    <row r="705" spans="1:7" x14ac:dyDescent="0.2">
      <c r="A705">
        <v>45963</v>
      </c>
      <c r="B705" t="s">
        <v>171</v>
      </c>
      <c r="C705" t="s">
        <v>14</v>
      </c>
      <c r="D705">
        <v>5</v>
      </c>
      <c r="E705">
        <v>0</v>
      </c>
      <c r="F705">
        <v>7</v>
      </c>
      <c r="G705">
        <f>IF(Table3[[#This Row],[Service_Window]]="Lunch",1,0)</f>
        <v>0</v>
      </c>
    </row>
    <row r="706" spans="1:7" x14ac:dyDescent="0.2">
      <c r="A706">
        <v>45963</v>
      </c>
      <c r="B706" t="s">
        <v>171</v>
      </c>
      <c r="C706" t="s">
        <v>14</v>
      </c>
      <c r="D706">
        <v>2</v>
      </c>
      <c r="E706">
        <v>0</v>
      </c>
      <c r="F706">
        <v>7</v>
      </c>
      <c r="G706">
        <f>IF(Table3[[#This Row],[Service_Window]]="Lunch",1,0)</f>
        <v>0</v>
      </c>
    </row>
    <row r="707" spans="1:7" x14ac:dyDescent="0.2">
      <c r="A707">
        <v>45963</v>
      </c>
      <c r="B707" t="s">
        <v>171</v>
      </c>
      <c r="C707" t="s">
        <v>43</v>
      </c>
      <c r="D707">
        <v>2</v>
      </c>
      <c r="E707">
        <v>0</v>
      </c>
      <c r="F707">
        <v>7</v>
      </c>
      <c r="G707">
        <f>IF(Table3[[#This Row],[Service_Window]]="Lunch",1,0)</f>
        <v>1</v>
      </c>
    </row>
    <row r="708" spans="1:7" x14ac:dyDescent="0.2">
      <c r="A708">
        <v>45963</v>
      </c>
      <c r="B708" t="s">
        <v>171</v>
      </c>
      <c r="C708" t="s">
        <v>43</v>
      </c>
      <c r="D708">
        <v>1</v>
      </c>
      <c r="E708">
        <v>0</v>
      </c>
      <c r="F708">
        <v>7</v>
      </c>
      <c r="G708">
        <f>IF(Table3[[#This Row],[Service_Window]]="Lunch",1,0)</f>
        <v>1</v>
      </c>
    </row>
    <row r="709" spans="1:7" x14ac:dyDescent="0.2">
      <c r="A709">
        <v>45963</v>
      </c>
      <c r="B709" t="s">
        <v>171</v>
      </c>
      <c r="C709" t="s">
        <v>43</v>
      </c>
      <c r="D709">
        <v>3</v>
      </c>
      <c r="E709">
        <v>0</v>
      </c>
      <c r="F709">
        <v>7</v>
      </c>
      <c r="G709">
        <f>IF(Table3[[#This Row],[Service_Window]]="Lunch",1,0)</f>
        <v>1</v>
      </c>
    </row>
    <row r="710" spans="1:7" x14ac:dyDescent="0.2">
      <c r="A710">
        <v>45964</v>
      </c>
      <c r="B710" t="s">
        <v>213</v>
      </c>
      <c r="C710" t="s">
        <v>14</v>
      </c>
      <c r="D710">
        <v>4</v>
      </c>
      <c r="E710">
        <v>0</v>
      </c>
      <c r="F710">
        <v>1</v>
      </c>
      <c r="G710">
        <f>IF(Table3[[#This Row],[Service_Window]]="Lunch",1,0)</f>
        <v>0</v>
      </c>
    </row>
    <row r="711" spans="1:7" x14ac:dyDescent="0.2">
      <c r="A711">
        <v>45964</v>
      </c>
      <c r="B711" t="s">
        <v>213</v>
      </c>
      <c r="C711" t="s">
        <v>14</v>
      </c>
      <c r="D711">
        <v>2</v>
      </c>
      <c r="E711">
        <v>0</v>
      </c>
      <c r="F711">
        <v>1</v>
      </c>
      <c r="G711">
        <f>IF(Table3[[#This Row],[Service_Window]]="Lunch",1,0)</f>
        <v>0</v>
      </c>
    </row>
    <row r="712" spans="1:7" x14ac:dyDescent="0.2">
      <c r="A712">
        <v>45964</v>
      </c>
      <c r="B712" t="s">
        <v>213</v>
      </c>
      <c r="C712" t="s">
        <v>14</v>
      </c>
      <c r="D712">
        <v>1</v>
      </c>
      <c r="E712">
        <v>0</v>
      </c>
      <c r="F712">
        <v>1</v>
      </c>
      <c r="G712">
        <f>IF(Table3[[#This Row],[Service_Window]]="Lunch",1,0)</f>
        <v>0</v>
      </c>
    </row>
    <row r="713" spans="1:7" x14ac:dyDescent="0.2">
      <c r="A713">
        <v>45964</v>
      </c>
      <c r="B713" t="s">
        <v>213</v>
      </c>
      <c r="C713" t="s">
        <v>14</v>
      </c>
      <c r="D713">
        <v>5</v>
      </c>
      <c r="E713">
        <v>0</v>
      </c>
      <c r="F713">
        <v>1</v>
      </c>
      <c r="G713">
        <f>IF(Table3[[#This Row],[Service_Window]]="Lunch",1,0)</f>
        <v>0</v>
      </c>
    </row>
    <row r="714" spans="1:7" x14ac:dyDescent="0.2">
      <c r="A714">
        <v>45964</v>
      </c>
      <c r="B714" t="s">
        <v>213</v>
      </c>
      <c r="C714" t="s">
        <v>14</v>
      </c>
      <c r="D714">
        <v>3</v>
      </c>
      <c r="E714">
        <v>0</v>
      </c>
      <c r="F714">
        <v>1</v>
      </c>
      <c r="G714">
        <f>IF(Table3[[#This Row],[Service_Window]]="Lunch",1,0)</f>
        <v>0</v>
      </c>
    </row>
    <row r="715" spans="1:7" x14ac:dyDescent="0.2">
      <c r="A715">
        <v>45964</v>
      </c>
      <c r="B715" t="s">
        <v>213</v>
      </c>
      <c r="C715" t="s">
        <v>14</v>
      </c>
      <c r="D715">
        <v>3</v>
      </c>
      <c r="E715">
        <v>0</v>
      </c>
      <c r="F715">
        <v>1</v>
      </c>
      <c r="G715">
        <f>IF(Table3[[#This Row],[Service_Window]]="Lunch",1,0)</f>
        <v>0</v>
      </c>
    </row>
    <row r="716" spans="1:7" x14ac:dyDescent="0.2">
      <c r="A716">
        <v>45964</v>
      </c>
      <c r="B716" t="s">
        <v>213</v>
      </c>
      <c r="C716" t="s">
        <v>14</v>
      </c>
      <c r="D716">
        <v>4</v>
      </c>
      <c r="E716">
        <v>0</v>
      </c>
      <c r="F716">
        <v>1</v>
      </c>
      <c r="G716">
        <f>IF(Table3[[#This Row],[Service_Window]]="Lunch",1,0)</f>
        <v>0</v>
      </c>
    </row>
    <row r="717" spans="1:7" x14ac:dyDescent="0.2">
      <c r="A717">
        <v>45964</v>
      </c>
      <c r="B717" t="s">
        <v>213</v>
      </c>
      <c r="C717" t="s">
        <v>14</v>
      </c>
      <c r="D717">
        <v>3</v>
      </c>
      <c r="E717">
        <v>0</v>
      </c>
      <c r="F717">
        <v>1</v>
      </c>
      <c r="G717">
        <f>IF(Table3[[#This Row],[Service_Window]]="Lunch",1,0)</f>
        <v>0</v>
      </c>
    </row>
    <row r="718" spans="1:7" x14ac:dyDescent="0.2">
      <c r="A718">
        <v>45964</v>
      </c>
      <c r="B718" t="s">
        <v>213</v>
      </c>
      <c r="C718" t="s">
        <v>14</v>
      </c>
      <c r="D718">
        <v>5</v>
      </c>
      <c r="E718">
        <v>0</v>
      </c>
      <c r="F718">
        <v>1</v>
      </c>
      <c r="G718">
        <f>IF(Table3[[#This Row],[Service_Window]]="Lunch",1,0)</f>
        <v>0</v>
      </c>
    </row>
    <row r="719" spans="1:7" x14ac:dyDescent="0.2">
      <c r="A719">
        <v>45964</v>
      </c>
      <c r="B719" t="s">
        <v>213</v>
      </c>
      <c r="C719" t="s">
        <v>14</v>
      </c>
      <c r="D719">
        <v>2</v>
      </c>
      <c r="E719">
        <v>0</v>
      </c>
      <c r="F719">
        <v>1</v>
      </c>
      <c r="G719">
        <f>IF(Table3[[#This Row],[Service_Window]]="Lunch",1,0)</f>
        <v>0</v>
      </c>
    </row>
    <row r="720" spans="1:7" x14ac:dyDescent="0.2">
      <c r="A720">
        <v>45964</v>
      </c>
      <c r="B720" t="s">
        <v>213</v>
      </c>
      <c r="C720" t="s">
        <v>43</v>
      </c>
      <c r="D720">
        <v>4</v>
      </c>
      <c r="E720">
        <v>0</v>
      </c>
      <c r="F720">
        <v>1</v>
      </c>
      <c r="G720">
        <f>IF(Table3[[#This Row],[Service_Window]]="Lunch",1,0)</f>
        <v>1</v>
      </c>
    </row>
    <row r="721" spans="1:7" x14ac:dyDescent="0.2">
      <c r="A721">
        <v>45964</v>
      </c>
      <c r="B721" t="s">
        <v>213</v>
      </c>
      <c r="C721" t="s">
        <v>43</v>
      </c>
      <c r="D721">
        <v>2</v>
      </c>
      <c r="E721">
        <v>0</v>
      </c>
      <c r="F721">
        <v>1</v>
      </c>
      <c r="G721">
        <f>IF(Table3[[#This Row],[Service_Window]]="Lunch",1,0)</f>
        <v>1</v>
      </c>
    </row>
    <row r="722" spans="1:7" x14ac:dyDescent="0.2">
      <c r="A722">
        <v>45964</v>
      </c>
      <c r="B722" t="s">
        <v>213</v>
      </c>
      <c r="C722" t="s">
        <v>43</v>
      </c>
      <c r="D722">
        <v>1</v>
      </c>
      <c r="E722">
        <v>0</v>
      </c>
      <c r="F722">
        <v>1</v>
      </c>
      <c r="G722">
        <f>IF(Table3[[#This Row],[Service_Window]]="Lunch",1,0)</f>
        <v>1</v>
      </c>
    </row>
    <row r="723" spans="1:7" x14ac:dyDescent="0.2">
      <c r="A723">
        <v>45965</v>
      </c>
      <c r="B723" t="s">
        <v>250</v>
      </c>
      <c r="C723" t="s">
        <v>14</v>
      </c>
      <c r="D723">
        <v>2</v>
      </c>
      <c r="E723">
        <v>0</v>
      </c>
      <c r="F723">
        <v>2</v>
      </c>
      <c r="G723">
        <f>IF(Table3[[#This Row],[Service_Window]]="Lunch",1,0)</f>
        <v>0</v>
      </c>
    </row>
    <row r="724" spans="1:7" x14ac:dyDescent="0.2">
      <c r="A724">
        <v>45965</v>
      </c>
      <c r="B724" t="s">
        <v>250</v>
      </c>
      <c r="C724" t="s">
        <v>14</v>
      </c>
      <c r="D724">
        <v>4</v>
      </c>
      <c r="E724">
        <v>0</v>
      </c>
      <c r="F724">
        <v>2</v>
      </c>
      <c r="G724">
        <f>IF(Table3[[#This Row],[Service_Window]]="Lunch",1,0)</f>
        <v>0</v>
      </c>
    </row>
    <row r="725" spans="1:7" x14ac:dyDescent="0.2">
      <c r="A725">
        <v>45965</v>
      </c>
      <c r="B725" t="s">
        <v>250</v>
      </c>
      <c r="C725" t="s">
        <v>14</v>
      </c>
      <c r="D725">
        <v>4</v>
      </c>
      <c r="E725">
        <v>0</v>
      </c>
      <c r="F725">
        <v>2</v>
      </c>
      <c r="G725">
        <f>IF(Table3[[#This Row],[Service_Window]]="Lunch",1,0)</f>
        <v>0</v>
      </c>
    </row>
    <row r="726" spans="1:7" x14ac:dyDescent="0.2">
      <c r="A726">
        <v>45965</v>
      </c>
      <c r="B726" t="s">
        <v>250</v>
      </c>
      <c r="C726" t="s">
        <v>14</v>
      </c>
      <c r="D726">
        <v>3</v>
      </c>
      <c r="E726">
        <v>0</v>
      </c>
      <c r="F726">
        <v>2</v>
      </c>
      <c r="G726">
        <f>IF(Table3[[#This Row],[Service_Window]]="Lunch",1,0)</f>
        <v>0</v>
      </c>
    </row>
    <row r="727" spans="1:7" x14ac:dyDescent="0.2">
      <c r="A727">
        <v>45965</v>
      </c>
      <c r="B727" t="s">
        <v>250</v>
      </c>
      <c r="C727" t="s">
        <v>14</v>
      </c>
      <c r="D727">
        <v>5</v>
      </c>
      <c r="E727">
        <v>0</v>
      </c>
      <c r="F727">
        <v>2</v>
      </c>
      <c r="G727">
        <f>IF(Table3[[#This Row],[Service_Window]]="Lunch",1,0)</f>
        <v>0</v>
      </c>
    </row>
    <row r="728" spans="1:7" x14ac:dyDescent="0.2">
      <c r="A728">
        <v>45965</v>
      </c>
      <c r="B728" t="s">
        <v>250</v>
      </c>
      <c r="C728" t="s">
        <v>14</v>
      </c>
      <c r="D728">
        <v>4</v>
      </c>
      <c r="E728">
        <v>0</v>
      </c>
      <c r="F728">
        <v>2</v>
      </c>
      <c r="G728">
        <f>IF(Table3[[#This Row],[Service_Window]]="Lunch",1,0)</f>
        <v>0</v>
      </c>
    </row>
    <row r="729" spans="1:7" x14ac:dyDescent="0.2">
      <c r="A729">
        <v>45965</v>
      </c>
      <c r="B729" t="s">
        <v>250</v>
      </c>
      <c r="C729" t="s">
        <v>14</v>
      </c>
      <c r="D729">
        <v>3</v>
      </c>
      <c r="E729">
        <v>0</v>
      </c>
      <c r="F729">
        <v>2</v>
      </c>
      <c r="G729">
        <f>IF(Table3[[#This Row],[Service_Window]]="Lunch",1,0)</f>
        <v>0</v>
      </c>
    </row>
    <row r="730" spans="1:7" x14ac:dyDescent="0.2">
      <c r="A730">
        <v>45965</v>
      </c>
      <c r="B730" t="s">
        <v>250</v>
      </c>
      <c r="C730" t="s">
        <v>14</v>
      </c>
      <c r="D730">
        <v>4</v>
      </c>
      <c r="E730">
        <v>0</v>
      </c>
      <c r="F730">
        <v>2</v>
      </c>
      <c r="G730">
        <f>IF(Table3[[#This Row],[Service_Window]]="Lunch",1,0)</f>
        <v>0</v>
      </c>
    </row>
    <row r="731" spans="1:7" x14ac:dyDescent="0.2">
      <c r="A731">
        <v>45965</v>
      </c>
      <c r="B731" t="s">
        <v>250</v>
      </c>
      <c r="C731" t="s">
        <v>14</v>
      </c>
      <c r="D731">
        <v>3</v>
      </c>
      <c r="E731">
        <v>0</v>
      </c>
      <c r="F731">
        <v>2</v>
      </c>
      <c r="G731">
        <f>IF(Table3[[#This Row],[Service_Window]]="Lunch",1,0)</f>
        <v>0</v>
      </c>
    </row>
    <row r="732" spans="1:7" x14ac:dyDescent="0.2">
      <c r="A732">
        <v>45965</v>
      </c>
      <c r="B732" t="s">
        <v>250</v>
      </c>
      <c r="C732" t="s">
        <v>14</v>
      </c>
      <c r="D732">
        <v>5</v>
      </c>
      <c r="E732">
        <v>0</v>
      </c>
      <c r="F732">
        <v>2</v>
      </c>
      <c r="G732">
        <f>IF(Table3[[#This Row],[Service_Window]]="Lunch",1,0)</f>
        <v>0</v>
      </c>
    </row>
    <row r="733" spans="1:7" x14ac:dyDescent="0.2">
      <c r="A733">
        <v>45965</v>
      </c>
      <c r="B733" t="s">
        <v>250</v>
      </c>
      <c r="C733" t="s">
        <v>14</v>
      </c>
      <c r="D733">
        <v>2</v>
      </c>
      <c r="E733">
        <v>0</v>
      </c>
      <c r="F733">
        <v>2</v>
      </c>
      <c r="G733">
        <f>IF(Table3[[#This Row],[Service_Window]]="Lunch",1,0)</f>
        <v>0</v>
      </c>
    </row>
    <row r="734" spans="1:7" x14ac:dyDescent="0.2">
      <c r="A734">
        <v>45965</v>
      </c>
      <c r="B734" t="s">
        <v>250</v>
      </c>
      <c r="C734" t="s">
        <v>14</v>
      </c>
      <c r="D734">
        <v>3</v>
      </c>
      <c r="E734">
        <v>0</v>
      </c>
      <c r="F734">
        <v>2</v>
      </c>
      <c r="G734">
        <f>IF(Table3[[#This Row],[Service_Window]]="Lunch",1,0)</f>
        <v>0</v>
      </c>
    </row>
    <row r="735" spans="1:7" x14ac:dyDescent="0.2">
      <c r="A735">
        <v>45965</v>
      </c>
      <c r="B735" t="s">
        <v>250</v>
      </c>
      <c r="C735" t="s">
        <v>14</v>
      </c>
      <c r="D735">
        <v>4</v>
      </c>
      <c r="E735">
        <v>0</v>
      </c>
      <c r="F735">
        <v>2</v>
      </c>
      <c r="G735">
        <f>IF(Table3[[#This Row],[Service_Window]]="Lunch",1,0)</f>
        <v>0</v>
      </c>
    </row>
    <row r="736" spans="1:7" x14ac:dyDescent="0.2">
      <c r="A736">
        <v>45965</v>
      </c>
      <c r="B736" t="s">
        <v>250</v>
      </c>
      <c r="C736" t="s">
        <v>14</v>
      </c>
      <c r="D736">
        <v>2</v>
      </c>
      <c r="E736">
        <v>0</v>
      </c>
      <c r="F736">
        <v>2</v>
      </c>
      <c r="G736">
        <f>IF(Table3[[#This Row],[Service_Window]]="Lunch",1,0)</f>
        <v>0</v>
      </c>
    </row>
    <row r="737" spans="1:7" x14ac:dyDescent="0.2">
      <c r="A737">
        <v>45965</v>
      </c>
      <c r="B737" t="s">
        <v>250</v>
      </c>
      <c r="C737" t="s">
        <v>14</v>
      </c>
      <c r="D737">
        <v>6</v>
      </c>
      <c r="E737">
        <v>0</v>
      </c>
      <c r="F737">
        <v>2</v>
      </c>
      <c r="G737">
        <f>IF(Table3[[#This Row],[Service_Window]]="Lunch",1,0)</f>
        <v>0</v>
      </c>
    </row>
    <row r="738" spans="1:7" x14ac:dyDescent="0.2">
      <c r="A738">
        <v>45965</v>
      </c>
      <c r="B738" t="s">
        <v>250</v>
      </c>
      <c r="C738" t="s">
        <v>14</v>
      </c>
      <c r="D738">
        <v>1</v>
      </c>
      <c r="E738">
        <v>0</v>
      </c>
      <c r="F738">
        <v>2</v>
      </c>
      <c r="G738">
        <f>IF(Table3[[#This Row],[Service_Window]]="Lunch",1,0)</f>
        <v>0</v>
      </c>
    </row>
    <row r="739" spans="1:7" x14ac:dyDescent="0.2">
      <c r="A739">
        <v>45965</v>
      </c>
      <c r="B739" t="s">
        <v>250</v>
      </c>
      <c r="C739" t="s">
        <v>14</v>
      </c>
      <c r="D739">
        <v>6</v>
      </c>
      <c r="E739">
        <v>0</v>
      </c>
      <c r="F739">
        <v>2</v>
      </c>
      <c r="G739">
        <f>IF(Table3[[#This Row],[Service_Window]]="Lunch",1,0)</f>
        <v>0</v>
      </c>
    </row>
    <row r="740" spans="1:7" x14ac:dyDescent="0.2">
      <c r="A740">
        <v>45965</v>
      </c>
      <c r="B740" t="s">
        <v>250</v>
      </c>
      <c r="C740" t="s">
        <v>43</v>
      </c>
      <c r="D740">
        <v>2</v>
      </c>
      <c r="E740">
        <v>0</v>
      </c>
      <c r="F740">
        <v>2</v>
      </c>
      <c r="G740">
        <f>IF(Table3[[#This Row],[Service_Window]]="Lunch",1,0)</f>
        <v>1</v>
      </c>
    </row>
    <row r="741" spans="1:7" x14ac:dyDescent="0.2">
      <c r="A741">
        <v>45965</v>
      </c>
      <c r="B741" t="s">
        <v>250</v>
      </c>
      <c r="C741" t="s">
        <v>43</v>
      </c>
      <c r="D741">
        <v>3</v>
      </c>
      <c r="E741">
        <v>0</v>
      </c>
      <c r="F741">
        <v>2</v>
      </c>
      <c r="G741">
        <f>IF(Table3[[#This Row],[Service_Window]]="Lunch",1,0)</f>
        <v>1</v>
      </c>
    </row>
    <row r="742" spans="1:7" x14ac:dyDescent="0.2">
      <c r="A742">
        <v>45965</v>
      </c>
      <c r="B742" t="s">
        <v>250</v>
      </c>
      <c r="C742" t="s">
        <v>43</v>
      </c>
      <c r="D742">
        <v>4</v>
      </c>
      <c r="E742">
        <v>0</v>
      </c>
      <c r="F742">
        <v>2</v>
      </c>
      <c r="G742">
        <f>IF(Table3[[#This Row],[Service_Window]]="Lunch",1,0)</f>
        <v>1</v>
      </c>
    </row>
    <row r="743" spans="1:7" x14ac:dyDescent="0.2">
      <c r="A743">
        <v>45966</v>
      </c>
      <c r="B743" t="s">
        <v>13</v>
      </c>
      <c r="C743" t="s">
        <v>14</v>
      </c>
      <c r="D743">
        <v>3</v>
      </c>
      <c r="E743">
        <v>0</v>
      </c>
      <c r="F743">
        <v>3</v>
      </c>
      <c r="G743">
        <f>IF(Table3[[#This Row],[Service_Window]]="Lunch",1,0)</f>
        <v>0</v>
      </c>
    </row>
    <row r="744" spans="1:7" x14ac:dyDescent="0.2">
      <c r="A744">
        <v>45966</v>
      </c>
      <c r="B744" t="s">
        <v>13</v>
      </c>
      <c r="C744" t="s">
        <v>14</v>
      </c>
      <c r="D744">
        <v>3</v>
      </c>
      <c r="E744">
        <v>0</v>
      </c>
      <c r="F744">
        <v>3</v>
      </c>
      <c r="G744">
        <f>IF(Table3[[#This Row],[Service_Window]]="Lunch",1,0)</f>
        <v>0</v>
      </c>
    </row>
    <row r="745" spans="1:7" x14ac:dyDescent="0.2">
      <c r="A745">
        <v>45966</v>
      </c>
      <c r="B745" t="s">
        <v>13</v>
      </c>
      <c r="C745" t="s">
        <v>14</v>
      </c>
      <c r="D745">
        <v>1</v>
      </c>
      <c r="E745">
        <v>0</v>
      </c>
      <c r="F745">
        <v>3</v>
      </c>
      <c r="G745">
        <f>IF(Table3[[#This Row],[Service_Window]]="Lunch",1,0)</f>
        <v>0</v>
      </c>
    </row>
    <row r="746" spans="1:7" x14ac:dyDescent="0.2">
      <c r="A746">
        <v>45966</v>
      </c>
      <c r="B746" t="s">
        <v>13</v>
      </c>
      <c r="C746" t="s">
        <v>14</v>
      </c>
      <c r="D746">
        <v>3</v>
      </c>
      <c r="E746">
        <v>0</v>
      </c>
      <c r="F746">
        <v>3</v>
      </c>
      <c r="G746">
        <f>IF(Table3[[#This Row],[Service_Window]]="Lunch",1,0)</f>
        <v>0</v>
      </c>
    </row>
    <row r="747" spans="1:7" x14ac:dyDescent="0.2">
      <c r="A747">
        <v>45966</v>
      </c>
      <c r="B747" t="s">
        <v>13</v>
      </c>
      <c r="C747" t="s">
        <v>14</v>
      </c>
      <c r="D747">
        <v>2</v>
      </c>
      <c r="E747">
        <v>0</v>
      </c>
      <c r="F747">
        <v>3</v>
      </c>
      <c r="G747">
        <f>IF(Table3[[#This Row],[Service_Window]]="Lunch",1,0)</f>
        <v>0</v>
      </c>
    </row>
    <row r="748" spans="1:7" x14ac:dyDescent="0.2">
      <c r="A748">
        <v>45966</v>
      </c>
      <c r="B748" t="s">
        <v>13</v>
      </c>
      <c r="C748" t="s">
        <v>14</v>
      </c>
      <c r="D748">
        <v>3</v>
      </c>
      <c r="E748">
        <v>0</v>
      </c>
      <c r="F748">
        <v>3</v>
      </c>
      <c r="G748">
        <f>IF(Table3[[#This Row],[Service_Window]]="Lunch",1,0)</f>
        <v>0</v>
      </c>
    </row>
    <row r="749" spans="1:7" x14ac:dyDescent="0.2">
      <c r="A749">
        <v>45966</v>
      </c>
      <c r="B749" t="s">
        <v>13</v>
      </c>
      <c r="C749" t="s">
        <v>14</v>
      </c>
      <c r="D749">
        <v>4</v>
      </c>
      <c r="E749">
        <v>0</v>
      </c>
      <c r="F749">
        <v>3</v>
      </c>
      <c r="G749">
        <f>IF(Table3[[#This Row],[Service_Window]]="Lunch",1,0)</f>
        <v>0</v>
      </c>
    </row>
    <row r="750" spans="1:7" x14ac:dyDescent="0.2">
      <c r="A750">
        <v>45966</v>
      </c>
      <c r="B750" t="s">
        <v>13</v>
      </c>
      <c r="C750" t="s">
        <v>14</v>
      </c>
      <c r="D750">
        <v>2</v>
      </c>
      <c r="E750">
        <v>0</v>
      </c>
      <c r="F750">
        <v>3</v>
      </c>
      <c r="G750">
        <f>IF(Table3[[#This Row],[Service_Window]]="Lunch",1,0)</f>
        <v>0</v>
      </c>
    </row>
    <row r="751" spans="1:7" x14ac:dyDescent="0.2">
      <c r="A751">
        <v>45966</v>
      </c>
      <c r="B751" t="s">
        <v>13</v>
      </c>
      <c r="C751" t="s">
        <v>14</v>
      </c>
      <c r="D751">
        <v>5</v>
      </c>
      <c r="E751">
        <v>0</v>
      </c>
      <c r="F751">
        <v>3</v>
      </c>
      <c r="G751">
        <f>IF(Table3[[#This Row],[Service_Window]]="Lunch",1,0)</f>
        <v>0</v>
      </c>
    </row>
    <row r="752" spans="1:7" x14ac:dyDescent="0.2">
      <c r="A752">
        <v>45966</v>
      </c>
      <c r="B752" t="s">
        <v>13</v>
      </c>
      <c r="C752" t="s">
        <v>14</v>
      </c>
      <c r="D752">
        <v>2</v>
      </c>
      <c r="E752">
        <v>0</v>
      </c>
      <c r="F752">
        <v>3</v>
      </c>
      <c r="G752">
        <f>IF(Table3[[#This Row],[Service_Window]]="Lunch",1,0)</f>
        <v>0</v>
      </c>
    </row>
    <row r="753" spans="1:7" x14ac:dyDescent="0.2">
      <c r="A753">
        <v>45966</v>
      </c>
      <c r="B753" t="s">
        <v>13</v>
      </c>
      <c r="C753" t="s">
        <v>14</v>
      </c>
      <c r="D753">
        <v>5</v>
      </c>
      <c r="E753">
        <v>0</v>
      </c>
      <c r="F753">
        <v>3</v>
      </c>
      <c r="G753">
        <f>IF(Table3[[#This Row],[Service_Window]]="Lunch",1,0)</f>
        <v>0</v>
      </c>
    </row>
    <row r="754" spans="1:7" x14ac:dyDescent="0.2">
      <c r="A754">
        <v>45966</v>
      </c>
      <c r="B754" t="s">
        <v>13</v>
      </c>
      <c r="C754" t="s">
        <v>14</v>
      </c>
      <c r="D754">
        <v>4</v>
      </c>
      <c r="E754">
        <v>0</v>
      </c>
      <c r="F754">
        <v>3</v>
      </c>
      <c r="G754">
        <f>IF(Table3[[#This Row],[Service_Window]]="Lunch",1,0)</f>
        <v>0</v>
      </c>
    </row>
    <row r="755" spans="1:7" x14ac:dyDescent="0.2">
      <c r="A755">
        <v>45966</v>
      </c>
      <c r="B755" t="s">
        <v>13</v>
      </c>
      <c r="C755" t="s">
        <v>14</v>
      </c>
      <c r="D755">
        <v>3</v>
      </c>
      <c r="E755">
        <v>0</v>
      </c>
      <c r="F755">
        <v>3</v>
      </c>
      <c r="G755">
        <f>IF(Table3[[#This Row],[Service_Window]]="Lunch",1,0)</f>
        <v>0</v>
      </c>
    </row>
    <row r="756" spans="1:7" x14ac:dyDescent="0.2">
      <c r="A756">
        <v>45966</v>
      </c>
      <c r="B756" t="s">
        <v>13</v>
      </c>
      <c r="C756" t="s">
        <v>43</v>
      </c>
      <c r="D756">
        <v>4</v>
      </c>
      <c r="E756">
        <v>1</v>
      </c>
      <c r="F756">
        <v>3</v>
      </c>
      <c r="G756">
        <f>IF(Table3[[#This Row],[Service_Window]]="Lunch",1,0)</f>
        <v>1</v>
      </c>
    </row>
    <row r="757" spans="1:7" x14ac:dyDescent="0.2">
      <c r="A757">
        <v>45966</v>
      </c>
      <c r="B757" t="s">
        <v>13</v>
      </c>
      <c r="C757" t="s">
        <v>43</v>
      </c>
      <c r="D757">
        <v>2</v>
      </c>
      <c r="E757">
        <v>1</v>
      </c>
      <c r="F757">
        <v>3</v>
      </c>
      <c r="G757">
        <f>IF(Table3[[#This Row],[Service_Window]]="Lunch",1,0)</f>
        <v>1</v>
      </c>
    </row>
    <row r="758" spans="1:7" x14ac:dyDescent="0.2">
      <c r="A758">
        <v>45966</v>
      </c>
      <c r="B758" t="s">
        <v>13</v>
      </c>
      <c r="C758" t="s">
        <v>43</v>
      </c>
      <c r="D758">
        <v>3</v>
      </c>
      <c r="E758">
        <v>1</v>
      </c>
      <c r="F758">
        <v>3</v>
      </c>
      <c r="G758">
        <f>IF(Table3[[#This Row],[Service_Window]]="Lunch",1,0)</f>
        <v>1</v>
      </c>
    </row>
    <row r="759" spans="1:7" x14ac:dyDescent="0.2">
      <c r="A759">
        <v>45966</v>
      </c>
      <c r="B759" t="s">
        <v>13</v>
      </c>
      <c r="C759" t="s">
        <v>43</v>
      </c>
      <c r="D759">
        <v>2</v>
      </c>
      <c r="E759">
        <v>0</v>
      </c>
      <c r="F759">
        <v>3</v>
      </c>
      <c r="G759">
        <f>IF(Table3[[#This Row],[Service_Window]]="Lunch",1,0)</f>
        <v>1</v>
      </c>
    </row>
    <row r="760" spans="1:7" x14ac:dyDescent="0.2">
      <c r="A760">
        <v>45966</v>
      </c>
      <c r="B760" t="s">
        <v>13</v>
      </c>
      <c r="C760" t="s">
        <v>43</v>
      </c>
      <c r="D760">
        <v>2</v>
      </c>
      <c r="E760">
        <v>1</v>
      </c>
      <c r="F760">
        <v>3</v>
      </c>
      <c r="G760">
        <f>IF(Table3[[#This Row],[Service_Window]]="Lunch",1,0)</f>
        <v>1</v>
      </c>
    </row>
    <row r="761" spans="1:7" x14ac:dyDescent="0.2">
      <c r="A761">
        <v>45966</v>
      </c>
      <c r="B761" t="s">
        <v>13</v>
      </c>
      <c r="C761" t="s">
        <v>43</v>
      </c>
      <c r="D761">
        <v>1</v>
      </c>
      <c r="E761">
        <v>1</v>
      </c>
      <c r="F761">
        <v>3</v>
      </c>
      <c r="G761">
        <f>IF(Table3[[#This Row],[Service_Window]]="Lunch",1,0)</f>
        <v>1</v>
      </c>
    </row>
    <row r="762" spans="1:7" x14ac:dyDescent="0.2">
      <c r="A762">
        <v>45966</v>
      </c>
      <c r="B762" t="s">
        <v>13</v>
      </c>
      <c r="C762" t="s">
        <v>43</v>
      </c>
      <c r="D762">
        <v>4</v>
      </c>
      <c r="E762">
        <v>0</v>
      </c>
      <c r="F762">
        <v>3</v>
      </c>
      <c r="G762">
        <f>IF(Table3[[#This Row],[Service_Window]]="Lunch",1,0)</f>
        <v>1</v>
      </c>
    </row>
    <row r="763" spans="1:7" x14ac:dyDescent="0.2">
      <c r="A763">
        <v>45966</v>
      </c>
      <c r="B763" t="s">
        <v>13</v>
      </c>
      <c r="C763" t="s">
        <v>43</v>
      </c>
      <c r="D763">
        <v>3</v>
      </c>
      <c r="E763">
        <v>1</v>
      </c>
      <c r="F763">
        <v>3</v>
      </c>
      <c r="G763">
        <f>IF(Table3[[#This Row],[Service_Window]]="Lunch",1,0)</f>
        <v>1</v>
      </c>
    </row>
    <row r="764" spans="1:7" x14ac:dyDescent="0.2">
      <c r="A764">
        <v>45967</v>
      </c>
      <c r="B764" t="s">
        <v>62</v>
      </c>
      <c r="C764" t="s">
        <v>14</v>
      </c>
      <c r="D764">
        <v>2</v>
      </c>
      <c r="E764">
        <v>0</v>
      </c>
      <c r="F764">
        <v>4</v>
      </c>
      <c r="G764">
        <f>IF(Table3[[#This Row],[Service_Window]]="Lunch",1,0)</f>
        <v>0</v>
      </c>
    </row>
    <row r="765" spans="1:7" x14ac:dyDescent="0.2">
      <c r="A765">
        <v>45967</v>
      </c>
      <c r="B765" t="s">
        <v>62</v>
      </c>
      <c r="C765" t="s">
        <v>14</v>
      </c>
      <c r="D765">
        <v>3</v>
      </c>
      <c r="E765">
        <v>0</v>
      </c>
      <c r="F765">
        <v>4</v>
      </c>
      <c r="G765">
        <f>IF(Table3[[#This Row],[Service_Window]]="Lunch",1,0)</f>
        <v>0</v>
      </c>
    </row>
    <row r="766" spans="1:7" x14ac:dyDescent="0.2">
      <c r="A766">
        <v>45967</v>
      </c>
      <c r="B766" t="s">
        <v>62</v>
      </c>
      <c r="C766" t="s">
        <v>14</v>
      </c>
      <c r="D766">
        <v>6</v>
      </c>
      <c r="E766">
        <v>0</v>
      </c>
      <c r="F766">
        <v>4</v>
      </c>
      <c r="G766">
        <f>IF(Table3[[#This Row],[Service_Window]]="Lunch",1,0)</f>
        <v>0</v>
      </c>
    </row>
    <row r="767" spans="1:7" x14ac:dyDescent="0.2">
      <c r="A767">
        <v>45967</v>
      </c>
      <c r="B767" t="s">
        <v>62</v>
      </c>
      <c r="C767" t="s">
        <v>14</v>
      </c>
      <c r="D767">
        <v>4</v>
      </c>
      <c r="E767">
        <v>0</v>
      </c>
      <c r="F767">
        <v>4</v>
      </c>
      <c r="G767">
        <f>IF(Table3[[#This Row],[Service_Window]]="Lunch",1,0)</f>
        <v>0</v>
      </c>
    </row>
    <row r="768" spans="1:7" x14ac:dyDescent="0.2">
      <c r="A768">
        <v>45967</v>
      </c>
      <c r="B768" t="s">
        <v>62</v>
      </c>
      <c r="C768" t="s">
        <v>14</v>
      </c>
      <c r="D768">
        <v>3</v>
      </c>
      <c r="E768">
        <v>0</v>
      </c>
      <c r="F768">
        <v>4</v>
      </c>
      <c r="G768">
        <f>IF(Table3[[#This Row],[Service_Window]]="Lunch",1,0)</f>
        <v>0</v>
      </c>
    </row>
    <row r="769" spans="1:7" x14ac:dyDescent="0.2">
      <c r="A769">
        <v>45967</v>
      </c>
      <c r="B769" t="s">
        <v>62</v>
      </c>
      <c r="C769" t="s">
        <v>14</v>
      </c>
      <c r="D769">
        <v>3</v>
      </c>
      <c r="E769">
        <v>0</v>
      </c>
      <c r="F769">
        <v>4</v>
      </c>
      <c r="G769">
        <f>IF(Table3[[#This Row],[Service_Window]]="Lunch",1,0)</f>
        <v>0</v>
      </c>
    </row>
    <row r="770" spans="1:7" x14ac:dyDescent="0.2">
      <c r="A770">
        <v>45967</v>
      </c>
      <c r="B770" t="s">
        <v>62</v>
      </c>
      <c r="C770" t="s">
        <v>14</v>
      </c>
      <c r="D770">
        <v>1</v>
      </c>
      <c r="E770">
        <v>0</v>
      </c>
      <c r="F770">
        <v>4</v>
      </c>
      <c r="G770">
        <f>IF(Table3[[#This Row],[Service_Window]]="Lunch",1,0)</f>
        <v>0</v>
      </c>
    </row>
    <row r="771" spans="1:7" x14ac:dyDescent="0.2">
      <c r="A771">
        <v>45967</v>
      </c>
      <c r="B771" t="s">
        <v>62</v>
      </c>
      <c r="C771" t="s">
        <v>14</v>
      </c>
      <c r="D771">
        <v>5</v>
      </c>
      <c r="E771">
        <v>0</v>
      </c>
      <c r="F771">
        <v>4</v>
      </c>
      <c r="G771">
        <f>IF(Table3[[#This Row],[Service_Window]]="Lunch",1,0)</f>
        <v>0</v>
      </c>
    </row>
    <row r="772" spans="1:7" x14ac:dyDescent="0.2">
      <c r="A772">
        <v>45967</v>
      </c>
      <c r="B772" t="s">
        <v>62</v>
      </c>
      <c r="C772" t="s">
        <v>14</v>
      </c>
      <c r="D772">
        <v>3</v>
      </c>
      <c r="E772">
        <v>0</v>
      </c>
      <c r="F772">
        <v>4</v>
      </c>
      <c r="G772">
        <f>IF(Table3[[#This Row],[Service_Window]]="Lunch",1,0)</f>
        <v>0</v>
      </c>
    </row>
    <row r="773" spans="1:7" x14ac:dyDescent="0.2">
      <c r="A773">
        <v>45967</v>
      </c>
      <c r="B773" t="s">
        <v>62</v>
      </c>
      <c r="C773" t="s">
        <v>14</v>
      </c>
      <c r="D773">
        <v>7</v>
      </c>
      <c r="E773">
        <v>0</v>
      </c>
      <c r="F773">
        <v>4</v>
      </c>
      <c r="G773">
        <f>IF(Table3[[#This Row],[Service_Window]]="Lunch",1,0)</f>
        <v>0</v>
      </c>
    </row>
    <row r="774" spans="1:7" x14ac:dyDescent="0.2">
      <c r="A774">
        <v>45967</v>
      </c>
      <c r="B774" t="s">
        <v>62</v>
      </c>
      <c r="C774" t="s">
        <v>14</v>
      </c>
      <c r="D774">
        <v>4</v>
      </c>
      <c r="E774">
        <v>0</v>
      </c>
      <c r="F774">
        <v>4</v>
      </c>
      <c r="G774">
        <f>IF(Table3[[#This Row],[Service_Window]]="Lunch",1,0)</f>
        <v>0</v>
      </c>
    </row>
    <row r="775" spans="1:7" x14ac:dyDescent="0.2">
      <c r="A775">
        <v>45967</v>
      </c>
      <c r="B775" t="s">
        <v>62</v>
      </c>
      <c r="C775" t="s">
        <v>14</v>
      </c>
      <c r="D775">
        <v>2</v>
      </c>
      <c r="E775">
        <v>0</v>
      </c>
      <c r="F775">
        <v>4</v>
      </c>
      <c r="G775">
        <f>IF(Table3[[#This Row],[Service_Window]]="Lunch",1,0)</f>
        <v>0</v>
      </c>
    </row>
    <row r="776" spans="1:7" x14ac:dyDescent="0.2">
      <c r="A776">
        <v>45967</v>
      </c>
      <c r="B776" t="s">
        <v>62</v>
      </c>
      <c r="C776" t="s">
        <v>43</v>
      </c>
      <c r="D776">
        <v>7</v>
      </c>
      <c r="E776">
        <v>0</v>
      </c>
      <c r="F776">
        <v>4</v>
      </c>
      <c r="G776">
        <f>IF(Table3[[#This Row],[Service_Window]]="Lunch",1,0)</f>
        <v>1</v>
      </c>
    </row>
    <row r="777" spans="1:7" x14ac:dyDescent="0.2">
      <c r="A777">
        <v>45967</v>
      </c>
      <c r="B777" t="s">
        <v>62</v>
      </c>
      <c r="C777" t="s">
        <v>43</v>
      </c>
      <c r="D777">
        <v>5</v>
      </c>
      <c r="E777">
        <v>0</v>
      </c>
      <c r="F777">
        <v>4</v>
      </c>
      <c r="G777">
        <f>IF(Table3[[#This Row],[Service_Window]]="Lunch",1,0)</f>
        <v>1</v>
      </c>
    </row>
    <row r="778" spans="1:7" x14ac:dyDescent="0.2">
      <c r="A778">
        <v>45967</v>
      </c>
      <c r="B778" t="s">
        <v>62</v>
      </c>
      <c r="C778" t="s">
        <v>43</v>
      </c>
      <c r="D778">
        <v>2</v>
      </c>
      <c r="E778">
        <v>0</v>
      </c>
      <c r="F778">
        <v>4</v>
      </c>
      <c r="G778">
        <f>IF(Table3[[#This Row],[Service_Window]]="Lunch",1,0)</f>
        <v>1</v>
      </c>
    </row>
    <row r="779" spans="1:7" x14ac:dyDescent="0.2">
      <c r="A779">
        <v>45967</v>
      </c>
      <c r="B779" t="s">
        <v>62</v>
      </c>
      <c r="C779" t="s">
        <v>43</v>
      </c>
      <c r="D779">
        <v>4</v>
      </c>
      <c r="E779">
        <v>1</v>
      </c>
      <c r="F779">
        <v>4</v>
      </c>
      <c r="G779">
        <f>IF(Table3[[#This Row],[Service_Window]]="Lunch",1,0)</f>
        <v>1</v>
      </c>
    </row>
    <row r="780" spans="1:7" x14ac:dyDescent="0.2">
      <c r="A780">
        <v>45967</v>
      </c>
      <c r="B780" t="s">
        <v>62</v>
      </c>
      <c r="C780" t="s">
        <v>43</v>
      </c>
      <c r="D780">
        <v>1</v>
      </c>
      <c r="E780">
        <v>1</v>
      </c>
      <c r="F780">
        <v>4</v>
      </c>
      <c r="G780">
        <f>IF(Table3[[#This Row],[Service_Window]]="Lunch",1,0)</f>
        <v>1</v>
      </c>
    </row>
    <row r="781" spans="1:7" x14ac:dyDescent="0.2">
      <c r="A781">
        <v>45967</v>
      </c>
      <c r="B781" t="s">
        <v>62</v>
      </c>
      <c r="C781" t="s">
        <v>43</v>
      </c>
      <c r="D781">
        <v>1</v>
      </c>
      <c r="E781">
        <v>1</v>
      </c>
      <c r="F781">
        <v>4</v>
      </c>
      <c r="G781">
        <f>IF(Table3[[#This Row],[Service_Window]]="Lunch",1,0)</f>
        <v>1</v>
      </c>
    </row>
    <row r="782" spans="1:7" x14ac:dyDescent="0.2">
      <c r="A782">
        <v>45967</v>
      </c>
      <c r="B782" t="s">
        <v>62</v>
      </c>
      <c r="C782" t="s">
        <v>43</v>
      </c>
      <c r="D782">
        <v>3</v>
      </c>
      <c r="E782">
        <v>1</v>
      </c>
      <c r="F782">
        <v>4</v>
      </c>
      <c r="G782">
        <f>IF(Table3[[#This Row],[Service_Window]]="Lunch",1,0)</f>
        <v>1</v>
      </c>
    </row>
    <row r="783" spans="1:7" x14ac:dyDescent="0.2">
      <c r="A783">
        <v>45967</v>
      </c>
      <c r="B783" t="s">
        <v>62</v>
      </c>
      <c r="C783" t="s">
        <v>43</v>
      </c>
      <c r="D783">
        <v>5</v>
      </c>
      <c r="E783">
        <v>1</v>
      </c>
      <c r="F783">
        <v>4</v>
      </c>
      <c r="G783">
        <f>IF(Table3[[#This Row],[Service_Window]]="Lunch",1,0)</f>
        <v>1</v>
      </c>
    </row>
    <row r="784" spans="1:7" x14ac:dyDescent="0.2">
      <c r="A784">
        <v>45967</v>
      </c>
      <c r="B784" t="s">
        <v>62</v>
      </c>
      <c r="C784" t="s">
        <v>43</v>
      </c>
      <c r="D784">
        <v>4</v>
      </c>
      <c r="E784">
        <v>0</v>
      </c>
      <c r="F784">
        <v>4</v>
      </c>
      <c r="G784">
        <f>IF(Table3[[#This Row],[Service_Window]]="Lunch",1,0)</f>
        <v>1</v>
      </c>
    </row>
    <row r="785" spans="1:7" x14ac:dyDescent="0.2">
      <c r="A785">
        <v>45967</v>
      </c>
      <c r="B785" t="s">
        <v>62</v>
      </c>
      <c r="C785" t="s">
        <v>43</v>
      </c>
      <c r="D785">
        <v>4</v>
      </c>
      <c r="E785">
        <v>1</v>
      </c>
      <c r="F785">
        <v>4</v>
      </c>
      <c r="G785">
        <f>IF(Table3[[#This Row],[Service_Window]]="Lunch",1,0)</f>
        <v>1</v>
      </c>
    </row>
    <row r="786" spans="1:7" x14ac:dyDescent="0.2">
      <c r="A786">
        <v>45967</v>
      </c>
      <c r="B786" t="s">
        <v>62</v>
      </c>
      <c r="C786" t="s">
        <v>43</v>
      </c>
      <c r="D786">
        <v>5</v>
      </c>
      <c r="E786">
        <v>0</v>
      </c>
      <c r="F786">
        <v>4</v>
      </c>
      <c r="G786">
        <f>IF(Table3[[#This Row],[Service_Window]]="Lunch",1,0)</f>
        <v>1</v>
      </c>
    </row>
    <row r="787" spans="1:7" x14ac:dyDescent="0.2">
      <c r="A787">
        <v>45967</v>
      </c>
      <c r="B787" t="s">
        <v>62</v>
      </c>
      <c r="C787" t="s">
        <v>43</v>
      </c>
      <c r="D787">
        <v>4</v>
      </c>
      <c r="E787">
        <v>0</v>
      </c>
      <c r="F787">
        <v>4</v>
      </c>
      <c r="G787">
        <f>IF(Table3[[#This Row],[Service_Window]]="Lunch",1,0)</f>
        <v>1</v>
      </c>
    </row>
    <row r="788" spans="1:7" x14ac:dyDescent="0.2">
      <c r="A788">
        <v>45967</v>
      </c>
      <c r="B788" t="s">
        <v>62</v>
      </c>
      <c r="C788" t="s">
        <v>43</v>
      </c>
      <c r="D788">
        <v>2</v>
      </c>
      <c r="E788">
        <v>0</v>
      </c>
      <c r="F788">
        <v>4</v>
      </c>
      <c r="G788">
        <f>IF(Table3[[#This Row],[Service_Window]]="Lunch",1,0)</f>
        <v>1</v>
      </c>
    </row>
    <row r="789" spans="1:7" x14ac:dyDescent="0.2">
      <c r="A789">
        <v>45967</v>
      </c>
      <c r="B789" t="s">
        <v>62</v>
      </c>
      <c r="C789" t="s">
        <v>43</v>
      </c>
      <c r="D789">
        <v>4</v>
      </c>
      <c r="E789">
        <v>0</v>
      </c>
      <c r="F789">
        <v>4</v>
      </c>
      <c r="G789">
        <f>IF(Table3[[#This Row],[Service_Window]]="Lunch",1,0)</f>
        <v>1</v>
      </c>
    </row>
    <row r="790" spans="1:7" x14ac:dyDescent="0.2">
      <c r="A790">
        <v>45967</v>
      </c>
      <c r="B790" t="s">
        <v>62</v>
      </c>
      <c r="C790" t="s">
        <v>43</v>
      </c>
      <c r="D790">
        <v>3</v>
      </c>
      <c r="E790">
        <v>1</v>
      </c>
      <c r="F790">
        <v>4</v>
      </c>
      <c r="G790">
        <f>IF(Table3[[#This Row],[Service_Window]]="Lunch",1,0)</f>
        <v>1</v>
      </c>
    </row>
    <row r="791" spans="1:7" x14ac:dyDescent="0.2">
      <c r="A791">
        <v>45967</v>
      </c>
      <c r="B791" t="s">
        <v>62</v>
      </c>
      <c r="C791" t="s">
        <v>43</v>
      </c>
      <c r="D791">
        <v>4</v>
      </c>
      <c r="E791">
        <v>1</v>
      </c>
      <c r="F791">
        <v>4</v>
      </c>
      <c r="G791">
        <f>IF(Table3[[#This Row],[Service_Window]]="Lunch",1,0)</f>
        <v>1</v>
      </c>
    </row>
    <row r="792" spans="1:7" x14ac:dyDescent="0.2">
      <c r="A792">
        <v>45968</v>
      </c>
      <c r="B792" t="s">
        <v>96</v>
      </c>
      <c r="C792" t="s">
        <v>14</v>
      </c>
      <c r="D792">
        <v>3</v>
      </c>
      <c r="E792">
        <v>0</v>
      </c>
      <c r="F792">
        <v>5</v>
      </c>
      <c r="G792">
        <f>IF(Table3[[#This Row],[Service_Window]]="Lunch",1,0)</f>
        <v>0</v>
      </c>
    </row>
    <row r="793" spans="1:7" x14ac:dyDescent="0.2">
      <c r="A793">
        <v>45968</v>
      </c>
      <c r="B793" t="s">
        <v>96</v>
      </c>
      <c r="C793" t="s">
        <v>14</v>
      </c>
      <c r="D793">
        <v>4</v>
      </c>
      <c r="E793">
        <v>0</v>
      </c>
      <c r="F793">
        <v>5</v>
      </c>
      <c r="G793">
        <f>IF(Table3[[#This Row],[Service_Window]]="Lunch",1,0)</f>
        <v>0</v>
      </c>
    </row>
    <row r="794" spans="1:7" x14ac:dyDescent="0.2">
      <c r="A794">
        <v>45968</v>
      </c>
      <c r="B794" t="s">
        <v>96</v>
      </c>
      <c r="C794" t="s">
        <v>14</v>
      </c>
      <c r="D794">
        <v>2</v>
      </c>
      <c r="E794">
        <v>0</v>
      </c>
      <c r="F794">
        <v>5</v>
      </c>
      <c r="G794">
        <f>IF(Table3[[#This Row],[Service_Window]]="Lunch",1,0)</f>
        <v>0</v>
      </c>
    </row>
    <row r="795" spans="1:7" x14ac:dyDescent="0.2">
      <c r="A795">
        <v>45968</v>
      </c>
      <c r="B795" t="s">
        <v>96</v>
      </c>
      <c r="C795" t="s">
        <v>14</v>
      </c>
      <c r="D795">
        <v>3</v>
      </c>
      <c r="E795">
        <v>0</v>
      </c>
      <c r="F795">
        <v>5</v>
      </c>
      <c r="G795">
        <f>IF(Table3[[#This Row],[Service_Window]]="Lunch",1,0)</f>
        <v>0</v>
      </c>
    </row>
    <row r="796" spans="1:7" x14ac:dyDescent="0.2">
      <c r="A796">
        <v>45968</v>
      </c>
      <c r="B796" t="s">
        <v>96</v>
      </c>
      <c r="C796" t="s">
        <v>14</v>
      </c>
      <c r="D796">
        <v>2</v>
      </c>
      <c r="E796">
        <v>0</v>
      </c>
      <c r="F796">
        <v>5</v>
      </c>
      <c r="G796">
        <f>IF(Table3[[#This Row],[Service_Window]]="Lunch",1,0)</f>
        <v>0</v>
      </c>
    </row>
    <row r="797" spans="1:7" x14ac:dyDescent="0.2">
      <c r="A797">
        <v>45968</v>
      </c>
      <c r="B797" t="s">
        <v>96</v>
      </c>
      <c r="C797" t="s">
        <v>14</v>
      </c>
      <c r="D797">
        <v>3</v>
      </c>
      <c r="E797">
        <v>0</v>
      </c>
      <c r="F797">
        <v>5</v>
      </c>
      <c r="G797">
        <f>IF(Table3[[#This Row],[Service_Window]]="Lunch",1,0)</f>
        <v>0</v>
      </c>
    </row>
    <row r="798" spans="1:7" x14ac:dyDescent="0.2">
      <c r="A798">
        <v>45968</v>
      </c>
      <c r="B798" t="s">
        <v>96</v>
      </c>
      <c r="C798" t="s">
        <v>43</v>
      </c>
      <c r="D798">
        <v>1</v>
      </c>
      <c r="E798">
        <v>1</v>
      </c>
      <c r="F798">
        <v>5</v>
      </c>
      <c r="G798">
        <f>IF(Table3[[#This Row],[Service_Window]]="Lunch",1,0)</f>
        <v>1</v>
      </c>
    </row>
    <row r="799" spans="1:7" x14ac:dyDescent="0.2">
      <c r="A799">
        <v>45968</v>
      </c>
      <c r="B799" t="s">
        <v>96</v>
      </c>
      <c r="C799" t="s">
        <v>43</v>
      </c>
      <c r="D799">
        <v>1</v>
      </c>
      <c r="E799">
        <v>1</v>
      </c>
      <c r="F799">
        <v>5</v>
      </c>
      <c r="G799">
        <f>IF(Table3[[#This Row],[Service_Window]]="Lunch",1,0)</f>
        <v>1</v>
      </c>
    </row>
    <row r="800" spans="1:7" x14ac:dyDescent="0.2">
      <c r="A800">
        <v>45968</v>
      </c>
      <c r="B800" t="s">
        <v>96</v>
      </c>
      <c r="C800" t="s">
        <v>43</v>
      </c>
      <c r="D800">
        <v>4</v>
      </c>
      <c r="E800">
        <v>0</v>
      </c>
      <c r="F800">
        <v>5</v>
      </c>
      <c r="G800">
        <f>IF(Table3[[#This Row],[Service_Window]]="Lunch",1,0)</f>
        <v>1</v>
      </c>
    </row>
    <row r="801" spans="1:7" x14ac:dyDescent="0.2">
      <c r="A801">
        <v>45968</v>
      </c>
      <c r="B801" t="s">
        <v>96</v>
      </c>
      <c r="C801" t="s">
        <v>43</v>
      </c>
      <c r="D801">
        <v>2</v>
      </c>
      <c r="E801">
        <v>0</v>
      </c>
      <c r="F801">
        <v>5</v>
      </c>
      <c r="G801">
        <f>IF(Table3[[#This Row],[Service_Window]]="Lunch",1,0)</f>
        <v>1</v>
      </c>
    </row>
    <row r="802" spans="1:7" x14ac:dyDescent="0.2">
      <c r="A802">
        <v>45968</v>
      </c>
      <c r="B802" t="s">
        <v>96</v>
      </c>
      <c r="C802" t="s">
        <v>43</v>
      </c>
      <c r="D802">
        <v>2</v>
      </c>
      <c r="E802">
        <v>0</v>
      </c>
      <c r="F802">
        <v>5</v>
      </c>
      <c r="G802">
        <f>IF(Table3[[#This Row],[Service_Window]]="Lunch",1,0)</f>
        <v>1</v>
      </c>
    </row>
    <row r="803" spans="1:7" x14ac:dyDescent="0.2">
      <c r="A803">
        <v>45968</v>
      </c>
      <c r="B803" t="s">
        <v>96</v>
      </c>
      <c r="C803" t="s">
        <v>43</v>
      </c>
      <c r="D803">
        <v>1</v>
      </c>
      <c r="E803">
        <v>1</v>
      </c>
      <c r="F803">
        <v>5</v>
      </c>
      <c r="G803">
        <f>IF(Table3[[#This Row],[Service_Window]]="Lunch",1,0)</f>
        <v>1</v>
      </c>
    </row>
    <row r="804" spans="1:7" x14ac:dyDescent="0.2">
      <c r="A804">
        <v>45968</v>
      </c>
      <c r="B804" t="s">
        <v>96</v>
      </c>
      <c r="C804" t="s">
        <v>43</v>
      </c>
      <c r="D804">
        <v>3</v>
      </c>
      <c r="E804">
        <v>0</v>
      </c>
      <c r="F804">
        <v>5</v>
      </c>
      <c r="G804">
        <f>IF(Table3[[#This Row],[Service_Window]]="Lunch",1,0)</f>
        <v>1</v>
      </c>
    </row>
    <row r="805" spans="1:7" x14ac:dyDescent="0.2">
      <c r="A805">
        <v>45968</v>
      </c>
      <c r="B805" t="s">
        <v>96</v>
      </c>
      <c r="C805" t="s">
        <v>43</v>
      </c>
      <c r="D805">
        <v>3</v>
      </c>
      <c r="E805">
        <v>0</v>
      </c>
      <c r="F805">
        <v>5</v>
      </c>
      <c r="G805">
        <f>IF(Table3[[#This Row],[Service_Window]]="Lunch",1,0)</f>
        <v>1</v>
      </c>
    </row>
    <row r="806" spans="1:7" x14ac:dyDescent="0.2">
      <c r="A806">
        <v>45968</v>
      </c>
      <c r="B806" t="s">
        <v>96</v>
      </c>
      <c r="C806" t="s">
        <v>43</v>
      </c>
      <c r="D806">
        <v>4</v>
      </c>
      <c r="E806">
        <v>1</v>
      </c>
      <c r="F806">
        <v>5</v>
      </c>
      <c r="G806">
        <f>IF(Table3[[#This Row],[Service_Window]]="Lunch",1,0)</f>
        <v>1</v>
      </c>
    </row>
    <row r="807" spans="1:7" x14ac:dyDescent="0.2">
      <c r="A807">
        <v>45968</v>
      </c>
      <c r="B807" t="s">
        <v>96</v>
      </c>
      <c r="C807" t="s">
        <v>43</v>
      </c>
      <c r="D807">
        <v>3</v>
      </c>
      <c r="E807">
        <v>1</v>
      </c>
      <c r="F807">
        <v>5</v>
      </c>
      <c r="G807">
        <f>IF(Table3[[#This Row],[Service_Window]]="Lunch",1,0)</f>
        <v>1</v>
      </c>
    </row>
    <row r="808" spans="1:7" x14ac:dyDescent="0.2">
      <c r="A808">
        <v>45968</v>
      </c>
      <c r="B808" t="s">
        <v>96</v>
      </c>
      <c r="C808" t="s">
        <v>43</v>
      </c>
      <c r="D808">
        <v>4</v>
      </c>
      <c r="E808">
        <v>1</v>
      </c>
      <c r="F808">
        <v>5</v>
      </c>
      <c r="G808">
        <f>IF(Table3[[#This Row],[Service_Window]]="Lunch",1,0)</f>
        <v>1</v>
      </c>
    </row>
    <row r="809" spans="1:7" x14ac:dyDescent="0.2">
      <c r="A809">
        <v>45969</v>
      </c>
      <c r="B809" t="s">
        <v>127</v>
      </c>
      <c r="C809" t="s">
        <v>14</v>
      </c>
      <c r="D809">
        <v>2</v>
      </c>
      <c r="E809">
        <v>0</v>
      </c>
      <c r="F809">
        <v>6</v>
      </c>
      <c r="G809">
        <f>IF(Table3[[#This Row],[Service_Window]]="Lunch",1,0)</f>
        <v>0</v>
      </c>
    </row>
    <row r="810" spans="1:7" x14ac:dyDescent="0.2">
      <c r="A810">
        <v>45969</v>
      </c>
      <c r="B810" t="s">
        <v>127</v>
      </c>
      <c r="C810" t="s">
        <v>14</v>
      </c>
      <c r="D810">
        <v>5</v>
      </c>
      <c r="E810">
        <v>0</v>
      </c>
      <c r="F810">
        <v>6</v>
      </c>
      <c r="G810">
        <f>IF(Table3[[#This Row],[Service_Window]]="Lunch",1,0)</f>
        <v>0</v>
      </c>
    </row>
    <row r="811" spans="1:7" x14ac:dyDescent="0.2">
      <c r="A811">
        <v>45969</v>
      </c>
      <c r="B811" t="s">
        <v>127</v>
      </c>
      <c r="C811" t="s">
        <v>14</v>
      </c>
      <c r="D811">
        <v>4</v>
      </c>
      <c r="E811">
        <v>0</v>
      </c>
      <c r="F811">
        <v>6</v>
      </c>
      <c r="G811">
        <f>IF(Table3[[#This Row],[Service_Window]]="Lunch",1,0)</f>
        <v>0</v>
      </c>
    </row>
    <row r="812" spans="1:7" x14ac:dyDescent="0.2">
      <c r="A812">
        <v>45969</v>
      </c>
      <c r="B812" t="s">
        <v>127</v>
      </c>
      <c r="C812" t="s">
        <v>14</v>
      </c>
      <c r="D812">
        <v>2</v>
      </c>
      <c r="E812">
        <v>0</v>
      </c>
      <c r="F812">
        <v>6</v>
      </c>
      <c r="G812">
        <f>IF(Table3[[#This Row],[Service_Window]]="Lunch",1,0)</f>
        <v>0</v>
      </c>
    </row>
    <row r="813" spans="1:7" x14ac:dyDescent="0.2">
      <c r="A813">
        <v>45969</v>
      </c>
      <c r="B813" t="s">
        <v>127</v>
      </c>
      <c r="C813" t="s">
        <v>14</v>
      </c>
      <c r="D813">
        <v>3</v>
      </c>
      <c r="E813">
        <v>0</v>
      </c>
      <c r="F813">
        <v>6</v>
      </c>
      <c r="G813">
        <f>IF(Table3[[#This Row],[Service_Window]]="Lunch",1,0)</f>
        <v>0</v>
      </c>
    </row>
    <row r="814" spans="1:7" x14ac:dyDescent="0.2">
      <c r="A814">
        <v>45969</v>
      </c>
      <c r="B814" t="s">
        <v>127</v>
      </c>
      <c r="C814" t="s">
        <v>14</v>
      </c>
      <c r="D814">
        <v>5</v>
      </c>
      <c r="E814">
        <v>0</v>
      </c>
      <c r="F814">
        <v>6</v>
      </c>
      <c r="G814">
        <f>IF(Table3[[#This Row],[Service_Window]]="Lunch",1,0)</f>
        <v>0</v>
      </c>
    </row>
    <row r="815" spans="1:7" x14ac:dyDescent="0.2">
      <c r="A815">
        <v>45969</v>
      </c>
      <c r="B815" t="s">
        <v>127</v>
      </c>
      <c r="C815" t="s">
        <v>14</v>
      </c>
      <c r="D815">
        <v>3</v>
      </c>
      <c r="E815">
        <v>0</v>
      </c>
      <c r="F815">
        <v>6</v>
      </c>
      <c r="G815">
        <f>IF(Table3[[#This Row],[Service_Window]]="Lunch",1,0)</f>
        <v>0</v>
      </c>
    </row>
    <row r="816" spans="1:7" x14ac:dyDescent="0.2">
      <c r="A816">
        <v>45969</v>
      </c>
      <c r="B816" t="s">
        <v>127</v>
      </c>
      <c r="C816" t="s">
        <v>14</v>
      </c>
      <c r="D816">
        <v>1</v>
      </c>
      <c r="E816">
        <v>0</v>
      </c>
      <c r="F816">
        <v>6</v>
      </c>
      <c r="G816">
        <f>IF(Table3[[#This Row],[Service_Window]]="Lunch",1,0)</f>
        <v>0</v>
      </c>
    </row>
    <row r="817" spans="1:7" x14ac:dyDescent="0.2">
      <c r="A817">
        <v>45969</v>
      </c>
      <c r="B817" t="s">
        <v>127</v>
      </c>
      <c r="C817" t="s">
        <v>14</v>
      </c>
      <c r="D817">
        <v>6</v>
      </c>
      <c r="E817">
        <v>0</v>
      </c>
      <c r="F817">
        <v>6</v>
      </c>
      <c r="G817">
        <f>IF(Table3[[#This Row],[Service_Window]]="Lunch",1,0)</f>
        <v>0</v>
      </c>
    </row>
    <row r="818" spans="1:7" x14ac:dyDescent="0.2">
      <c r="A818">
        <v>45969</v>
      </c>
      <c r="B818" t="s">
        <v>127</v>
      </c>
      <c r="C818" t="s">
        <v>14</v>
      </c>
      <c r="D818">
        <v>2</v>
      </c>
      <c r="E818">
        <v>0</v>
      </c>
      <c r="F818">
        <v>6</v>
      </c>
      <c r="G818">
        <f>IF(Table3[[#This Row],[Service_Window]]="Lunch",1,0)</f>
        <v>0</v>
      </c>
    </row>
    <row r="819" spans="1:7" x14ac:dyDescent="0.2">
      <c r="A819">
        <v>45969</v>
      </c>
      <c r="B819" t="s">
        <v>127</v>
      </c>
      <c r="C819" t="s">
        <v>14</v>
      </c>
      <c r="D819">
        <v>6</v>
      </c>
      <c r="E819">
        <v>0</v>
      </c>
      <c r="F819">
        <v>6</v>
      </c>
      <c r="G819">
        <f>IF(Table3[[#This Row],[Service_Window]]="Lunch",1,0)</f>
        <v>0</v>
      </c>
    </row>
    <row r="820" spans="1:7" x14ac:dyDescent="0.2">
      <c r="A820">
        <v>45969</v>
      </c>
      <c r="B820" t="s">
        <v>127</v>
      </c>
      <c r="C820" t="s">
        <v>14</v>
      </c>
      <c r="D820">
        <v>4</v>
      </c>
      <c r="E820">
        <v>0</v>
      </c>
      <c r="F820">
        <v>6</v>
      </c>
      <c r="G820">
        <f>IF(Table3[[#This Row],[Service_Window]]="Lunch",1,0)</f>
        <v>0</v>
      </c>
    </row>
    <row r="821" spans="1:7" x14ac:dyDescent="0.2">
      <c r="A821">
        <v>45969</v>
      </c>
      <c r="B821" t="s">
        <v>127</v>
      </c>
      <c r="C821" t="s">
        <v>14</v>
      </c>
      <c r="D821">
        <v>2</v>
      </c>
      <c r="E821">
        <v>0</v>
      </c>
      <c r="F821">
        <v>6</v>
      </c>
      <c r="G821">
        <f>IF(Table3[[#This Row],[Service_Window]]="Lunch",1,0)</f>
        <v>0</v>
      </c>
    </row>
    <row r="822" spans="1:7" x14ac:dyDescent="0.2">
      <c r="A822">
        <v>45969</v>
      </c>
      <c r="B822" t="s">
        <v>127</v>
      </c>
      <c r="C822" t="s">
        <v>14</v>
      </c>
      <c r="D822">
        <v>7</v>
      </c>
      <c r="E822">
        <v>0</v>
      </c>
      <c r="F822">
        <v>6</v>
      </c>
      <c r="G822">
        <f>IF(Table3[[#This Row],[Service_Window]]="Lunch",1,0)</f>
        <v>0</v>
      </c>
    </row>
    <row r="823" spans="1:7" x14ac:dyDescent="0.2">
      <c r="A823">
        <v>45969</v>
      </c>
      <c r="B823" t="s">
        <v>127</v>
      </c>
      <c r="C823" t="s">
        <v>14</v>
      </c>
      <c r="D823">
        <v>2</v>
      </c>
      <c r="E823">
        <v>0</v>
      </c>
      <c r="F823">
        <v>6</v>
      </c>
      <c r="G823">
        <f>IF(Table3[[#This Row],[Service_Window]]="Lunch",1,0)</f>
        <v>0</v>
      </c>
    </row>
    <row r="824" spans="1:7" x14ac:dyDescent="0.2">
      <c r="A824">
        <v>45969</v>
      </c>
      <c r="B824" t="s">
        <v>127</v>
      </c>
      <c r="C824" t="s">
        <v>14</v>
      </c>
      <c r="D824">
        <v>4</v>
      </c>
      <c r="E824">
        <v>0</v>
      </c>
      <c r="F824">
        <v>6</v>
      </c>
      <c r="G824">
        <f>IF(Table3[[#This Row],[Service_Window]]="Lunch",1,0)</f>
        <v>0</v>
      </c>
    </row>
    <row r="825" spans="1:7" x14ac:dyDescent="0.2">
      <c r="A825">
        <v>45969</v>
      </c>
      <c r="B825" t="s">
        <v>127</v>
      </c>
      <c r="C825" t="s">
        <v>14</v>
      </c>
      <c r="D825">
        <v>6</v>
      </c>
      <c r="E825">
        <v>0</v>
      </c>
      <c r="F825">
        <v>6</v>
      </c>
      <c r="G825">
        <f>IF(Table3[[#This Row],[Service_Window]]="Lunch",1,0)</f>
        <v>0</v>
      </c>
    </row>
    <row r="826" spans="1:7" x14ac:dyDescent="0.2">
      <c r="A826">
        <v>45969</v>
      </c>
      <c r="B826" t="s">
        <v>127</v>
      </c>
      <c r="C826" t="s">
        <v>14</v>
      </c>
      <c r="D826">
        <v>2</v>
      </c>
      <c r="E826">
        <v>0</v>
      </c>
      <c r="F826">
        <v>6</v>
      </c>
      <c r="G826">
        <f>IF(Table3[[#This Row],[Service_Window]]="Lunch",1,0)</f>
        <v>0</v>
      </c>
    </row>
    <row r="827" spans="1:7" x14ac:dyDescent="0.2">
      <c r="A827">
        <v>45969</v>
      </c>
      <c r="B827" t="s">
        <v>127</v>
      </c>
      <c r="C827" t="s">
        <v>14</v>
      </c>
      <c r="D827">
        <v>1</v>
      </c>
      <c r="E827">
        <v>0</v>
      </c>
      <c r="F827">
        <v>6</v>
      </c>
      <c r="G827">
        <f>IF(Table3[[#This Row],[Service_Window]]="Lunch",1,0)</f>
        <v>0</v>
      </c>
    </row>
    <row r="828" spans="1:7" x14ac:dyDescent="0.2">
      <c r="A828">
        <v>45969</v>
      </c>
      <c r="B828" t="s">
        <v>127</v>
      </c>
      <c r="C828" t="s">
        <v>14</v>
      </c>
      <c r="D828">
        <v>2</v>
      </c>
      <c r="E828">
        <v>0</v>
      </c>
      <c r="F828">
        <v>6</v>
      </c>
      <c r="G828">
        <f>IF(Table3[[#This Row],[Service_Window]]="Lunch",1,0)</f>
        <v>0</v>
      </c>
    </row>
    <row r="829" spans="1:7" x14ac:dyDescent="0.2">
      <c r="A829">
        <v>45969</v>
      </c>
      <c r="B829" t="s">
        <v>127</v>
      </c>
      <c r="C829" t="s">
        <v>43</v>
      </c>
      <c r="D829">
        <v>1</v>
      </c>
      <c r="E829">
        <v>0</v>
      </c>
      <c r="F829">
        <v>6</v>
      </c>
      <c r="G829">
        <f>IF(Table3[[#This Row],[Service_Window]]="Lunch",1,0)</f>
        <v>1</v>
      </c>
    </row>
    <row r="830" spans="1:7" x14ac:dyDescent="0.2">
      <c r="A830">
        <v>45969</v>
      </c>
      <c r="B830" t="s">
        <v>127</v>
      </c>
      <c r="C830" t="s">
        <v>43</v>
      </c>
      <c r="D830">
        <v>3</v>
      </c>
      <c r="E830">
        <v>0</v>
      </c>
      <c r="F830">
        <v>6</v>
      </c>
      <c r="G830">
        <f>IF(Table3[[#This Row],[Service_Window]]="Lunch",1,0)</f>
        <v>1</v>
      </c>
    </row>
    <row r="831" spans="1:7" x14ac:dyDescent="0.2">
      <c r="A831">
        <v>45969</v>
      </c>
      <c r="B831" t="s">
        <v>127</v>
      </c>
      <c r="C831" t="s">
        <v>43</v>
      </c>
      <c r="D831">
        <v>2</v>
      </c>
      <c r="E831">
        <v>0</v>
      </c>
      <c r="F831">
        <v>6</v>
      </c>
      <c r="G831">
        <f>IF(Table3[[#This Row],[Service_Window]]="Lunch",1,0)</f>
        <v>1</v>
      </c>
    </row>
    <row r="832" spans="1:7" x14ac:dyDescent="0.2">
      <c r="A832">
        <v>45969</v>
      </c>
      <c r="B832" t="s">
        <v>127</v>
      </c>
      <c r="C832" t="s">
        <v>43</v>
      </c>
      <c r="D832">
        <v>2</v>
      </c>
      <c r="E832">
        <v>0</v>
      </c>
      <c r="F832">
        <v>6</v>
      </c>
      <c r="G832">
        <f>IF(Table3[[#This Row],[Service_Window]]="Lunch",1,0)</f>
        <v>1</v>
      </c>
    </row>
    <row r="833" spans="1:7" x14ac:dyDescent="0.2">
      <c r="A833">
        <v>45970</v>
      </c>
      <c r="B833" t="s">
        <v>171</v>
      </c>
      <c r="C833" t="s">
        <v>14</v>
      </c>
      <c r="D833">
        <v>4</v>
      </c>
      <c r="E833">
        <v>0</v>
      </c>
      <c r="F833">
        <v>7</v>
      </c>
      <c r="G833">
        <f>IF(Table3[[#This Row],[Service_Window]]="Lunch",1,0)</f>
        <v>0</v>
      </c>
    </row>
    <row r="834" spans="1:7" x14ac:dyDescent="0.2">
      <c r="A834">
        <v>45970</v>
      </c>
      <c r="B834" t="s">
        <v>171</v>
      </c>
      <c r="C834" t="s">
        <v>14</v>
      </c>
      <c r="D834">
        <v>1</v>
      </c>
      <c r="E834">
        <v>0</v>
      </c>
      <c r="F834">
        <v>7</v>
      </c>
      <c r="G834">
        <f>IF(Table3[[#This Row],[Service_Window]]="Lunch",1,0)</f>
        <v>0</v>
      </c>
    </row>
    <row r="835" spans="1:7" x14ac:dyDescent="0.2">
      <c r="A835">
        <v>45970</v>
      </c>
      <c r="B835" t="s">
        <v>171</v>
      </c>
      <c r="C835" t="s">
        <v>14</v>
      </c>
      <c r="D835">
        <v>1</v>
      </c>
      <c r="E835">
        <v>0</v>
      </c>
      <c r="F835">
        <v>7</v>
      </c>
      <c r="G835">
        <f>IF(Table3[[#This Row],[Service_Window]]="Lunch",1,0)</f>
        <v>0</v>
      </c>
    </row>
    <row r="836" spans="1:7" x14ac:dyDescent="0.2">
      <c r="A836">
        <v>45970</v>
      </c>
      <c r="B836" t="s">
        <v>171</v>
      </c>
      <c r="C836" t="s">
        <v>14</v>
      </c>
      <c r="D836">
        <v>5</v>
      </c>
      <c r="E836">
        <v>0</v>
      </c>
      <c r="F836">
        <v>7</v>
      </c>
      <c r="G836">
        <f>IF(Table3[[#This Row],[Service_Window]]="Lunch",1,0)</f>
        <v>0</v>
      </c>
    </row>
    <row r="837" spans="1:7" x14ac:dyDescent="0.2">
      <c r="A837">
        <v>45970</v>
      </c>
      <c r="B837" t="s">
        <v>171</v>
      </c>
      <c r="C837" t="s">
        <v>14</v>
      </c>
      <c r="D837">
        <v>6</v>
      </c>
      <c r="E837">
        <v>0</v>
      </c>
      <c r="F837">
        <v>7</v>
      </c>
      <c r="G837">
        <f>IF(Table3[[#This Row],[Service_Window]]="Lunch",1,0)</f>
        <v>0</v>
      </c>
    </row>
    <row r="838" spans="1:7" x14ac:dyDescent="0.2">
      <c r="A838">
        <v>45970</v>
      </c>
      <c r="B838" t="s">
        <v>171</v>
      </c>
      <c r="C838" t="s">
        <v>14</v>
      </c>
      <c r="D838">
        <v>6</v>
      </c>
      <c r="E838">
        <v>0</v>
      </c>
      <c r="F838">
        <v>7</v>
      </c>
      <c r="G838">
        <f>IF(Table3[[#This Row],[Service_Window]]="Lunch",1,0)</f>
        <v>0</v>
      </c>
    </row>
    <row r="839" spans="1:7" x14ac:dyDescent="0.2">
      <c r="A839">
        <v>45970</v>
      </c>
      <c r="B839" t="s">
        <v>171</v>
      </c>
      <c r="C839" t="s">
        <v>14</v>
      </c>
      <c r="D839">
        <v>2</v>
      </c>
      <c r="E839">
        <v>0</v>
      </c>
      <c r="F839">
        <v>7</v>
      </c>
      <c r="G839">
        <f>IF(Table3[[#This Row],[Service_Window]]="Lunch",1,0)</f>
        <v>0</v>
      </c>
    </row>
    <row r="840" spans="1:7" x14ac:dyDescent="0.2">
      <c r="A840">
        <v>45970</v>
      </c>
      <c r="B840" t="s">
        <v>171</v>
      </c>
      <c r="C840" t="s">
        <v>14</v>
      </c>
      <c r="D840">
        <v>2</v>
      </c>
      <c r="E840">
        <v>0</v>
      </c>
      <c r="F840">
        <v>7</v>
      </c>
      <c r="G840">
        <f>IF(Table3[[#This Row],[Service_Window]]="Lunch",1,0)</f>
        <v>0</v>
      </c>
    </row>
    <row r="841" spans="1:7" x14ac:dyDescent="0.2">
      <c r="A841">
        <v>45970</v>
      </c>
      <c r="B841" t="s">
        <v>171</v>
      </c>
      <c r="C841" t="s">
        <v>14</v>
      </c>
      <c r="D841">
        <v>4</v>
      </c>
      <c r="E841">
        <v>0</v>
      </c>
      <c r="F841">
        <v>7</v>
      </c>
      <c r="G841">
        <f>IF(Table3[[#This Row],[Service_Window]]="Lunch",1,0)</f>
        <v>0</v>
      </c>
    </row>
    <row r="842" spans="1:7" x14ac:dyDescent="0.2">
      <c r="A842">
        <v>45970</v>
      </c>
      <c r="B842" t="s">
        <v>171</v>
      </c>
      <c r="C842" t="s">
        <v>14</v>
      </c>
      <c r="D842">
        <v>2</v>
      </c>
      <c r="E842">
        <v>0</v>
      </c>
      <c r="F842">
        <v>7</v>
      </c>
      <c r="G842">
        <f>IF(Table3[[#This Row],[Service_Window]]="Lunch",1,0)</f>
        <v>0</v>
      </c>
    </row>
    <row r="843" spans="1:7" x14ac:dyDescent="0.2">
      <c r="A843">
        <v>45970</v>
      </c>
      <c r="B843" t="s">
        <v>171</v>
      </c>
      <c r="C843" t="s">
        <v>14</v>
      </c>
      <c r="D843">
        <v>5</v>
      </c>
      <c r="E843">
        <v>0</v>
      </c>
      <c r="F843">
        <v>7</v>
      </c>
      <c r="G843">
        <f>IF(Table3[[#This Row],[Service_Window]]="Lunch",1,0)</f>
        <v>0</v>
      </c>
    </row>
    <row r="844" spans="1:7" x14ac:dyDescent="0.2">
      <c r="A844">
        <v>45970</v>
      </c>
      <c r="B844" t="s">
        <v>171</v>
      </c>
      <c r="C844" t="s">
        <v>14</v>
      </c>
      <c r="D844">
        <v>3</v>
      </c>
      <c r="E844">
        <v>0</v>
      </c>
      <c r="F844">
        <v>7</v>
      </c>
      <c r="G844">
        <f>IF(Table3[[#This Row],[Service_Window]]="Lunch",1,0)</f>
        <v>0</v>
      </c>
    </row>
    <row r="845" spans="1:7" x14ac:dyDescent="0.2">
      <c r="A845">
        <v>45970</v>
      </c>
      <c r="B845" t="s">
        <v>171</v>
      </c>
      <c r="C845" t="s">
        <v>14</v>
      </c>
      <c r="D845">
        <v>3</v>
      </c>
      <c r="E845">
        <v>0</v>
      </c>
      <c r="F845">
        <v>7</v>
      </c>
      <c r="G845">
        <f>IF(Table3[[#This Row],[Service_Window]]="Lunch",1,0)</f>
        <v>0</v>
      </c>
    </row>
    <row r="846" spans="1:7" x14ac:dyDescent="0.2">
      <c r="A846">
        <v>45970</v>
      </c>
      <c r="B846" t="s">
        <v>171</v>
      </c>
      <c r="C846" t="s">
        <v>14</v>
      </c>
      <c r="D846">
        <v>5</v>
      </c>
      <c r="E846">
        <v>0</v>
      </c>
      <c r="F846">
        <v>7</v>
      </c>
      <c r="G846">
        <f>IF(Table3[[#This Row],[Service_Window]]="Lunch",1,0)</f>
        <v>0</v>
      </c>
    </row>
    <row r="847" spans="1:7" x14ac:dyDescent="0.2">
      <c r="A847">
        <v>45970</v>
      </c>
      <c r="B847" t="s">
        <v>171</v>
      </c>
      <c r="C847" t="s">
        <v>14</v>
      </c>
      <c r="D847">
        <v>2</v>
      </c>
      <c r="E847">
        <v>0</v>
      </c>
      <c r="F847">
        <v>7</v>
      </c>
      <c r="G847">
        <f>IF(Table3[[#This Row],[Service_Window]]="Lunch",1,0)</f>
        <v>0</v>
      </c>
    </row>
    <row r="848" spans="1:7" x14ac:dyDescent="0.2">
      <c r="A848">
        <v>45970</v>
      </c>
      <c r="B848" t="s">
        <v>171</v>
      </c>
      <c r="C848" t="s">
        <v>14</v>
      </c>
      <c r="D848">
        <v>2</v>
      </c>
      <c r="E848">
        <v>0</v>
      </c>
      <c r="F848">
        <v>7</v>
      </c>
      <c r="G848">
        <f>IF(Table3[[#This Row],[Service_Window]]="Lunch",1,0)</f>
        <v>0</v>
      </c>
    </row>
    <row r="849" spans="1:7" x14ac:dyDescent="0.2">
      <c r="A849">
        <v>45970</v>
      </c>
      <c r="B849" t="s">
        <v>171</v>
      </c>
      <c r="C849" t="s">
        <v>14</v>
      </c>
      <c r="D849">
        <v>6</v>
      </c>
      <c r="E849">
        <v>0</v>
      </c>
      <c r="F849">
        <v>7</v>
      </c>
      <c r="G849">
        <f>IF(Table3[[#This Row],[Service_Window]]="Lunch",1,0)</f>
        <v>0</v>
      </c>
    </row>
    <row r="850" spans="1:7" x14ac:dyDescent="0.2">
      <c r="A850">
        <v>45970</v>
      </c>
      <c r="B850" t="s">
        <v>171</v>
      </c>
      <c r="C850" t="s">
        <v>14</v>
      </c>
      <c r="D850">
        <v>1</v>
      </c>
      <c r="E850">
        <v>0</v>
      </c>
      <c r="F850">
        <v>7</v>
      </c>
      <c r="G850">
        <f>IF(Table3[[#This Row],[Service_Window]]="Lunch",1,0)</f>
        <v>0</v>
      </c>
    </row>
    <row r="851" spans="1:7" x14ac:dyDescent="0.2">
      <c r="A851">
        <v>45970</v>
      </c>
      <c r="B851" t="s">
        <v>171</v>
      </c>
      <c r="C851" t="s">
        <v>43</v>
      </c>
      <c r="D851">
        <v>4</v>
      </c>
      <c r="E851">
        <v>0</v>
      </c>
      <c r="F851">
        <v>7</v>
      </c>
      <c r="G851">
        <f>IF(Table3[[#This Row],[Service_Window]]="Lunch",1,0)</f>
        <v>1</v>
      </c>
    </row>
    <row r="852" spans="1:7" x14ac:dyDescent="0.2">
      <c r="A852">
        <v>45970</v>
      </c>
      <c r="B852" t="s">
        <v>171</v>
      </c>
      <c r="C852" t="s">
        <v>43</v>
      </c>
      <c r="D852">
        <v>5</v>
      </c>
      <c r="E852">
        <v>0</v>
      </c>
      <c r="F852">
        <v>7</v>
      </c>
      <c r="G852">
        <f>IF(Table3[[#This Row],[Service_Window]]="Lunch",1,0)</f>
        <v>1</v>
      </c>
    </row>
    <row r="853" spans="1:7" x14ac:dyDescent="0.2">
      <c r="A853">
        <v>45971</v>
      </c>
      <c r="B853" t="s">
        <v>213</v>
      </c>
      <c r="C853" t="s">
        <v>14</v>
      </c>
      <c r="D853">
        <v>3</v>
      </c>
      <c r="E853">
        <v>0</v>
      </c>
      <c r="F853">
        <v>1</v>
      </c>
      <c r="G853">
        <f>IF(Table3[[#This Row],[Service_Window]]="Lunch",1,0)</f>
        <v>0</v>
      </c>
    </row>
    <row r="854" spans="1:7" x14ac:dyDescent="0.2">
      <c r="A854">
        <v>45971</v>
      </c>
      <c r="B854" t="s">
        <v>213</v>
      </c>
      <c r="C854" t="s">
        <v>14</v>
      </c>
      <c r="D854">
        <v>5</v>
      </c>
      <c r="E854">
        <v>0</v>
      </c>
      <c r="F854">
        <v>1</v>
      </c>
      <c r="G854">
        <f>IF(Table3[[#This Row],[Service_Window]]="Lunch",1,0)</f>
        <v>0</v>
      </c>
    </row>
    <row r="855" spans="1:7" x14ac:dyDescent="0.2">
      <c r="A855">
        <v>45971</v>
      </c>
      <c r="B855" t="s">
        <v>213</v>
      </c>
      <c r="C855" t="s">
        <v>14</v>
      </c>
      <c r="D855">
        <v>4</v>
      </c>
      <c r="E855">
        <v>0</v>
      </c>
      <c r="F855">
        <v>1</v>
      </c>
      <c r="G855">
        <f>IF(Table3[[#This Row],[Service_Window]]="Lunch",1,0)</f>
        <v>0</v>
      </c>
    </row>
    <row r="856" spans="1:7" x14ac:dyDescent="0.2">
      <c r="A856">
        <v>45971</v>
      </c>
      <c r="B856" t="s">
        <v>213</v>
      </c>
      <c r="C856" t="s">
        <v>14</v>
      </c>
      <c r="D856">
        <v>5</v>
      </c>
      <c r="E856">
        <v>0</v>
      </c>
      <c r="F856">
        <v>1</v>
      </c>
      <c r="G856">
        <f>IF(Table3[[#This Row],[Service_Window]]="Lunch",1,0)</f>
        <v>0</v>
      </c>
    </row>
    <row r="857" spans="1:7" x14ac:dyDescent="0.2">
      <c r="A857">
        <v>45971</v>
      </c>
      <c r="B857" t="s">
        <v>213</v>
      </c>
      <c r="C857" t="s">
        <v>14</v>
      </c>
      <c r="D857">
        <v>3</v>
      </c>
      <c r="E857">
        <v>0</v>
      </c>
      <c r="F857">
        <v>1</v>
      </c>
      <c r="G857">
        <f>IF(Table3[[#This Row],[Service_Window]]="Lunch",1,0)</f>
        <v>0</v>
      </c>
    </row>
    <row r="858" spans="1:7" x14ac:dyDescent="0.2">
      <c r="A858">
        <v>45971</v>
      </c>
      <c r="B858" t="s">
        <v>213</v>
      </c>
      <c r="C858" t="s">
        <v>14</v>
      </c>
      <c r="D858">
        <v>2</v>
      </c>
      <c r="E858">
        <v>0</v>
      </c>
      <c r="F858">
        <v>1</v>
      </c>
      <c r="G858">
        <f>IF(Table3[[#This Row],[Service_Window]]="Lunch",1,0)</f>
        <v>0</v>
      </c>
    </row>
    <row r="859" spans="1:7" x14ac:dyDescent="0.2">
      <c r="A859">
        <v>45971</v>
      </c>
      <c r="B859" t="s">
        <v>213</v>
      </c>
      <c r="C859" t="s">
        <v>14</v>
      </c>
      <c r="D859">
        <v>4</v>
      </c>
      <c r="E859">
        <v>0</v>
      </c>
      <c r="F859">
        <v>1</v>
      </c>
      <c r="G859">
        <f>IF(Table3[[#This Row],[Service_Window]]="Lunch",1,0)</f>
        <v>0</v>
      </c>
    </row>
    <row r="860" spans="1:7" x14ac:dyDescent="0.2">
      <c r="A860">
        <v>45971</v>
      </c>
      <c r="B860" t="s">
        <v>213</v>
      </c>
      <c r="C860" t="s">
        <v>14</v>
      </c>
      <c r="D860">
        <v>1</v>
      </c>
      <c r="E860">
        <v>0</v>
      </c>
      <c r="F860">
        <v>1</v>
      </c>
      <c r="G860">
        <f>IF(Table3[[#This Row],[Service_Window]]="Lunch",1,0)</f>
        <v>0</v>
      </c>
    </row>
    <row r="861" spans="1:7" x14ac:dyDescent="0.2">
      <c r="A861">
        <v>45971</v>
      </c>
      <c r="B861" t="s">
        <v>213</v>
      </c>
      <c r="C861" t="s">
        <v>14</v>
      </c>
      <c r="D861">
        <v>3</v>
      </c>
      <c r="E861">
        <v>0</v>
      </c>
      <c r="F861">
        <v>1</v>
      </c>
      <c r="G861">
        <f>IF(Table3[[#This Row],[Service_Window]]="Lunch",1,0)</f>
        <v>0</v>
      </c>
    </row>
    <row r="862" spans="1:7" x14ac:dyDescent="0.2">
      <c r="A862">
        <v>45971</v>
      </c>
      <c r="B862" t="s">
        <v>213</v>
      </c>
      <c r="C862" t="s">
        <v>14</v>
      </c>
      <c r="D862">
        <v>4</v>
      </c>
      <c r="E862">
        <v>0</v>
      </c>
      <c r="F862">
        <v>1</v>
      </c>
      <c r="G862">
        <f>IF(Table3[[#This Row],[Service_Window]]="Lunch",1,0)</f>
        <v>0</v>
      </c>
    </row>
    <row r="863" spans="1:7" x14ac:dyDescent="0.2">
      <c r="A863">
        <v>45971</v>
      </c>
      <c r="B863" t="s">
        <v>213</v>
      </c>
      <c r="C863" t="s">
        <v>14</v>
      </c>
      <c r="D863">
        <v>4</v>
      </c>
      <c r="E863">
        <v>0</v>
      </c>
      <c r="F863">
        <v>1</v>
      </c>
      <c r="G863">
        <f>IF(Table3[[#This Row],[Service_Window]]="Lunch",1,0)</f>
        <v>0</v>
      </c>
    </row>
    <row r="864" spans="1:7" x14ac:dyDescent="0.2">
      <c r="A864">
        <v>45971</v>
      </c>
      <c r="B864" t="s">
        <v>213</v>
      </c>
      <c r="C864" t="s">
        <v>14</v>
      </c>
      <c r="D864">
        <v>1</v>
      </c>
      <c r="E864">
        <v>0</v>
      </c>
      <c r="F864">
        <v>1</v>
      </c>
      <c r="G864">
        <f>IF(Table3[[#This Row],[Service_Window]]="Lunch",1,0)</f>
        <v>0</v>
      </c>
    </row>
    <row r="865" spans="1:7" x14ac:dyDescent="0.2">
      <c r="A865">
        <v>45971</v>
      </c>
      <c r="B865" t="s">
        <v>213</v>
      </c>
      <c r="C865" t="s">
        <v>14</v>
      </c>
      <c r="D865">
        <v>5</v>
      </c>
      <c r="E865">
        <v>0</v>
      </c>
      <c r="F865">
        <v>1</v>
      </c>
      <c r="G865">
        <f>IF(Table3[[#This Row],[Service_Window]]="Lunch",1,0)</f>
        <v>0</v>
      </c>
    </row>
    <row r="866" spans="1:7" x14ac:dyDescent="0.2">
      <c r="A866">
        <v>45971</v>
      </c>
      <c r="B866" t="s">
        <v>213</v>
      </c>
      <c r="C866" t="s">
        <v>14</v>
      </c>
      <c r="D866">
        <v>3</v>
      </c>
      <c r="E866">
        <v>0</v>
      </c>
      <c r="F866">
        <v>1</v>
      </c>
      <c r="G866">
        <f>IF(Table3[[#This Row],[Service_Window]]="Lunch",1,0)</f>
        <v>0</v>
      </c>
    </row>
    <row r="867" spans="1:7" x14ac:dyDescent="0.2">
      <c r="A867">
        <v>45971</v>
      </c>
      <c r="B867" t="s">
        <v>213</v>
      </c>
      <c r="C867" t="s">
        <v>14</v>
      </c>
      <c r="D867">
        <v>3</v>
      </c>
      <c r="E867">
        <v>0</v>
      </c>
      <c r="F867">
        <v>1</v>
      </c>
      <c r="G867">
        <f>IF(Table3[[#This Row],[Service_Window]]="Lunch",1,0)</f>
        <v>0</v>
      </c>
    </row>
    <row r="868" spans="1:7" x14ac:dyDescent="0.2">
      <c r="A868">
        <v>45971</v>
      </c>
      <c r="B868" t="s">
        <v>213</v>
      </c>
      <c r="C868" t="s">
        <v>14</v>
      </c>
      <c r="D868">
        <v>3</v>
      </c>
      <c r="E868">
        <v>0</v>
      </c>
      <c r="F868">
        <v>1</v>
      </c>
      <c r="G868">
        <f>IF(Table3[[#This Row],[Service_Window]]="Lunch",1,0)</f>
        <v>0</v>
      </c>
    </row>
    <row r="869" spans="1:7" x14ac:dyDescent="0.2">
      <c r="A869">
        <v>45971</v>
      </c>
      <c r="B869" t="s">
        <v>213</v>
      </c>
      <c r="C869" t="s">
        <v>14</v>
      </c>
      <c r="D869">
        <v>2</v>
      </c>
      <c r="E869">
        <v>0</v>
      </c>
      <c r="F869">
        <v>1</v>
      </c>
      <c r="G869">
        <f>IF(Table3[[#This Row],[Service_Window]]="Lunch",1,0)</f>
        <v>0</v>
      </c>
    </row>
    <row r="870" spans="1:7" x14ac:dyDescent="0.2">
      <c r="A870">
        <v>45971</v>
      </c>
      <c r="B870" t="s">
        <v>213</v>
      </c>
      <c r="C870" t="s">
        <v>14</v>
      </c>
      <c r="D870">
        <v>5</v>
      </c>
      <c r="E870">
        <v>0</v>
      </c>
      <c r="F870">
        <v>1</v>
      </c>
      <c r="G870">
        <f>IF(Table3[[#This Row],[Service_Window]]="Lunch",1,0)</f>
        <v>0</v>
      </c>
    </row>
    <row r="871" spans="1:7" x14ac:dyDescent="0.2">
      <c r="A871">
        <v>45971</v>
      </c>
      <c r="B871" t="s">
        <v>213</v>
      </c>
      <c r="C871" t="s">
        <v>14</v>
      </c>
      <c r="D871">
        <v>4</v>
      </c>
      <c r="E871">
        <v>0</v>
      </c>
      <c r="F871">
        <v>1</v>
      </c>
      <c r="G871">
        <f>IF(Table3[[#This Row],[Service_Window]]="Lunch",1,0)</f>
        <v>0</v>
      </c>
    </row>
    <row r="872" spans="1:7" x14ac:dyDescent="0.2">
      <c r="A872">
        <v>45971</v>
      </c>
      <c r="B872" t="s">
        <v>213</v>
      </c>
      <c r="C872" t="s">
        <v>14</v>
      </c>
      <c r="D872">
        <v>2</v>
      </c>
      <c r="E872">
        <v>0</v>
      </c>
      <c r="F872">
        <v>1</v>
      </c>
      <c r="G872">
        <f>IF(Table3[[#This Row],[Service_Window]]="Lunch",1,0)</f>
        <v>0</v>
      </c>
    </row>
    <row r="873" spans="1:7" x14ac:dyDescent="0.2">
      <c r="A873">
        <v>45971</v>
      </c>
      <c r="B873" t="s">
        <v>213</v>
      </c>
      <c r="C873" t="s">
        <v>43</v>
      </c>
      <c r="D873">
        <v>2</v>
      </c>
      <c r="E873">
        <v>0</v>
      </c>
      <c r="F873">
        <v>1</v>
      </c>
      <c r="G873">
        <f>IF(Table3[[#This Row],[Service_Window]]="Lunch",1,0)</f>
        <v>1</v>
      </c>
    </row>
    <row r="874" spans="1:7" x14ac:dyDescent="0.2">
      <c r="A874">
        <v>45971</v>
      </c>
      <c r="B874" t="s">
        <v>213</v>
      </c>
      <c r="C874" t="s">
        <v>43</v>
      </c>
      <c r="D874">
        <v>3</v>
      </c>
      <c r="E874">
        <v>0</v>
      </c>
      <c r="F874">
        <v>1</v>
      </c>
      <c r="G874">
        <f>IF(Table3[[#This Row],[Service_Window]]="Lunch",1,0)</f>
        <v>1</v>
      </c>
    </row>
    <row r="875" spans="1:7" x14ac:dyDescent="0.2">
      <c r="A875">
        <v>45971</v>
      </c>
      <c r="B875" t="s">
        <v>213</v>
      </c>
      <c r="C875" t="s">
        <v>43</v>
      </c>
      <c r="D875">
        <v>3</v>
      </c>
      <c r="E875">
        <v>0</v>
      </c>
      <c r="F875">
        <v>1</v>
      </c>
      <c r="G875">
        <f>IF(Table3[[#This Row],[Service_Window]]="Lunch",1,0)</f>
        <v>1</v>
      </c>
    </row>
    <row r="876" spans="1:7" x14ac:dyDescent="0.2">
      <c r="A876">
        <v>45971</v>
      </c>
      <c r="B876" t="s">
        <v>213</v>
      </c>
      <c r="C876" t="s">
        <v>43</v>
      </c>
      <c r="D876">
        <v>3</v>
      </c>
      <c r="E876">
        <v>0</v>
      </c>
      <c r="F876">
        <v>1</v>
      </c>
      <c r="G876">
        <f>IF(Table3[[#This Row],[Service_Window]]="Lunch",1,0)</f>
        <v>1</v>
      </c>
    </row>
    <row r="877" spans="1:7" x14ac:dyDescent="0.2">
      <c r="A877">
        <v>45972</v>
      </c>
      <c r="B877" t="s">
        <v>250</v>
      </c>
      <c r="C877" t="s">
        <v>14</v>
      </c>
      <c r="D877">
        <v>7</v>
      </c>
      <c r="E877">
        <v>0</v>
      </c>
      <c r="F877">
        <v>2</v>
      </c>
      <c r="G877">
        <f>IF(Table3[[#This Row],[Service_Window]]="Lunch",1,0)</f>
        <v>0</v>
      </c>
    </row>
    <row r="878" spans="1:7" x14ac:dyDescent="0.2">
      <c r="A878">
        <v>45972</v>
      </c>
      <c r="B878" t="s">
        <v>250</v>
      </c>
      <c r="C878" t="s">
        <v>14</v>
      </c>
      <c r="D878">
        <v>5</v>
      </c>
      <c r="E878">
        <v>0</v>
      </c>
      <c r="F878">
        <v>2</v>
      </c>
      <c r="G878">
        <f>IF(Table3[[#This Row],[Service_Window]]="Lunch",1,0)</f>
        <v>0</v>
      </c>
    </row>
    <row r="879" spans="1:7" x14ac:dyDescent="0.2">
      <c r="A879">
        <v>45972</v>
      </c>
      <c r="B879" t="s">
        <v>250</v>
      </c>
      <c r="C879" t="s">
        <v>14</v>
      </c>
      <c r="D879">
        <v>2</v>
      </c>
      <c r="E879">
        <v>0</v>
      </c>
      <c r="F879">
        <v>2</v>
      </c>
      <c r="G879">
        <f>IF(Table3[[#This Row],[Service_Window]]="Lunch",1,0)</f>
        <v>0</v>
      </c>
    </row>
    <row r="880" spans="1:7" x14ac:dyDescent="0.2">
      <c r="A880">
        <v>45972</v>
      </c>
      <c r="B880" t="s">
        <v>250</v>
      </c>
      <c r="C880" t="s">
        <v>14</v>
      </c>
      <c r="D880">
        <v>2</v>
      </c>
      <c r="E880">
        <v>0</v>
      </c>
      <c r="F880">
        <v>2</v>
      </c>
      <c r="G880">
        <f>IF(Table3[[#This Row],[Service_Window]]="Lunch",1,0)</f>
        <v>0</v>
      </c>
    </row>
    <row r="881" spans="1:7" x14ac:dyDescent="0.2">
      <c r="A881">
        <v>45972</v>
      </c>
      <c r="B881" t="s">
        <v>250</v>
      </c>
      <c r="C881" t="s">
        <v>14</v>
      </c>
      <c r="D881">
        <v>3</v>
      </c>
      <c r="E881">
        <v>0</v>
      </c>
      <c r="F881">
        <v>2</v>
      </c>
      <c r="G881">
        <f>IF(Table3[[#This Row],[Service_Window]]="Lunch",1,0)</f>
        <v>0</v>
      </c>
    </row>
    <row r="882" spans="1:7" x14ac:dyDescent="0.2">
      <c r="A882">
        <v>45972</v>
      </c>
      <c r="B882" t="s">
        <v>250</v>
      </c>
      <c r="C882" t="s">
        <v>14</v>
      </c>
      <c r="D882">
        <v>3</v>
      </c>
      <c r="E882">
        <v>0</v>
      </c>
      <c r="F882">
        <v>2</v>
      </c>
      <c r="G882">
        <f>IF(Table3[[#This Row],[Service_Window]]="Lunch",1,0)</f>
        <v>0</v>
      </c>
    </row>
    <row r="883" spans="1:7" x14ac:dyDescent="0.2">
      <c r="A883">
        <v>45972</v>
      </c>
      <c r="B883" t="s">
        <v>250</v>
      </c>
      <c r="C883" t="s">
        <v>14</v>
      </c>
      <c r="D883">
        <v>5</v>
      </c>
      <c r="E883">
        <v>0</v>
      </c>
      <c r="F883">
        <v>2</v>
      </c>
      <c r="G883">
        <f>IF(Table3[[#This Row],[Service_Window]]="Lunch",1,0)</f>
        <v>0</v>
      </c>
    </row>
    <row r="884" spans="1:7" x14ac:dyDescent="0.2">
      <c r="A884">
        <v>45972</v>
      </c>
      <c r="B884" t="s">
        <v>250</v>
      </c>
      <c r="C884" t="s">
        <v>14</v>
      </c>
      <c r="D884">
        <v>1</v>
      </c>
      <c r="E884">
        <v>0</v>
      </c>
      <c r="F884">
        <v>2</v>
      </c>
      <c r="G884">
        <f>IF(Table3[[#This Row],[Service_Window]]="Lunch",1,0)</f>
        <v>0</v>
      </c>
    </row>
    <row r="885" spans="1:7" x14ac:dyDescent="0.2">
      <c r="A885">
        <v>45972</v>
      </c>
      <c r="B885" t="s">
        <v>250</v>
      </c>
      <c r="C885" t="s">
        <v>14</v>
      </c>
      <c r="D885">
        <v>5</v>
      </c>
      <c r="E885">
        <v>0</v>
      </c>
      <c r="F885">
        <v>2</v>
      </c>
      <c r="G885">
        <f>IF(Table3[[#This Row],[Service_Window]]="Lunch",1,0)</f>
        <v>0</v>
      </c>
    </row>
    <row r="886" spans="1:7" x14ac:dyDescent="0.2">
      <c r="A886">
        <v>45972</v>
      </c>
      <c r="B886" t="s">
        <v>250</v>
      </c>
      <c r="C886" t="s">
        <v>14</v>
      </c>
      <c r="D886">
        <v>4</v>
      </c>
      <c r="E886">
        <v>0</v>
      </c>
      <c r="F886">
        <v>2</v>
      </c>
      <c r="G886">
        <f>IF(Table3[[#This Row],[Service_Window]]="Lunch",1,0)</f>
        <v>0</v>
      </c>
    </row>
    <row r="887" spans="1:7" x14ac:dyDescent="0.2">
      <c r="A887">
        <v>45972</v>
      </c>
      <c r="B887" t="s">
        <v>250</v>
      </c>
      <c r="C887" t="s">
        <v>14</v>
      </c>
      <c r="D887">
        <v>3</v>
      </c>
      <c r="E887">
        <v>0</v>
      </c>
      <c r="F887">
        <v>2</v>
      </c>
      <c r="G887">
        <f>IF(Table3[[#This Row],[Service_Window]]="Lunch",1,0)</f>
        <v>0</v>
      </c>
    </row>
    <row r="888" spans="1:7" x14ac:dyDescent="0.2">
      <c r="A888">
        <v>45972</v>
      </c>
      <c r="B888" t="s">
        <v>250</v>
      </c>
      <c r="C888" t="s">
        <v>14</v>
      </c>
      <c r="D888">
        <v>3</v>
      </c>
      <c r="E888">
        <v>0</v>
      </c>
      <c r="F888">
        <v>2</v>
      </c>
      <c r="G888">
        <f>IF(Table3[[#This Row],[Service_Window]]="Lunch",1,0)</f>
        <v>0</v>
      </c>
    </row>
    <row r="889" spans="1:7" x14ac:dyDescent="0.2">
      <c r="A889">
        <v>45972</v>
      </c>
      <c r="B889" t="s">
        <v>250</v>
      </c>
      <c r="C889" t="s">
        <v>14</v>
      </c>
      <c r="D889">
        <v>2</v>
      </c>
      <c r="E889">
        <v>0</v>
      </c>
      <c r="F889">
        <v>2</v>
      </c>
      <c r="G889">
        <f>IF(Table3[[#This Row],[Service_Window]]="Lunch",1,0)</f>
        <v>0</v>
      </c>
    </row>
    <row r="890" spans="1:7" x14ac:dyDescent="0.2">
      <c r="A890">
        <v>45972</v>
      </c>
      <c r="B890" t="s">
        <v>250</v>
      </c>
      <c r="C890" t="s">
        <v>14</v>
      </c>
      <c r="D890">
        <v>4</v>
      </c>
      <c r="E890">
        <v>0</v>
      </c>
      <c r="F890">
        <v>2</v>
      </c>
      <c r="G890">
        <f>IF(Table3[[#This Row],[Service_Window]]="Lunch",1,0)</f>
        <v>0</v>
      </c>
    </row>
    <row r="891" spans="1:7" x14ac:dyDescent="0.2">
      <c r="A891">
        <v>45972</v>
      </c>
      <c r="B891" t="s">
        <v>250</v>
      </c>
      <c r="C891" t="s">
        <v>14</v>
      </c>
      <c r="D891">
        <v>2</v>
      </c>
      <c r="E891">
        <v>0</v>
      </c>
      <c r="F891">
        <v>2</v>
      </c>
      <c r="G891">
        <f>IF(Table3[[#This Row],[Service_Window]]="Lunch",1,0)</f>
        <v>0</v>
      </c>
    </row>
    <row r="892" spans="1:7" x14ac:dyDescent="0.2">
      <c r="A892">
        <v>45972</v>
      </c>
      <c r="B892" t="s">
        <v>250</v>
      </c>
      <c r="C892" t="s">
        <v>14</v>
      </c>
      <c r="D892">
        <v>4</v>
      </c>
      <c r="E892">
        <v>0</v>
      </c>
      <c r="F892">
        <v>2</v>
      </c>
      <c r="G892">
        <f>IF(Table3[[#This Row],[Service_Window]]="Lunch",1,0)</f>
        <v>0</v>
      </c>
    </row>
    <row r="893" spans="1:7" x14ac:dyDescent="0.2">
      <c r="A893">
        <v>45972</v>
      </c>
      <c r="B893" t="s">
        <v>250</v>
      </c>
      <c r="C893" t="s">
        <v>14</v>
      </c>
      <c r="D893">
        <v>5</v>
      </c>
      <c r="E893">
        <v>0</v>
      </c>
      <c r="F893">
        <v>2</v>
      </c>
      <c r="G893">
        <f>IF(Table3[[#This Row],[Service_Window]]="Lunch",1,0)</f>
        <v>0</v>
      </c>
    </row>
    <row r="894" spans="1:7" x14ac:dyDescent="0.2">
      <c r="A894">
        <v>45972</v>
      </c>
      <c r="B894" t="s">
        <v>250</v>
      </c>
      <c r="C894" t="s">
        <v>14</v>
      </c>
      <c r="D894">
        <v>3</v>
      </c>
      <c r="E894">
        <v>0</v>
      </c>
      <c r="F894">
        <v>2</v>
      </c>
      <c r="G894">
        <f>IF(Table3[[#This Row],[Service_Window]]="Lunch",1,0)</f>
        <v>0</v>
      </c>
    </row>
    <row r="895" spans="1:7" x14ac:dyDescent="0.2">
      <c r="A895">
        <v>45972</v>
      </c>
      <c r="B895" t="s">
        <v>250</v>
      </c>
      <c r="C895" t="s">
        <v>14</v>
      </c>
      <c r="D895">
        <v>2</v>
      </c>
      <c r="E895">
        <v>0</v>
      </c>
      <c r="F895">
        <v>2</v>
      </c>
      <c r="G895">
        <f>IF(Table3[[#This Row],[Service_Window]]="Lunch",1,0)</f>
        <v>0</v>
      </c>
    </row>
    <row r="896" spans="1:7" x14ac:dyDescent="0.2">
      <c r="A896">
        <v>45972</v>
      </c>
      <c r="B896" t="s">
        <v>250</v>
      </c>
      <c r="C896" t="s">
        <v>14</v>
      </c>
      <c r="D896">
        <v>3</v>
      </c>
      <c r="E896">
        <v>0</v>
      </c>
      <c r="F896">
        <v>2</v>
      </c>
      <c r="G896">
        <f>IF(Table3[[#This Row],[Service_Window]]="Lunch",1,0)</f>
        <v>0</v>
      </c>
    </row>
    <row r="897" spans="1:7" x14ac:dyDescent="0.2">
      <c r="A897">
        <v>45972</v>
      </c>
      <c r="B897" t="s">
        <v>250</v>
      </c>
      <c r="C897" t="s">
        <v>14</v>
      </c>
      <c r="D897">
        <v>4</v>
      </c>
      <c r="E897">
        <v>0</v>
      </c>
      <c r="F897">
        <v>2</v>
      </c>
      <c r="G897">
        <f>IF(Table3[[#This Row],[Service_Window]]="Lunch",1,0)</f>
        <v>0</v>
      </c>
    </row>
    <row r="898" spans="1:7" x14ac:dyDescent="0.2">
      <c r="A898">
        <v>45972</v>
      </c>
      <c r="B898" t="s">
        <v>250</v>
      </c>
      <c r="C898" t="s">
        <v>43</v>
      </c>
      <c r="D898">
        <v>1</v>
      </c>
      <c r="E898">
        <v>0</v>
      </c>
      <c r="F898">
        <v>2</v>
      </c>
      <c r="G898">
        <f>IF(Table3[[#This Row],[Service_Window]]="Lunch",1,0)</f>
        <v>1</v>
      </c>
    </row>
    <row r="899" spans="1:7" x14ac:dyDescent="0.2">
      <c r="A899">
        <v>45972</v>
      </c>
      <c r="B899" t="s">
        <v>250</v>
      </c>
      <c r="C899" t="s">
        <v>43</v>
      </c>
      <c r="D899">
        <v>5</v>
      </c>
      <c r="E899">
        <v>0</v>
      </c>
      <c r="F899">
        <v>2</v>
      </c>
      <c r="G899">
        <f>IF(Table3[[#This Row],[Service_Window]]="Lunch",1,0)</f>
        <v>1</v>
      </c>
    </row>
    <row r="900" spans="1:7" x14ac:dyDescent="0.2">
      <c r="A900">
        <v>45973</v>
      </c>
      <c r="B900" t="s">
        <v>13</v>
      </c>
      <c r="C900" t="s">
        <v>14</v>
      </c>
      <c r="D900">
        <v>2</v>
      </c>
      <c r="E900">
        <v>0</v>
      </c>
      <c r="F900">
        <v>3</v>
      </c>
      <c r="G900">
        <f>IF(Table3[[#This Row],[Service_Window]]="Lunch",1,0)</f>
        <v>0</v>
      </c>
    </row>
    <row r="901" spans="1:7" x14ac:dyDescent="0.2">
      <c r="A901">
        <v>45973</v>
      </c>
      <c r="B901" t="s">
        <v>13</v>
      </c>
      <c r="C901" t="s">
        <v>14</v>
      </c>
      <c r="D901">
        <v>5</v>
      </c>
      <c r="E901">
        <v>0</v>
      </c>
      <c r="F901">
        <v>3</v>
      </c>
      <c r="G901">
        <f>IF(Table3[[#This Row],[Service_Window]]="Lunch",1,0)</f>
        <v>0</v>
      </c>
    </row>
    <row r="902" spans="1:7" x14ac:dyDescent="0.2">
      <c r="A902">
        <v>45973</v>
      </c>
      <c r="B902" t="s">
        <v>13</v>
      </c>
      <c r="C902" t="s">
        <v>14</v>
      </c>
      <c r="D902">
        <v>3</v>
      </c>
      <c r="E902">
        <v>0</v>
      </c>
      <c r="F902">
        <v>3</v>
      </c>
      <c r="G902">
        <f>IF(Table3[[#This Row],[Service_Window]]="Lunch",1,0)</f>
        <v>0</v>
      </c>
    </row>
    <row r="903" spans="1:7" x14ac:dyDescent="0.2">
      <c r="A903">
        <v>45973</v>
      </c>
      <c r="B903" t="s">
        <v>13</v>
      </c>
      <c r="C903" t="s">
        <v>14</v>
      </c>
      <c r="D903">
        <v>1</v>
      </c>
      <c r="E903">
        <v>0</v>
      </c>
      <c r="F903">
        <v>3</v>
      </c>
      <c r="G903">
        <f>IF(Table3[[#This Row],[Service_Window]]="Lunch",1,0)</f>
        <v>0</v>
      </c>
    </row>
    <row r="904" spans="1:7" x14ac:dyDescent="0.2">
      <c r="A904">
        <v>45973</v>
      </c>
      <c r="B904" t="s">
        <v>13</v>
      </c>
      <c r="C904" t="s">
        <v>14</v>
      </c>
      <c r="D904">
        <v>3</v>
      </c>
      <c r="E904">
        <v>0</v>
      </c>
      <c r="F904">
        <v>3</v>
      </c>
      <c r="G904">
        <f>IF(Table3[[#This Row],[Service_Window]]="Lunch",1,0)</f>
        <v>0</v>
      </c>
    </row>
    <row r="905" spans="1:7" x14ac:dyDescent="0.2">
      <c r="A905">
        <v>45973</v>
      </c>
      <c r="B905" t="s">
        <v>13</v>
      </c>
      <c r="C905" t="s">
        <v>14</v>
      </c>
      <c r="D905">
        <v>4</v>
      </c>
      <c r="E905">
        <v>0</v>
      </c>
      <c r="F905">
        <v>3</v>
      </c>
      <c r="G905">
        <f>IF(Table3[[#This Row],[Service_Window]]="Lunch",1,0)</f>
        <v>0</v>
      </c>
    </row>
    <row r="906" spans="1:7" x14ac:dyDescent="0.2">
      <c r="A906">
        <v>45973</v>
      </c>
      <c r="B906" t="s">
        <v>13</v>
      </c>
      <c r="C906" t="s">
        <v>14</v>
      </c>
      <c r="D906">
        <v>4</v>
      </c>
      <c r="E906">
        <v>0</v>
      </c>
      <c r="F906">
        <v>3</v>
      </c>
      <c r="G906">
        <f>IF(Table3[[#This Row],[Service_Window]]="Lunch",1,0)</f>
        <v>0</v>
      </c>
    </row>
    <row r="907" spans="1:7" x14ac:dyDescent="0.2">
      <c r="A907">
        <v>45973</v>
      </c>
      <c r="B907" t="s">
        <v>13</v>
      </c>
      <c r="C907" t="s">
        <v>14</v>
      </c>
      <c r="D907">
        <v>2</v>
      </c>
      <c r="E907">
        <v>0</v>
      </c>
      <c r="F907">
        <v>3</v>
      </c>
      <c r="G907">
        <f>IF(Table3[[#This Row],[Service_Window]]="Lunch",1,0)</f>
        <v>0</v>
      </c>
    </row>
    <row r="908" spans="1:7" x14ac:dyDescent="0.2">
      <c r="A908">
        <v>45973</v>
      </c>
      <c r="B908" t="s">
        <v>13</v>
      </c>
      <c r="C908" t="s">
        <v>14</v>
      </c>
      <c r="D908">
        <v>3</v>
      </c>
      <c r="E908">
        <v>0</v>
      </c>
      <c r="F908">
        <v>3</v>
      </c>
      <c r="G908">
        <f>IF(Table3[[#This Row],[Service_Window]]="Lunch",1,0)</f>
        <v>0</v>
      </c>
    </row>
    <row r="909" spans="1:7" x14ac:dyDescent="0.2">
      <c r="A909">
        <v>45973</v>
      </c>
      <c r="B909" t="s">
        <v>13</v>
      </c>
      <c r="C909" t="s">
        <v>14</v>
      </c>
      <c r="D909">
        <v>5</v>
      </c>
      <c r="E909">
        <v>0</v>
      </c>
      <c r="F909">
        <v>3</v>
      </c>
      <c r="G909">
        <f>IF(Table3[[#This Row],[Service_Window]]="Lunch",1,0)</f>
        <v>0</v>
      </c>
    </row>
    <row r="910" spans="1:7" x14ac:dyDescent="0.2">
      <c r="A910">
        <v>45973</v>
      </c>
      <c r="B910" t="s">
        <v>13</v>
      </c>
      <c r="C910" t="s">
        <v>14</v>
      </c>
      <c r="D910">
        <v>2</v>
      </c>
      <c r="E910">
        <v>0</v>
      </c>
      <c r="F910">
        <v>3</v>
      </c>
      <c r="G910">
        <f>IF(Table3[[#This Row],[Service_Window]]="Lunch",1,0)</f>
        <v>0</v>
      </c>
    </row>
    <row r="911" spans="1:7" x14ac:dyDescent="0.2">
      <c r="A911">
        <v>45973</v>
      </c>
      <c r="B911" t="s">
        <v>13</v>
      </c>
      <c r="C911" t="s">
        <v>14</v>
      </c>
      <c r="D911">
        <v>4</v>
      </c>
      <c r="E911">
        <v>0</v>
      </c>
      <c r="F911">
        <v>3</v>
      </c>
      <c r="G911">
        <f>IF(Table3[[#This Row],[Service_Window]]="Lunch",1,0)</f>
        <v>0</v>
      </c>
    </row>
    <row r="912" spans="1:7" x14ac:dyDescent="0.2">
      <c r="A912">
        <v>45973</v>
      </c>
      <c r="B912" t="s">
        <v>13</v>
      </c>
      <c r="C912" t="s">
        <v>14</v>
      </c>
      <c r="D912">
        <v>1</v>
      </c>
      <c r="E912">
        <v>0</v>
      </c>
      <c r="F912">
        <v>3</v>
      </c>
      <c r="G912">
        <f>IF(Table3[[#This Row],[Service_Window]]="Lunch",1,0)</f>
        <v>0</v>
      </c>
    </row>
    <row r="913" spans="1:7" x14ac:dyDescent="0.2">
      <c r="A913">
        <v>45973</v>
      </c>
      <c r="B913" t="s">
        <v>13</v>
      </c>
      <c r="C913" t="s">
        <v>43</v>
      </c>
      <c r="D913">
        <v>5</v>
      </c>
      <c r="E913">
        <v>1</v>
      </c>
      <c r="F913">
        <v>3</v>
      </c>
      <c r="G913">
        <f>IF(Table3[[#This Row],[Service_Window]]="Lunch",1,0)</f>
        <v>1</v>
      </c>
    </row>
    <row r="914" spans="1:7" x14ac:dyDescent="0.2">
      <c r="A914">
        <v>45973</v>
      </c>
      <c r="B914" t="s">
        <v>13</v>
      </c>
      <c r="C914" t="s">
        <v>43</v>
      </c>
      <c r="D914">
        <v>5</v>
      </c>
      <c r="E914">
        <v>0</v>
      </c>
      <c r="F914">
        <v>3</v>
      </c>
      <c r="G914">
        <f>IF(Table3[[#This Row],[Service_Window]]="Lunch",1,0)</f>
        <v>1</v>
      </c>
    </row>
    <row r="915" spans="1:7" x14ac:dyDescent="0.2">
      <c r="A915">
        <v>45973</v>
      </c>
      <c r="B915" t="s">
        <v>13</v>
      </c>
      <c r="C915" t="s">
        <v>43</v>
      </c>
      <c r="D915">
        <v>2</v>
      </c>
      <c r="E915">
        <v>0</v>
      </c>
      <c r="F915">
        <v>3</v>
      </c>
      <c r="G915">
        <f>IF(Table3[[#This Row],[Service_Window]]="Lunch",1,0)</f>
        <v>1</v>
      </c>
    </row>
    <row r="916" spans="1:7" x14ac:dyDescent="0.2">
      <c r="A916">
        <v>45973</v>
      </c>
      <c r="B916" t="s">
        <v>13</v>
      </c>
      <c r="C916" t="s">
        <v>43</v>
      </c>
      <c r="D916">
        <v>4</v>
      </c>
      <c r="E916">
        <v>1</v>
      </c>
      <c r="F916">
        <v>3</v>
      </c>
      <c r="G916">
        <f>IF(Table3[[#This Row],[Service_Window]]="Lunch",1,0)</f>
        <v>1</v>
      </c>
    </row>
    <row r="917" spans="1:7" x14ac:dyDescent="0.2">
      <c r="A917">
        <v>45973</v>
      </c>
      <c r="B917" t="s">
        <v>13</v>
      </c>
      <c r="C917" t="s">
        <v>43</v>
      </c>
      <c r="D917">
        <v>4</v>
      </c>
      <c r="E917">
        <v>0</v>
      </c>
      <c r="F917">
        <v>3</v>
      </c>
      <c r="G917">
        <f>IF(Table3[[#This Row],[Service_Window]]="Lunch",1,0)</f>
        <v>1</v>
      </c>
    </row>
    <row r="918" spans="1:7" x14ac:dyDescent="0.2">
      <c r="A918">
        <v>45973</v>
      </c>
      <c r="B918" t="s">
        <v>13</v>
      </c>
      <c r="C918" t="s">
        <v>43</v>
      </c>
      <c r="D918">
        <v>4</v>
      </c>
      <c r="E918">
        <v>1</v>
      </c>
      <c r="F918">
        <v>3</v>
      </c>
      <c r="G918">
        <f>IF(Table3[[#This Row],[Service_Window]]="Lunch",1,0)</f>
        <v>1</v>
      </c>
    </row>
    <row r="919" spans="1:7" x14ac:dyDescent="0.2">
      <c r="A919">
        <v>45973</v>
      </c>
      <c r="B919" t="s">
        <v>13</v>
      </c>
      <c r="C919" t="s">
        <v>43</v>
      </c>
      <c r="D919">
        <v>2</v>
      </c>
      <c r="E919">
        <v>1</v>
      </c>
      <c r="F919">
        <v>3</v>
      </c>
      <c r="G919">
        <f>IF(Table3[[#This Row],[Service_Window]]="Lunch",1,0)</f>
        <v>1</v>
      </c>
    </row>
    <row r="920" spans="1:7" x14ac:dyDescent="0.2">
      <c r="A920">
        <v>45973</v>
      </c>
      <c r="B920" t="s">
        <v>13</v>
      </c>
      <c r="C920" t="s">
        <v>43</v>
      </c>
      <c r="D920">
        <v>2</v>
      </c>
      <c r="E920">
        <v>1</v>
      </c>
      <c r="F920">
        <v>3</v>
      </c>
      <c r="G920">
        <f>IF(Table3[[#This Row],[Service_Window]]="Lunch",1,0)</f>
        <v>1</v>
      </c>
    </row>
    <row r="921" spans="1:7" x14ac:dyDescent="0.2">
      <c r="A921">
        <v>45973</v>
      </c>
      <c r="B921" t="s">
        <v>13</v>
      </c>
      <c r="C921" t="s">
        <v>43</v>
      </c>
      <c r="D921">
        <v>4</v>
      </c>
      <c r="E921">
        <v>0</v>
      </c>
      <c r="F921">
        <v>3</v>
      </c>
      <c r="G921">
        <f>IF(Table3[[#This Row],[Service_Window]]="Lunch",1,0)</f>
        <v>1</v>
      </c>
    </row>
    <row r="922" spans="1:7" x14ac:dyDescent="0.2">
      <c r="A922">
        <v>45973</v>
      </c>
      <c r="B922" t="s">
        <v>13</v>
      </c>
      <c r="C922" t="s">
        <v>43</v>
      </c>
      <c r="D922">
        <v>3</v>
      </c>
      <c r="E922">
        <v>1</v>
      </c>
      <c r="F922">
        <v>3</v>
      </c>
      <c r="G922">
        <f>IF(Table3[[#This Row],[Service_Window]]="Lunch",1,0)</f>
        <v>1</v>
      </c>
    </row>
    <row r="923" spans="1:7" x14ac:dyDescent="0.2">
      <c r="A923">
        <v>45973</v>
      </c>
      <c r="B923" t="s">
        <v>13</v>
      </c>
      <c r="C923" t="s">
        <v>43</v>
      </c>
      <c r="D923">
        <v>4</v>
      </c>
      <c r="E923">
        <v>0</v>
      </c>
      <c r="F923">
        <v>3</v>
      </c>
      <c r="G923">
        <f>IF(Table3[[#This Row],[Service_Window]]="Lunch",1,0)</f>
        <v>1</v>
      </c>
    </row>
    <row r="924" spans="1:7" x14ac:dyDescent="0.2">
      <c r="A924">
        <v>45973</v>
      </c>
      <c r="B924" t="s">
        <v>13</v>
      </c>
      <c r="C924" t="s">
        <v>43</v>
      </c>
      <c r="D924">
        <v>1</v>
      </c>
      <c r="E924">
        <v>1</v>
      </c>
      <c r="F924">
        <v>3</v>
      </c>
      <c r="G924">
        <f>IF(Table3[[#This Row],[Service_Window]]="Lunch",1,0)</f>
        <v>1</v>
      </c>
    </row>
    <row r="925" spans="1:7" x14ac:dyDescent="0.2">
      <c r="A925">
        <v>45973</v>
      </c>
      <c r="B925" t="s">
        <v>13</v>
      </c>
      <c r="C925" t="s">
        <v>43</v>
      </c>
      <c r="D925">
        <v>4</v>
      </c>
      <c r="E925">
        <v>1</v>
      </c>
      <c r="F925">
        <v>3</v>
      </c>
      <c r="G925">
        <f>IF(Table3[[#This Row],[Service_Window]]="Lunch",1,0)</f>
        <v>1</v>
      </c>
    </row>
    <row r="926" spans="1:7" x14ac:dyDescent="0.2">
      <c r="A926">
        <v>45973</v>
      </c>
      <c r="B926" t="s">
        <v>13</v>
      </c>
      <c r="C926" t="s">
        <v>43</v>
      </c>
      <c r="D926">
        <v>6</v>
      </c>
      <c r="E926">
        <v>1</v>
      </c>
      <c r="F926">
        <v>3</v>
      </c>
      <c r="G926">
        <f>IF(Table3[[#This Row],[Service_Window]]="Lunch",1,0)</f>
        <v>1</v>
      </c>
    </row>
    <row r="927" spans="1:7" x14ac:dyDescent="0.2">
      <c r="A927">
        <v>45974</v>
      </c>
      <c r="B927" t="s">
        <v>62</v>
      </c>
      <c r="C927" t="s">
        <v>14</v>
      </c>
      <c r="D927">
        <v>3</v>
      </c>
      <c r="E927">
        <v>0</v>
      </c>
      <c r="F927">
        <v>4</v>
      </c>
      <c r="G927">
        <f>IF(Table3[[#This Row],[Service_Window]]="Lunch",1,0)</f>
        <v>0</v>
      </c>
    </row>
    <row r="928" spans="1:7" x14ac:dyDescent="0.2">
      <c r="A928">
        <v>45974</v>
      </c>
      <c r="B928" t="s">
        <v>62</v>
      </c>
      <c r="C928" t="s">
        <v>14</v>
      </c>
      <c r="D928">
        <v>3</v>
      </c>
      <c r="E928">
        <v>0</v>
      </c>
      <c r="F928">
        <v>4</v>
      </c>
      <c r="G928">
        <f>IF(Table3[[#This Row],[Service_Window]]="Lunch",1,0)</f>
        <v>0</v>
      </c>
    </row>
    <row r="929" spans="1:7" x14ac:dyDescent="0.2">
      <c r="A929">
        <v>45974</v>
      </c>
      <c r="B929" t="s">
        <v>62</v>
      </c>
      <c r="C929" t="s">
        <v>14</v>
      </c>
      <c r="D929">
        <v>2</v>
      </c>
      <c r="E929">
        <v>0</v>
      </c>
      <c r="F929">
        <v>4</v>
      </c>
      <c r="G929">
        <f>IF(Table3[[#This Row],[Service_Window]]="Lunch",1,0)</f>
        <v>0</v>
      </c>
    </row>
    <row r="930" spans="1:7" x14ac:dyDescent="0.2">
      <c r="A930">
        <v>45974</v>
      </c>
      <c r="B930" t="s">
        <v>62</v>
      </c>
      <c r="C930" t="s">
        <v>14</v>
      </c>
      <c r="D930">
        <v>3</v>
      </c>
      <c r="E930">
        <v>0</v>
      </c>
      <c r="F930">
        <v>4</v>
      </c>
      <c r="G930">
        <f>IF(Table3[[#This Row],[Service_Window]]="Lunch",1,0)</f>
        <v>0</v>
      </c>
    </row>
    <row r="931" spans="1:7" x14ac:dyDescent="0.2">
      <c r="A931">
        <v>45974</v>
      </c>
      <c r="B931" t="s">
        <v>62</v>
      </c>
      <c r="C931" t="s">
        <v>14</v>
      </c>
      <c r="D931">
        <v>3</v>
      </c>
      <c r="E931">
        <v>0</v>
      </c>
      <c r="F931">
        <v>4</v>
      </c>
      <c r="G931">
        <f>IF(Table3[[#This Row],[Service_Window]]="Lunch",1,0)</f>
        <v>0</v>
      </c>
    </row>
    <row r="932" spans="1:7" x14ac:dyDescent="0.2">
      <c r="A932">
        <v>45974</v>
      </c>
      <c r="B932" t="s">
        <v>62</v>
      </c>
      <c r="C932" t="s">
        <v>14</v>
      </c>
      <c r="D932">
        <v>4</v>
      </c>
      <c r="E932">
        <v>0</v>
      </c>
      <c r="F932">
        <v>4</v>
      </c>
      <c r="G932">
        <f>IF(Table3[[#This Row],[Service_Window]]="Lunch",1,0)</f>
        <v>0</v>
      </c>
    </row>
    <row r="933" spans="1:7" x14ac:dyDescent="0.2">
      <c r="A933">
        <v>45974</v>
      </c>
      <c r="B933" t="s">
        <v>62</v>
      </c>
      <c r="C933" t="s">
        <v>14</v>
      </c>
      <c r="D933">
        <v>3</v>
      </c>
      <c r="E933">
        <v>0</v>
      </c>
      <c r="F933">
        <v>4</v>
      </c>
      <c r="G933">
        <f>IF(Table3[[#This Row],[Service_Window]]="Lunch",1,0)</f>
        <v>0</v>
      </c>
    </row>
    <row r="934" spans="1:7" x14ac:dyDescent="0.2">
      <c r="A934">
        <v>45974</v>
      </c>
      <c r="B934" t="s">
        <v>62</v>
      </c>
      <c r="C934" t="s">
        <v>14</v>
      </c>
      <c r="D934">
        <v>2</v>
      </c>
      <c r="E934">
        <v>0</v>
      </c>
      <c r="F934">
        <v>4</v>
      </c>
      <c r="G934">
        <f>IF(Table3[[#This Row],[Service_Window]]="Lunch",1,0)</f>
        <v>0</v>
      </c>
    </row>
    <row r="935" spans="1:7" x14ac:dyDescent="0.2">
      <c r="A935">
        <v>45974</v>
      </c>
      <c r="B935" t="s">
        <v>62</v>
      </c>
      <c r="C935" t="s">
        <v>14</v>
      </c>
      <c r="D935">
        <v>3</v>
      </c>
      <c r="E935">
        <v>0</v>
      </c>
      <c r="F935">
        <v>4</v>
      </c>
      <c r="G935">
        <f>IF(Table3[[#This Row],[Service_Window]]="Lunch",1,0)</f>
        <v>0</v>
      </c>
    </row>
    <row r="936" spans="1:7" x14ac:dyDescent="0.2">
      <c r="A936">
        <v>45974</v>
      </c>
      <c r="B936" t="s">
        <v>62</v>
      </c>
      <c r="C936" t="s">
        <v>14</v>
      </c>
      <c r="D936">
        <v>1</v>
      </c>
      <c r="E936">
        <v>0</v>
      </c>
      <c r="F936">
        <v>4</v>
      </c>
      <c r="G936">
        <f>IF(Table3[[#This Row],[Service_Window]]="Lunch",1,0)</f>
        <v>0</v>
      </c>
    </row>
    <row r="937" spans="1:7" x14ac:dyDescent="0.2">
      <c r="A937">
        <v>45974</v>
      </c>
      <c r="B937" t="s">
        <v>62</v>
      </c>
      <c r="C937" t="s">
        <v>14</v>
      </c>
      <c r="D937">
        <v>1</v>
      </c>
      <c r="E937">
        <v>0</v>
      </c>
      <c r="F937">
        <v>4</v>
      </c>
      <c r="G937">
        <f>IF(Table3[[#This Row],[Service_Window]]="Lunch",1,0)</f>
        <v>0</v>
      </c>
    </row>
    <row r="938" spans="1:7" x14ac:dyDescent="0.2">
      <c r="A938">
        <v>45974</v>
      </c>
      <c r="B938" t="s">
        <v>62</v>
      </c>
      <c r="C938" t="s">
        <v>14</v>
      </c>
      <c r="D938">
        <v>3</v>
      </c>
      <c r="E938">
        <v>0</v>
      </c>
      <c r="F938">
        <v>4</v>
      </c>
      <c r="G938">
        <f>IF(Table3[[#This Row],[Service_Window]]="Lunch",1,0)</f>
        <v>0</v>
      </c>
    </row>
    <row r="939" spans="1:7" x14ac:dyDescent="0.2">
      <c r="A939">
        <v>45974</v>
      </c>
      <c r="B939" t="s">
        <v>62</v>
      </c>
      <c r="C939" t="s">
        <v>14</v>
      </c>
      <c r="D939">
        <v>1</v>
      </c>
      <c r="E939">
        <v>0</v>
      </c>
      <c r="F939">
        <v>4</v>
      </c>
      <c r="G939">
        <f>IF(Table3[[#This Row],[Service_Window]]="Lunch",1,0)</f>
        <v>0</v>
      </c>
    </row>
    <row r="940" spans="1:7" x14ac:dyDescent="0.2">
      <c r="A940">
        <v>45974</v>
      </c>
      <c r="B940" t="s">
        <v>62</v>
      </c>
      <c r="C940" t="s">
        <v>14</v>
      </c>
      <c r="D940">
        <v>2</v>
      </c>
      <c r="E940">
        <v>0</v>
      </c>
      <c r="F940">
        <v>4</v>
      </c>
      <c r="G940">
        <f>IF(Table3[[#This Row],[Service_Window]]="Lunch",1,0)</f>
        <v>0</v>
      </c>
    </row>
    <row r="941" spans="1:7" x14ac:dyDescent="0.2">
      <c r="A941">
        <v>45974</v>
      </c>
      <c r="B941" t="s">
        <v>62</v>
      </c>
      <c r="C941" t="s">
        <v>14</v>
      </c>
      <c r="D941">
        <v>7</v>
      </c>
      <c r="E941">
        <v>0</v>
      </c>
      <c r="F941">
        <v>4</v>
      </c>
      <c r="G941">
        <f>IF(Table3[[#This Row],[Service_Window]]="Lunch",1,0)</f>
        <v>0</v>
      </c>
    </row>
    <row r="942" spans="1:7" x14ac:dyDescent="0.2">
      <c r="A942">
        <v>45974</v>
      </c>
      <c r="B942" t="s">
        <v>62</v>
      </c>
      <c r="C942" t="s">
        <v>43</v>
      </c>
      <c r="D942">
        <v>2</v>
      </c>
      <c r="E942">
        <v>0</v>
      </c>
      <c r="F942">
        <v>4</v>
      </c>
      <c r="G942">
        <f>IF(Table3[[#This Row],[Service_Window]]="Lunch",1,0)</f>
        <v>1</v>
      </c>
    </row>
    <row r="943" spans="1:7" x14ac:dyDescent="0.2">
      <c r="A943">
        <v>45974</v>
      </c>
      <c r="B943" t="s">
        <v>62</v>
      </c>
      <c r="C943" t="s">
        <v>43</v>
      </c>
      <c r="D943">
        <v>1</v>
      </c>
      <c r="E943">
        <v>1</v>
      </c>
      <c r="F943">
        <v>4</v>
      </c>
      <c r="G943">
        <f>IF(Table3[[#This Row],[Service_Window]]="Lunch",1,0)</f>
        <v>1</v>
      </c>
    </row>
    <row r="944" spans="1:7" x14ac:dyDescent="0.2">
      <c r="A944">
        <v>45974</v>
      </c>
      <c r="B944" t="s">
        <v>62</v>
      </c>
      <c r="C944" t="s">
        <v>43</v>
      </c>
      <c r="D944">
        <v>4</v>
      </c>
      <c r="E944">
        <v>1</v>
      </c>
      <c r="F944">
        <v>4</v>
      </c>
      <c r="G944">
        <f>IF(Table3[[#This Row],[Service_Window]]="Lunch",1,0)</f>
        <v>1</v>
      </c>
    </row>
    <row r="945" spans="1:7" x14ac:dyDescent="0.2">
      <c r="A945">
        <v>45974</v>
      </c>
      <c r="B945" t="s">
        <v>62</v>
      </c>
      <c r="C945" t="s">
        <v>43</v>
      </c>
      <c r="D945">
        <v>3</v>
      </c>
      <c r="E945">
        <v>1</v>
      </c>
      <c r="F945">
        <v>4</v>
      </c>
      <c r="G945">
        <f>IF(Table3[[#This Row],[Service_Window]]="Lunch",1,0)</f>
        <v>1</v>
      </c>
    </row>
    <row r="946" spans="1:7" x14ac:dyDescent="0.2">
      <c r="A946">
        <v>45974</v>
      </c>
      <c r="B946" t="s">
        <v>62</v>
      </c>
      <c r="C946" t="s">
        <v>43</v>
      </c>
      <c r="D946">
        <v>1</v>
      </c>
      <c r="E946">
        <v>1</v>
      </c>
      <c r="F946">
        <v>4</v>
      </c>
      <c r="G946">
        <f>IF(Table3[[#This Row],[Service_Window]]="Lunch",1,0)</f>
        <v>1</v>
      </c>
    </row>
    <row r="947" spans="1:7" x14ac:dyDescent="0.2">
      <c r="A947">
        <v>45974</v>
      </c>
      <c r="B947" t="s">
        <v>62</v>
      </c>
      <c r="C947" t="s">
        <v>43</v>
      </c>
      <c r="D947">
        <v>1</v>
      </c>
      <c r="E947">
        <v>0</v>
      </c>
      <c r="F947">
        <v>4</v>
      </c>
      <c r="G947">
        <f>IF(Table3[[#This Row],[Service_Window]]="Lunch",1,0)</f>
        <v>1</v>
      </c>
    </row>
    <row r="948" spans="1:7" x14ac:dyDescent="0.2">
      <c r="A948">
        <v>45974</v>
      </c>
      <c r="B948" t="s">
        <v>62</v>
      </c>
      <c r="C948" t="s">
        <v>43</v>
      </c>
      <c r="D948">
        <v>3</v>
      </c>
      <c r="E948">
        <v>1</v>
      </c>
      <c r="F948">
        <v>4</v>
      </c>
      <c r="G948">
        <f>IF(Table3[[#This Row],[Service_Window]]="Lunch",1,0)</f>
        <v>1</v>
      </c>
    </row>
    <row r="949" spans="1:7" x14ac:dyDescent="0.2">
      <c r="A949">
        <v>45974</v>
      </c>
      <c r="B949" t="s">
        <v>62</v>
      </c>
      <c r="C949" t="s">
        <v>43</v>
      </c>
      <c r="D949">
        <v>3</v>
      </c>
      <c r="E949">
        <v>1</v>
      </c>
      <c r="F949">
        <v>4</v>
      </c>
      <c r="G949">
        <f>IF(Table3[[#This Row],[Service_Window]]="Lunch",1,0)</f>
        <v>1</v>
      </c>
    </row>
    <row r="950" spans="1:7" x14ac:dyDescent="0.2">
      <c r="A950">
        <v>45974</v>
      </c>
      <c r="B950" t="s">
        <v>62</v>
      </c>
      <c r="C950" t="s">
        <v>43</v>
      </c>
      <c r="D950">
        <v>2</v>
      </c>
      <c r="E950">
        <v>0</v>
      </c>
      <c r="F950">
        <v>4</v>
      </c>
      <c r="G950">
        <f>IF(Table3[[#This Row],[Service_Window]]="Lunch",1,0)</f>
        <v>1</v>
      </c>
    </row>
    <row r="951" spans="1:7" x14ac:dyDescent="0.2">
      <c r="A951">
        <v>45974</v>
      </c>
      <c r="B951" t="s">
        <v>62</v>
      </c>
      <c r="C951" t="s">
        <v>43</v>
      </c>
      <c r="D951">
        <v>2</v>
      </c>
      <c r="E951">
        <v>1</v>
      </c>
      <c r="F951">
        <v>4</v>
      </c>
      <c r="G951">
        <f>IF(Table3[[#This Row],[Service_Window]]="Lunch",1,0)</f>
        <v>1</v>
      </c>
    </row>
    <row r="952" spans="1:7" x14ac:dyDescent="0.2">
      <c r="A952">
        <v>45974</v>
      </c>
      <c r="B952" t="s">
        <v>62</v>
      </c>
      <c r="C952" t="s">
        <v>43</v>
      </c>
      <c r="D952">
        <v>4</v>
      </c>
      <c r="E952">
        <v>1</v>
      </c>
      <c r="F952">
        <v>4</v>
      </c>
      <c r="G952">
        <f>IF(Table3[[#This Row],[Service_Window]]="Lunch",1,0)</f>
        <v>1</v>
      </c>
    </row>
    <row r="953" spans="1:7" x14ac:dyDescent="0.2">
      <c r="A953">
        <v>45975</v>
      </c>
      <c r="B953" t="s">
        <v>96</v>
      </c>
      <c r="C953" t="s">
        <v>14</v>
      </c>
      <c r="D953">
        <v>2</v>
      </c>
      <c r="E953">
        <v>0</v>
      </c>
      <c r="F953">
        <v>5</v>
      </c>
      <c r="G953">
        <f>IF(Table3[[#This Row],[Service_Window]]="Lunch",1,0)</f>
        <v>0</v>
      </c>
    </row>
    <row r="954" spans="1:7" x14ac:dyDescent="0.2">
      <c r="A954">
        <v>45975</v>
      </c>
      <c r="B954" t="s">
        <v>96</v>
      </c>
      <c r="C954" t="s">
        <v>14</v>
      </c>
      <c r="D954">
        <v>4</v>
      </c>
      <c r="E954">
        <v>0</v>
      </c>
      <c r="F954">
        <v>5</v>
      </c>
      <c r="G954">
        <f>IF(Table3[[#This Row],[Service_Window]]="Lunch",1,0)</f>
        <v>0</v>
      </c>
    </row>
    <row r="955" spans="1:7" x14ac:dyDescent="0.2">
      <c r="A955">
        <v>45975</v>
      </c>
      <c r="B955" t="s">
        <v>96</v>
      </c>
      <c r="C955" t="s">
        <v>14</v>
      </c>
      <c r="D955">
        <v>3</v>
      </c>
      <c r="E955">
        <v>0</v>
      </c>
      <c r="F955">
        <v>5</v>
      </c>
      <c r="G955">
        <f>IF(Table3[[#This Row],[Service_Window]]="Lunch",1,0)</f>
        <v>0</v>
      </c>
    </row>
    <row r="956" spans="1:7" x14ac:dyDescent="0.2">
      <c r="A956">
        <v>45975</v>
      </c>
      <c r="B956" t="s">
        <v>96</v>
      </c>
      <c r="C956" t="s">
        <v>14</v>
      </c>
      <c r="D956">
        <v>3</v>
      </c>
      <c r="E956">
        <v>0</v>
      </c>
      <c r="F956">
        <v>5</v>
      </c>
      <c r="G956">
        <f>IF(Table3[[#This Row],[Service_Window]]="Lunch",1,0)</f>
        <v>0</v>
      </c>
    </row>
    <row r="957" spans="1:7" x14ac:dyDescent="0.2">
      <c r="A957">
        <v>45975</v>
      </c>
      <c r="B957" t="s">
        <v>96</v>
      </c>
      <c r="C957" t="s">
        <v>14</v>
      </c>
      <c r="D957">
        <v>1</v>
      </c>
      <c r="E957">
        <v>0</v>
      </c>
      <c r="F957">
        <v>5</v>
      </c>
      <c r="G957">
        <f>IF(Table3[[#This Row],[Service_Window]]="Lunch",1,0)</f>
        <v>0</v>
      </c>
    </row>
    <row r="958" spans="1:7" x14ac:dyDescent="0.2">
      <c r="A958">
        <v>45975</v>
      </c>
      <c r="B958" t="s">
        <v>96</v>
      </c>
      <c r="C958" t="s">
        <v>14</v>
      </c>
      <c r="D958">
        <v>3</v>
      </c>
      <c r="E958">
        <v>0</v>
      </c>
      <c r="F958">
        <v>5</v>
      </c>
      <c r="G958">
        <f>IF(Table3[[#This Row],[Service_Window]]="Lunch",1,0)</f>
        <v>0</v>
      </c>
    </row>
    <row r="959" spans="1:7" x14ac:dyDescent="0.2">
      <c r="A959">
        <v>45975</v>
      </c>
      <c r="B959" t="s">
        <v>96</v>
      </c>
      <c r="C959" t="s">
        <v>43</v>
      </c>
      <c r="D959">
        <v>2</v>
      </c>
      <c r="E959">
        <v>0</v>
      </c>
      <c r="F959">
        <v>5</v>
      </c>
      <c r="G959">
        <f>IF(Table3[[#This Row],[Service_Window]]="Lunch",1,0)</f>
        <v>1</v>
      </c>
    </row>
    <row r="960" spans="1:7" x14ac:dyDescent="0.2">
      <c r="A960">
        <v>45975</v>
      </c>
      <c r="B960" t="s">
        <v>96</v>
      </c>
      <c r="C960" t="s">
        <v>43</v>
      </c>
      <c r="D960">
        <v>3</v>
      </c>
      <c r="E960">
        <v>0</v>
      </c>
      <c r="F960">
        <v>5</v>
      </c>
      <c r="G960">
        <f>IF(Table3[[#This Row],[Service_Window]]="Lunch",1,0)</f>
        <v>1</v>
      </c>
    </row>
    <row r="961" spans="1:7" x14ac:dyDescent="0.2">
      <c r="A961">
        <v>45975</v>
      </c>
      <c r="B961" t="s">
        <v>96</v>
      </c>
      <c r="C961" t="s">
        <v>43</v>
      </c>
      <c r="D961">
        <v>5</v>
      </c>
      <c r="E961">
        <v>0</v>
      </c>
      <c r="F961">
        <v>5</v>
      </c>
      <c r="G961">
        <f>IF(Table3[[#This Row],[Service_Window]]="Lunch",1,0)</f>
        <v>1</v>
      </c>
    </row>
    <row r="962" spans="1:7" x14ac:dyDescent="0.2">
      <c r="A962">
        <v>45975</v>
      </c>
      <c r="B962" t="s">
        <v>96</v>
      </c>
      <c r="C962" t="s">
        <v>43</v>
      </c>
      <c r="D962">
        <v>2</v>
      </c>
      <c r="E962">
        <v>1</v>
      </c>
      <c r="F962">
        <v>5</v>
      </c>
      <c r="G962">
        <f>IF(Table3[[#This Row],[Service_Window]]="Lunch",1,0)</f>
        <v>1</v>
      </c>
    </row>
    <row r="963" spans="1:7" x14ac:dyDescent="0.2">
      <c r="A963">
        <v>45975</v>
      </c>
      <c r="B963" t="s">
        <v>96</v>
      </c>
      <c r="C963" t="s">
        <v>43</v>
      </c>
      <c r="D963">
        <v>4</v>
      </c>
      <c r="E963">
        <v>1</v>
      </c>
      <c r="F963">
        <v>5</v>
      </c>
      <c r="G963">
        <f>IF(Table3[[#This Row],[Service_Window]]="Lunch",1,0)</f>
        <v>1</v>
      </c>
    </row>
    <row r="964" spans="1:7" x14ac:dyDescent="0.2">
      <c r="A964">
        <v>45975</v>
      </c>
      <c r="B964" t="s">
        <v>96</v>
      </c>
      <c r="C964" t="s">
        <v>43</v>
      </c>
      <c r="D964">
        <v>1</v>
      </c>
      <c r="E964">
        <v>1</v>
      </c>
      <c r="F964">
        <v>5</v>
      </c>
      <c r="G964">
        <f>IF(Table3[[#This Row],[Service_Window]]="Lunch",1,0)</f>
        <v>1</v>
      </c>
    </row>
    <row r="965" spans="1:7" x14ac:dyDescent="0.2">
      <c r="A965">
        <v>45975</v>
      </c>
      <c r="B965" t="s">
        <v>96</v>
      </c>
      <c r="C965" t="s">
        <v>43</v>
      </c>
      <c r="D965">
        <v>2</v>
      </c>
      <c r="E965">
        <v>0</v>
      </c>
      <c r="F965">
        <v>5</v>
      </c>
      <c r="G965">
        <f>IF(Table3[[#This Row],[Service_Window]]="Lunch",1,0)</f>
        <v>1</v>
      </c>
    </row>
    <row r="966" spans="1:7" x14ac:dyDescent="0.2">
      <c r="A966">
        <v>45975</v>
      </c>
      <c r="B966" t="s">
        <v>96</v>
      </c>
      <c r="C966" t="s">
        <v>43</v>
      </c>
      <c r="D966">
        <v>3</v>
      </c>
      <c r="E966">
        <v>1</v>
      </c>
      <c r="F966">
        <v>5</v>
      </c>
      <c r="G966">
        <f>IF(Table3[[#This Row],[Service_Window]]="Lunch",1,0)</f>
        <v>1</v>
      </c>
    </row>
    <row r="967" spans="1:7" x14ac:dyDescent="0.2">
      <c r="A967">
        <v>45975</v>
      </c>
      <c r="B967" t="s">
        <v>96</v>
      </c>
      <c r="C967" t="s">
        <v>43</v>
      </c>
      <c r="D967">
        <v>4</v>
      </c>
      <c r="E967">
        <v>1</v>
      </c>
      <c r="F967">
        <v>5</v>
      </c>
      <c r="G967">
        <f>IF(Table3[[#This Row],[Service_Window]]="Lunch",1,0)</f>
        <v>1</v>
      </c>
    </row>
    <row r="968" spans="1:7" x14ac:dyDescent="0.2">
      <c r="A968">
        <v>45976</v>
      </c>
      <c r="B968" t="s">
        <v>127</v>
      </c>
      <c r="C968" t="s">
        <v>14</v>
      </c>
      <c r="D968">
        <v>3</v>
      </c>
      <c r="E968">
        <v>0</v>
      </c>
      <c r="F968">
        <v>6</v>
      </c>
      <c r="G968">
        <f>IF(Table3[[#This Row],[Service_Window]]="Lunch",1,0)</f>
        <v>0</v>
      </c>
    </row>
    <row r="969" spans="1:7" x14ac:dyDescent="0.2">
      <c r="A969">
        <v>45976</v>
      </c>
      <c r="B969" t="s">
        <v>127</v>
      </c>
      <c r="C969" t="s">
        <v>14</v>
      </c>
      <c r="D969">
        <v>5</v>
      </c>
      <c r="E969">
        <v>0</v>
      </c>
      <c r="F969">
        <v>6</v>
      </c>
      <c r="G969">
        <f>IF(Table3[[#This Row],[Service_Window]]="Lunch",1,0)</f>
        <v>0</v>
      </c>
    </row>
    <row r="970" spans="1:7" x14ac:dyDescent="0.2">
      <c r="A970">
        <v>45976</v>
      </c>
      <c r="B970" t="s">
        <v>127</v>
      </c>
      <c r="C970" t="s">
        <v>14</v>
      </c>
      <c r="D970">
        <v>1</v>
      </c>
      <c r="E970">
        <v>0</v>
      </c>
      <c r="F970">
        <v>6</v>
      </c>
      <c r="G970">
        <f>IF(Table3[[#This Row],[Service_Window]]="Lunch",1,0)</f>
        <v>0</v>
      </c>
    </row>
    <row r="971" spans="1:7" x14ac:dyDescent="0.2">
      <c r="A971">
        <v>45976</v>
      </c>
      <c r="B971" t="s">
        <v>127</v>
      </c>
      <c r="C971" t="s">
        <v>14</v>
      </c>
      <c r="D971">
        <v>2</v>
      </c>
      <c r="E971">
        <v>0</v>
      </c>
      <c r="F971">
        <v>6</v>
      </c>
      <c r="G971">
        <f>IF(Table3[[#This Row],[Service_Window]]="Lunch",1,0)</f>
        <v>0</v>
      </c>
    </row>
    <row r="972" spans="1:7" x14ac:dyDescent="0.2">
      <c r="A972">
        <v>45976</v>
      </c>
      <c r="B972" t="s">
        <v>127</v>
      </c>
      <c r="C972" t="s">
        <v>14</v>
      </c>
      <c r="D972">
        <v>4</v>
      </c>
      <c r="E972">
        <v>0</v>
      </c>
      <c r="F972">
        <v>6</v>
      </c>
      <c r="G972">
        <f>IF(Table3[[#This Row],[Service_Window]]="Lunch",1,0)</f>
        <v>0</v>
      </c>
    </row>
    <row r="973" spans="1:7" x14ac:dyDescent="0.2">
      <c r="A973">
        <v>45976</v>
      </c>
      <c r="B973" t="s">
        <v>127</v>
      </c>
      <c r="C973" t="s">
        <v>14</v>
      </c>
      <c r="D973">
        <v>5</v>
      </c>
      <c r="E973">
        <v>0</v>
      </c>
      <c r="F973">
        <v>6</v>
      </c>
      <c r="G973">
        <f>IF(Table3[[#This Row],[Service_Window]]="Lunch",1,0)</f>
        <v>0</v>
      </c>
    </row>
    <row r="974" spans="1:7" x14ac:dyDescent="0.2">
      <c r="A974">
        <v>45976</v>
      </c>
      <c r="B974" t="s">
        <v>127</v>
      </c>
      <c r="C974" t="s">
        <v>14</v>
      </c>
      <c r="D974">
        <v>1</v>
      </c>
      <c r="E974">
        <v>0</v>
      </c>
      <c r="F974">
        <v>6</v>
      </c>
      <c r="G974">
        <f>IF(Table3[[#This Row],[Service_Window]]="Lunch",1,0)</f>
        <v>0</v>
      </c>
    </row>
    <row r="975" spans="1:7" x14ac:dyDescent="0.2">
      <c r="A975">
        <v>45976</v>
      </c>
      <c r="B975" t="s">
        <v>127</v>
      </c>
      <c r="C975" t="s">
        <v>14</v>
      </c>
      <c r="D975">
        <v>1</v>
      </c>
      <c r="E975">
        <v>0</v>
      </c>
      <c r="F975">
        <v>6</v>
      </c>
      <c r="G975">
        <f>IF(Table3[[#This Row],[Service_Window]]="Lunch",1,0)</f>
        <v>0</v>
      </c>
    </row>
    <row r="976" spans="1:7" x14ac:dyDescent="0.2">
      <c r="A976">
        <v>45976</v>
      </c>
      <c r="B976" t="s">
        <v>127</v>
      </c>
      <c r="C976" t="s">
        <v>14</v>
      </c>
      <c r="D976">
        <v>2</v>
      </c>
      <c r="E976">
        <v>0</v>
      </c>
      <c r="F976">
        <v>6</v>
      </c>
      <c r="G976">
        <f>IF(Table3[[#This Row],[Service_Window]]="Lunch",1,0)</f>
        <v>0</v>
      </c>
    </row>
    <row r="977" spans="1:7" x14ac:dyDescent="0.2">
      <c r="A977">
        <v>45976</v>
      </c>
      <c r="B977" t="s">
        <v>127</v>
      </c>
      <c r="C977" t="s">
        <v>14</v>
      </c>
      <c r="D977">
        <v>3</v>
      </c>
      <c r="E977">
        <v>0</v>
      </c>
      <c r="F977">
        <v>6</v>
      </c>
      <c r="G977">
        <f>IF(Table3[[#This Row],[Service_Window]]="Lunch",1,0)</f>
        <v>0</v>
      </c>
    </row>
    <row r="978" spans="1:7" x14ac:dyDescent="0.2">
      <c r="A978">
        <v>45976</v>
      </c>
      <c r="B978" t="s">
        <v>127</v>
      </c>
      <c r="C978" t="s">
        <v>14</v>
      </c>
      <c r="D978">
        <v>6</v>
      </c>
      <c r="E978">
        <v>0</v>
      </c>
      <c r="F978">
        <v>6</v>
      </c>
      <c r="G978">
        <f>IF(Table3[[#This Row],[Service_Window]]="Lunch",1,0)</f>
        <v>0</v>
      </c>
    </row>
    <row r="979" spans="1:7" x14ac:dyDescent="0.2">
      <c r="A979">
        <v>45976</v>
      </c>
      <c r="B979" t="s">
        <v>127</v>
      </c>
      <c r="C979" t="s">
        <v>14</v>
      </c>
      <c r="D979">
        <v>5</v>
      </c>
      <c r="E979">
        <v>0</v>
      </c>
      <c r="F979">
        <v>6</v>
      </c>
      <c r="G979">
        <f>IF(Table3[[#This Row],[Service_Window]]="Lunch",1,0)</f>
        <v>0</v>
      </c>
    </row>
    <row r="980" spans="1:7" x14ac:dyDescent="0.2">
      <c r="A980">
        <v>45976</v>
      </c>
      <c r="B980" t="s">
        <v>127</v>
      </c>
      <c r="C980" t="s">
        <v>14</v>
      </c>
      <c r="D980">
        <v>3</v>
      </c>
      <c r="E980">
        <v>0</v>
      </c>
      <c r="F980">
        <v>6</v>
      </c>
      <c r="G980">
        <f>IF(Table3[[#This Row],[Service_Window]]="Lunch",1,0)</f>
        <v>0</v>
      </c>
    </row>
    <row r="981" spans="1:7" x14ac:dyDescent="0.2">
      <c r="A981">
        <v>45976</v>
      </c>
      <c r="B981" t="s">
        <v>127</v>
      </c>
      <c r="C981" t="s">
        <v>14</v>
      </c>
      <c r="D981">
        <v>4</v>
      </c>
      <c r="E981">
        <v>0</v>
      </c>
      <c r="F981">
        <v>6</v>
      </c>
      <c r="G981">
        <f>IF(Table3[[#This Row],[Service_Window]]="Lunch",1,0)</f>
        <v>0</v>
      </c>
    </row>
    <row r="982" spans="1:7" x14ac:dyDescent="0.2">
      <c r="A982">
        <v>45976</v>
      </c>
      <c r="B982" t="s">
        <v>127</v>
      </c>
      <c r="C982" t="s">
        <v>14</v>
      </c>
      <c r="D982">
        <v>5</v>
      </c>
      <c r="E982">
        <v>0</v>
      </c>
      <c r="F982">
        <v>6</v>
      </c>
      <c r="G982">
        <f>IF(Table3[[#This Row],[Service_Window]]="Lunch",1,0)</f>
        <v>0</v>
      </c>
    </row>
    <row r="983" spans="1:7" x14ac:dyDescent="0.2">
      <c r="A983">
        <v>45976</v>
      </c>
      <c r="B983" t="s">
        <v>127</v>
      </c>
      <c r="C983" t="s">
        <v>14</v>
      </c>
      <c r="D983">
        <v>4</v>
      </c>
      <c r="E983">
        <v>0</v>
      </c>
      <c r="F983">
        <v>6</v>
      </c>
      <c r="G983">
        <f>IF(Table3[[#This Row],[Service_Window]]="Lunch",1,0)</f>
        <v>0</v>
      </c>
    </row>
    <row r="984" spans="1:7" x14ac:dyDescent="0.2">
      <c r="A984">
        <v>45976</v>
      </c>
      <c r="B984" t="s">
        <v>127</v>
      </c>
      <c r="C984" t="s">
        <v>43</v>
      </c>
      <c r="D984">
        <v>1</v>
      </c>
      <c r="E984">
        <v>0</v>
      </c>
      <c r="F984">
        <v>6</v>
      </c>
      <c r="G984">
        <f>IF(Table3[[#This Row],[Service_Window]]="Lunch",1,0)</f>
        <v>1</v>
      </c>
    </row>
    <row r="985" spans="1:7" x14ac:dyDescent="0.2">
      <c r="A985">
        <v>45976</v>
      </c>
      <c r="B985" t="s">
        <v>127</v>
      </c>
      <c r="C985" t="s">
        <v>43</v>
      </c>
      <c r="D985">
        <v>2</v>
      </c>
      <c r="E985">
        <v>0</v>
      </c>
      <c r="F985">
        <v>6</v>
      </c>
      <c r="G985">
        <f>IF(Table3[[#This Row],[Service_Window]]="Lunch",1,0)</f>
        <v>1</v>
      </c>
    </row>
    <row r="986" spans="1:7" x14ac:dyDescent="0.2">
      <c r="A986">
        <v>45976</v>
      </c>
      <c r="B986" t="s">
        <v>127</v>
      </c>
      <c r="C986" t="s">
        <v>43</v>
      </c>
      <c r="D986">
        <v>2</v>
      </c>
      <c r="E986">
        <v>0</v>
      </c>
      <c r="F986">
        <v>6</v>
      </c>
      <c r="G986">
        <f>IF(Table3[[#This Row],[Service_Window]]="Lunch",1,0)</f>
        <v>1</v>
      </c>
    </row>
    <row r="987" spans="1:7" x14ac:dyDescent="0.2">
      <c r="A987">
        <v>45977</v>
      </c>
      <c r="B987" t="s">
        <v>171</v>
      </c>
      <c r="C987" t="s">
        <v>14</v>
      </c>
      <c r="D987">
        <v>3</v>
      </c>
      <c r="E987">
        <v>0</v>
      </c>
      <c r="F987">
        <v>7</v>
      </c>
      <c r="G987">
        <f>IF(Table3[[#This Row],[Service_Window]]="Lunch",1,0)</f>
        <v>0</v>
      </c>
    </row>
    <row r="988" spans="1:7" x14ac:dyDescent="0.2">
      <c r="A988">
        <v>45977</v>
      </c>
      <c r="B988" t="s">
        <v>171</v>
      </c>
      <c r="C988" t="s">
        <v>14</v>
      </c>
      <c r="D988">
        <v>2</v>
      </c>
      <c r="E988">
        <v>0</v>
      </c>
      <c r="F988">
        <v>7</v>
      </c>
      <c r="G988">
        <f>IF(Table3[[#This Row],[Service_Window]]="Lunch",1,0)</f>
        <v>0</v>
      </c>
    </row>
    <row r="989" spans="1:7" x14ac:dyDescent="0.2">
      <c r="A989">
        <v>45977</v>
      </c>
      <c r="B989" t="s">
        <v>171</v>
      </c>
      <c r="C989" t="s">
        <v>14</v>
      </c>
      <c r="D989">
        <v>2</v>
      </c>
      <c r="E989">
        <v>0</v>
      </c>
      <c r="F989">
        <v>7</v>
      </c>
      <c r="G989">
        <f>IF(Table3[[#This Row],[Service_Window]]="Lunch",1,0)</f>
        <v>0</v>
      </c>
    </row>
    <row r="990" spans="1:7" x14ac:dyDescent="0.2">
      <c r="A990">
        <v>45977</v>
      </c>
      <c r="B990" t="s">
        <v>171</v>
      </c>
      <c r="C990" t="s">
        <v>14</v>
      </c>
      <c r="D990">
        <v>5</v>
      </c>
      <c r="E990">
        <v>0</v>
      </c>
      <c r="F990">
        <v>7</v>
      </c>
      <c r="G990">
        <f>IF(Table3[[#This Row],[Service_Window]]="Lunch",1,0)</f>
        <v>0</v>
      </c>
    </row>
    <row r="991" spans="1:7" x14ac:dyDescent="0.2">
      <c r="A991">
        <v>45977</v>
      </c>
      <c r="B991" t="s">
        <v>171</v>
      </c>
      <c r="C991" t="s">
        <v>14</v>
      </c>
      <c r="D991">
        <v>1</v>
      </c>
      <c r="E991">
        <v>0</v>
      </c>
      <c r="F991">
        <v>7</v>
      </c>
      <c r="G991">
        <f>IF(Table3[[#This Row],[Service_Window]]="Lunch",1,0)</f>
        <v>0</v>
      </c>
    </row>
    <row r="992" spans="1:7" x14ac:dyDescent="0.2">
      <c r="A992">
        <v>45977</v>
      </c>
      <c r="B992" t="s">
        <v>171</v>
      </c>
      <c r="C992" t="s">
        <v>14</v>
      </c>
      <c r="D992">
        <v>5</v>
      </c>
      <c r="E992">
        <v>0</v>
      </c>
      <c r="F992">
        <v>7</v>
      </c>
      <c r="G992">
        <f>IF(Table3[[#This Row],[Service_Window]]="Lunch",1,0)</f>
        <v>0</v>
      </c>
    </row>
    <row r="993" spans="1:7" x14ac:dyDescent="0.2">
      <c r="A993">
        <v>45977</v>
      </c>
      <c r="B993" t="s">
        <v>171</v>
      </c>
      <c r="C993" t="s">
        <v>14</v>
      </c>
      <c r="D993">
        <v>2</v>
      </c>
      <c r="E993">
        <v>0</v>
      </c>
      <c r="F993">
        <v>7</v>
      </c>
      <c r="G993">
        <f>IF(Table3[[#This Row],[Service_Window]]="Lunch",1,0)</f>
        <v>0</v>
      </c>
    </row>
    <row r="994" spans="1:7" x14ac:dyDescent="0.2">
      <c r="A994">
        <v>45977</v>
      </c>
      <c r="B994" t="s">
        <v>171</v>
      </c>
      <c r="C994" t="s">
        <v>14</v>
      </c>
      <c r="D994">
        <v>3</v>
      </c>
      <c r="E994">
        <v>0</v>
      </c>
      <c r="F994">
        <v>7</v>
      </c>
      <c r="G994">
        <f>IF(Table3[[#This Row],[Service_Window]]="Lunch",1,0)</f>
        <v>0</v>
      </c>
    </row>
    <row r="995" spans="1:7" x14ac:dyDescent="0.2">
      <c r="A995">
        <v>45977</v>
      </c>
      <c r="B995" t="s">
        <v>171</v>
      </c>
      <c r="C995" t="s">
        <v>14</v>
      </c>
      <c r="D995">
        <v>4</v>
      </c>
      <c r="E995">
        <v>0</v>
      </c>
      <c r="F995">
        <v>7</v>
      </c>
      <c r="G995">
        <f>IF(Table3[[#This Row],[Service_Window]]="Lunch",1,0)</f>
        <v>0</v>
      </c>
    </row>
    <row r="996" spans="1:7" x14ac:dyDescent="0.2">
      <c r="A996">
        <v>45977</v>
      </c>
      <c r="B996" t="s">
        <v>171</v>
      </c>
      <c r="C996" t="s">
        <v>14</v>
      </c>
      <c r="D996">
        <v>1</v>
      </c>
      <c r="E996">
        <v>0</v>
      </c>
      <c r="F996">
        <v>7</v>
      </c>
      <c r="G996">
        <f>IF(Table3[[#This Row],[Service_Window]]="Lunch",1,0)</f>
        <v>0</v>
      </c>
    </row>
    <row r="997" spans="1:7" x14ac:dyDescent="0.2">
      <c r="A997">
        <v>45977</v>
      </c>
      <c r="B997" t="s">
        <v>171</v>
      </c>
      <c r="C997" t="s">
        <v>14</v>
      </c>
      <c r="D997">
        <v>3</v>
      </c>
      <c r="E997">
        <v>0</v>
      </c>
      <c r="F997">
        <v>7</v>
      </c>
      <c r="G997">
        <f>IF(Table3[[#This Row],[Service_Window]]="Lunch",1,0)</f>
        <v>0</v>
      </c>
    </row>
    <row r="998" spans="1:7" x14ac:dyDescent="0.2">
      <c r="A998">
        <v>45977</v>
      </c>
      <c r="B998" t="s">
        <v>171</v>
      </c>
      <c r="C998" t="s">
        <v>14</v>
      </c>
      <c r="D998">
        <v>2</v>
      </c>
      <c r="E998">
        <v>0</v>
      </c>
      <c r="F998">
        <v>7</v>
      </c>
      <c r="G998">
        <f>IF(Table3[[#This Row],[Service_Window]]="Lunch",1,0)</f>
        <v>0</v>
      </c>
    </row>
    <row r="999" spans="1:7" x14ac:dyDescent="0.2">
      <c r="A999">
        <v>45977</v>
      </c>
      <c r="B999" t="s">
        <v>171</v>
      </c>
      <c r="C999" t="s">
        <v>14</v>
      </c>
      <c r="D999">
        <v>6</v>
      </c>
      <c r="E999">
        <v>0</v>
      </c>
      <c r="F999">
        <v>7</v>
      </c>
      <c r="G999">
        <f>IF(Table3[[#This Row],[Service_Window]]="Lunch",1,0)</f>
        <v>0</v>
      </c>
    </row>
    <row r="1000" spans="1:7" x14ac:dyDescent="0.2">
      <c r="A1000">
        <v>45977</v>
      </c>
      <c r="B1000" t="s">
        <v>171</v>
      </c>
      <c r="C1000" t="s">
        <v>14</v>
      </c>
      <c r="D1000">
        <v>1</v>
      </c>
      <c r="E1000">
        <v>0</v>
      </c>
      <c r="F1000">
        <v>7</v>
      </c>
      <c r="G1000">
        <f>IF(Table3[[#This Row],[Service_Window]]="Lunch",1,0)</f>
        <v>0</v>
      </c>
    </row>
    <row r="1001" spans="1:7" x14ac:dyDescent="0.2">
      <c r="A1001">
        <v>45977</v>
      </c>
      <c r="B1001" t="s">
        <v>171</v>
      </c>
      <c r="C1001" t="s">
        <v>14</v>
      </c>
      <c r="D1001">
        <v>3</v>
      </c>
      <c r="E1001">
        <v>0</v>
      </c>
      <c r="F1001">
        <v>7</v>
      </c>
      <c r="G1001">
        <f>IF(Table3[[#This Row],[Service_Window]]="Lunch",1,0)</f>
        <v>0</v>
      </c>
    </row>
    <row r="1002" spans="1:7" x14ac:dyDescent="0.2">
      <c r="A1002">
        <v>45977</v>
      </c>
      <c r="B1002" t="s">
        <v>171</v>
      </c>
      <c r="C1002" t="s">
        <v>14</v>
      </c>
      <c r="D1002">
        <v>3</v>
      </c>
      <c r="E1002">
        <v>0</v>
      </c>
      <c r="F1002">
        <v>7</v>
      </c>
      <c r="G1002">
        <f>IF(Table3[[#This Row],[Service_Window]]="Lunch",1,0)</f>
        <v>0</v>
      </c>
    </row>
    <row r="1003" spans="1:7" x14ac:dyDescent="0.2">
      <c r="A1003">
        <v>45977</v>
      </c>
      <c r="B1003" t="s">
        <v>171</v>
      </c>
      <c r="C1003" t="s">
        <v>14</v>
      </c>
      <c r="D1003">
        <v>5</v>
      </c>
      <c r="E1003">
        <v>0</v>
      </c>
      <c r="F1003">
        <v>7</v>
      </c>
      <c r="G1003">
        <f>IF(Table3[[#This Row],[Service_Window]]="Lunch",1,0)</f>
        <v>0</v>
      </c>
    </row>
    <row r="1004" spans="1:7" x14ac:dyDescent="0.2">
      <c r="A1004">
        <v>45977</v>
      </c>
      <c r="B1004" t="s">
        <v>171</v>
      </c>
      <c r="C1004" t="s">
        <v>14</v>
      </c>
      <c r="D1004">
        <v>3</v>
      </c>
      <c r="E1004">
        <v>0</v>
      </c>
      <c r="F1004">
        <v>7</v>
      </c>
      <c r="G1004">
        <f>IF(Table3[[#This Row],[Service_Window]]="Lunch",1,0)</f>
        <v>0</v>
      </c>
    </row>
    <row r="1005" spans="1:7" x14ac:dyDescent="0.2">
      <c r="A1005">
        <v>45977</v>
      </c>
      <c r="B1005" t="s">
        <v>171</v>
      </c>
      <c r="C1005" t="s">
        <v>43</v>
      </c>
      <c r="D1005">
        <v>5</v>
      </c>
      <c r="E1005">
        <v>0</v>
      </c>
      <c r="F1005">
        <v>7</v>
      </c>
      <c r="G1005">
        <f>IF(Table3[[#This Row],[Service_Window]]="Lunch",1,0)</f>
        <v>1</v>
      </c>
    </row>
    <row r="1006" spans="1:7" x14ac:dyDescent="0.2">
      <c r="A1006">
        <v>45977</v>
      </c>
      <c r="B1006" t="s">
        <v>171</v>
      </c>
      <c r="C1006" t="s">
        <v>43</v>
      </c>
      <c r="D1006">
        <v>2</v>
      </c>
      <c r="E1006">
        <v>0</v>
      </c>
      <c r="F1006">
        <v>7</v>
      </c>
      <c r="G1006">
        <f>IF(Table3[[#This Row],[Service_Window]]="Lunch",1,0)</f>
        <v>1</v>
      </c>
    </row>
    <row r="1007" spans="1:7" x14ac:dyDescent="0.2">
      <c r="A1007">
        <v>45977</v>
      </c>
      <c r="B1007" t="s">
        <v>171</v>
      </c>
      <c r="C1007" t="s">
        <v>43</v>
      </c>
      <c r="D1007">
        <v>4</v>
      </c>
      <c r="E1007">
        <v>0</v>
      </c>
      <c r="F1007">
        <v>7</v>
      </c>
      <c r="G1007">
        <f>IF(Table3[[#This Row],[Service_Window]]="Lunch",1,0)</f>
        <v>1</v>
      </c>
    </row>
    <row r="1008" spans="1:7" x14ac:dyDescent="0.2">
      <c r="A1008">
        <v>45977</v>
      </c>
      <c r="B1008" t="s">
        <v>171</v>
      </c>
      <c r="C1008" t="s">
        <v>43</v>
      </c>
      <c r="D1008">
        <v>2</v>
      </c>
      <c r="E1008">
        <v>0</v>
      </c>
      <c r="F1008">
        <v>7</v>
      </c>
      <c r="G1008">
        <f>IF(Table3[[#This Row],[Service_Window]]="Lunch",1,0)</f>
        <v>1</v>
      </c>
    </row>
    <row r="1009" spans="1:7" x14ac:dyDescent="0.2">
      <c r="A1009">
        <v>45977</v>
      </c>
      <c r="B1009" t="s">
        <v>171</v>
      </c>
      <c r="C1009" t="s">
        <v>43</v>
      </c>
      <c r="D1009">
        <v>5</v>
      </c>
      <c r="E1009">
        <v>0</v>
      </c>
      <c r="F1009">
        <v>7</v>
      </c>
      <c r="G1009">
        <f>IF(Table3[[#This Row],[Service_Window]]="Lunch",1,0)</f>
        <v>1</v>
      </c>
    </row>
    <row r="1010" spans="1:7" x14ac:dyDescent="0.2">
      <c r="A1010">
        <v>45978</v>
      </c>
      <c r="B1010" t="s">
        <v>213</v>
      </c>
      <c r="C1010" t="s">
        <v>14</v>
      </c>
      <c r="D1010">
        <v>2</v>
      </c>
      <c r="E1010">
        <v>0</v>
      </c>
      <c r="F1010">
        <v>1</v>
      </c>
      <c r="G1010">
        <f>IF(Table3[[#This Row],[Service_Window]]="Lunch",1,0)</f>
        <v>0</v>
      </c>
    </row>
    <row r="1011" spans="1:7" x14ac:dyDescent="0.2">
      <c r="A1011">
        <v>45978</v>
      </c>
      <c r="B1011" t="s">
        <v>213</v>
      </c>
      <c r="C1011" t="s">
        <v>14</v>
      </c>
      <c r="D1011">
        <v>4</v>
      </c>
      <c r="E1011">
        <v>0</v>
      </c>
      <c r="F1011">
        <v>1</v>
      </c>
      <c r="G1011">
        <f>IF(Table3[[#This Row],[Service_Window]]="Lunch",1,0)</f>
        <v>0</v>
      </c>
    </row>
    <row r="1012" spans="1:7" x14ac:dyDescent="0.2">
      <c r="A1012">
        <v>45978</v>
      </c>
      <c r="B1012" t="s">
        <v>213</v>
      </c>
      <c r="C1012" t="s">
        <v>14</v>
      </c>
      <c r="D1012">
        <v>2</v>
      </c>
      <c r="E1012">
        <v>0</v>
      </c>
      <c r="F1012">
        <v>1</v>
      </c>
      <c r="G1012">
        <f>IF(Table3[[#This Row],[Service_Window]]="Lunch",1,0)</f>
        <v>0</v>
      </c>
    </row>
    <row r="1013" spans="1:7" x14ac:dyDescent="0.2">
      <c r="A1013">
        <v>45978</v>
      </c>
      <c r="B1013" t="s">
        <v>213</v>
      </c>
      <c r="C1013" t="s">
        <v>14</v>
      </c>
      <c r="D1013">
        <v>4</v>
      </c>
      <c r="E1013">
        <v>0</v>
      </c>
      <c r="F1013">
        <v>1</v>
      </c>
      <c r="G1013">
        <f>IF(Table3[[#This Row],[Service_Window]]="Lunch",1,0)</f>
        <v>0</v>
      </c>
    </row>
    <row r="1014" spans="1:7" x14ac:dyDescent="0.2">
      <c r="A1014">
        <v>45978</v>
      </c>
      <c r="B1014" t="s">
        <v>213</v>
      </c>
      <c r="C1014" t="s">
        <v>14</v>
      </c>
      <c r="D1014">
        <v>2</v>
      </c>
      <c r="E1014">
        <v>0</v>
      </c>
      <c r="F1014">
        <v>1</v>
      </c>
      <c r="G1014">
        <f>IF(Table3[[#This Row],[Service_Window]]="Lunch",1,0)</f>
        <v>0</v>
      </c>
    </row>
    <row r="1015" spans="1:7" x14ac:dyDescent="0.2">
      <c r="A1015">
        <v>45978</v>
      </c>
      <c r="B1015" t="s">
        <v>213</v>
      </c>
      <c r="C1015" t="s">
        <v>14</v>
      </c>
      <c r="D1015">
        <v>2</v>
      </c>
      <c r="E1015">
        <v>0</v>
      </c>
      <c r="F1015">
        <v>1</v>
      </c>
      <c r="G1015">
        <f>IF(Table3[[#This Row],[Service_Window]]="Lunch",1,0)</f>
        <v>0</v>
      </c>
    </row>
    <row r="1016" spans="1:7" x14ac:dyDescent="0.2">
      <c r="A1016">
        <v>45978</v>
      </c>
      <c r="B1016" t="s">
        <v>213</v>
      </c>
      <c r="C1016" t="s">
        <v>14</v>
      </c>
      <c r="D1016">
        <v>3</v>
      </c>
      <c r="E1016">
        <v>0</v>
      </c>
      <c r="F1016">
        <v>1</v>
      </c>
      <c r="G1016">
        <f>IF(Table3[[#This Row],[Service_Window]]="Lunch",1,0)</f>
        <v>0</v>
      </c>
    </row>
    <row r="1017" spans="1:7" x14ac:dyDescent="0.2">
      <c r="A1017">
        <v>45978</v>
      </c>
      <c r="B1017" t="s">
        <v>213</v>
      </c>
      <c r="C1017" t="s">
        <v>14</v>
      </c>
      <c r="D1017">
        <v>3</v>
      </c>
      <c r="E1017">
        <v>0</v>
      </c>
      <c r="F1017">
        <v>1</v>
      </c>
      <c r="G1017">
        <f>IF(Table3[[#This Row],[Service_Window]]="Lunch",1,0)</f>
        <v>0</v>
      </c>
    </row>
    <row r="1018" spans="1:7" x14ac:dyDescent="0.2">
      <c r="A1018">
        <v>45978</v>
      </c>
      <c r="B1018" t="s">
        <v>213</v>
      </c>
      <c r="C1018" t="s">
        <v>14</v>
      </c>
      <c r="D1018">
        <v>4</v>
      </c>
      <c r="E1018">
        <v>0</v>
      </c>
      <c r="F1018">
        <v>1</v>
      </c>
      <c r="G1018">
        <f>IF(Table3[[#This Row],[Service_Window]]="Lunch",1,0)</f>
        <v>0</v>
      </c>
    </row>
    <row r="1019" spans="1:7" x14ac:dyDescent="0.2">
      <c r="A1019">
        <v>45978</v>
      </c>
      <c r="B1019" t="s">
        <v>213</v>
      </c>
      <c r="C1019" t="s">
        <v>14</v>
      </c>
      <c r="D1019">
        <v>5</v>
      </c>
      <c r="E1019">
        <v>0</v>
      </c>
      <c r="F1019">
        <v>1</v>
      </c>
      <c r="G1019">
        <f>IF(Table3[[#This Row],[Service_Window]]="Lunch",1,0)</f>
        <v>0</v>
      </c>
    </row>
    <row r="1020" spans="1:7" x14ac:dyDescent="0.2">
      <c r="A1020">
        <v>45978</v>
      </c>
      <c r="B1020" t="s">
        <v>213</v>
      </c>
      <c r="C1020" t="s">
        <v>14</v>
      </c>
      <c r="D1020">
        <v>1</v>
      </c>
      <c r="E1020">
        <v>0</v>
      </c>
      <c r="F1020">
        <v>1</v>
      </c>
      <c r="G1020">
        <f>IF(Table3[[#This Row],[Service_Window]]="Lunch",1,0)</f>
        <v>0</v>
      </c>
    </row>
    <row r="1021" spans="1:7" x14ac:dyDescent="0.2">
      <c r="A1021">
        <v>45978</v>
      </c>
      <c r="B1021" t="s">
        <v>213</v>
      </c>
      <c r="C1021" t="s">
        <v>14</v>
      </c>
      <c r="D1021">
        <v>2</v>
      </c>
      <c r="E1021">
        <v>0</v>
      </c>
      <c r="F1021">
        <v>1</v>
      </c>
      <c r="G1021">
        <f>IF(Table3[[#This Row],[Service_Window]]="Lunch",1,0)</f>
        <v>0</v>
      </c>
    </row>
    <row r="1022" spans="1:7" x14ac:dyDescent="0.2">
      <c r="A1022">
        <v>45978</v>
      </c>
      <c r="B1022" t="s">
        <v>213</v>
      </c>
      <c r="C1022" t="s">
        <v>14</v>
      </c>
      <c r="D1022">
        <v>3</v>
      </c>
      <c r="E1022">
        <v>0</v>
      </c>
      <c r="F1022">
        <v>1</v>
      </c>
      <c r="G1022">
        <f>IF(Table3[[#This Row],[Service_Window]]="Lunch",1,0)</f>
        <v>0</v>
      </c>
    </row>
    <row r="1023" spans="1:7" x14ac:dyDescent="0.2">
      <c r="A1023">
        <v>45978</v>
      </c>
      <c r="B1023" t="s">
        <v>213</v>
      </c>
      <c r="C1023" t="s">
        <v>14</v>
      </c>
      <c r="D1023">
        <v>1</v>
      </c>
      <c r="E1023">
        <v>0</v>
      </c>
      <c r="F1023">
        <v>1</v>
      </c>
      <c r="G1023">
        <f>IF(Table3[[#This Row],[Service_Window]]="Lunch",1,0)</f>
        <v>0</v>
      </c>
    </row>
    <row r="1024" spans="1:7" x14ac:dyDescent="0.2">
      <c r="A1024">
        <v>45978</v>
      </c>
      <c r="B1024" t="s">
        <v>213</v>
      </c>
      <c r="C1024" t="s">
        <v>14</v>
      </c>
      <c r="D1024">
        <v>1</v>
      </c>
      <c r="E1024">
        <v>0</v>
      </c>
      <c r="F1024">
        <v>1</v>
      </c>
      <c r="G1024">
        <f>IF(Table3[[#This Row],[Service_Window]]="Lunch",1,0)</f>
        <v>0</v>
      </c>
    </row>
    <row r="1025" spans="1:7" x14ac:dyDescent="0.2">
      <c r="A1025">
        <v>45978</v>
      </c>
      <c r="B1025" t="s">
        <v>213</v>
      </c>
      <c r="C1025" t="s">
        <v>14</v>
      </c>
      <c r="D1025">
        <v>2</v>
      </c>
      <c r="E1025">
        <v>0</v>
      </c>
      <c r="F1025">
        <v>1</v>
      </c>
      <c r="G1025">
        <f>IF(Table3[[#This Row],[Service_Window]]="Lunch",1,0)</f>
        <v>0</v>
      </c>
    </row>
    <row r="1026" spans="1:7" x14ac:dyDescent="0.2">
      <c r="A1026">
        <v>45978</v>
      </c>
      <c r="B1026" t="s">
        <v>213</v>
      </c>
      <c r="C1026" t="s">
        <v>14</v>
      </c>
      <c r="D1026">
        <v>6</v>
      </c>
      <c r="E1026">
        <v>0</v>
      </c>
      <c r="F1026">
        <v>1</v>
      </c>
      <c r="G1026">
        <f>IF(Table3[[#This Row],[Service_Window]]="Lunch",1,0)</f>
        <v>0</v>
      </c>
    </row>
    <row r="1027" spans="1:7" x14ac:dyDescent="0.2">
      <c r="A1027">
        <v>45978</v>
      </c>
      <c r="B1027" t="s">
        <v>213</v>
      </c>
      <c r="C1027" t="s">
        <v>14</v>
      </c>
      <c r="D1027">
        <v>3</v>
      </c>
      <c r="E1027">
        <v>0</v>
      </c>
      <c r="F1027">
        <v>1</v>
      </c>
      <c r="G1027">
        <f>IF(Table3[[#This Row],[Service_Window]]="Lunch",1,0)</f>
        <v>0</v>
      </c>
    </row>
    <row r="1028" spans="1:7" x14ac:dyDescent="0.2">
      <c r="A1028">
        <v>45978</v>
      </c>
      <c r="B1028" t="s">
        <v>213</v>
      </c>
      <c r="C1028" t="s">
        <v>14</v>
      </c>
      <c r="D1028">
        <v>3</v>
      </c>
      <c r="E1028">
        <v>0</v>
      </c>
      <c r="F1028">
        <v>1</v>
      </c>
      <c r="G1028">
        <f>IF(Table3[[#This Row],[Service_Window]]="Lunch",1,0)</f>
        <v>0</v>
      </c>
    </row>
    <row r="1029" spans="1:7" x14ac:dyDescent="0.2">
      <c r="A1029">
        <v>45978</v>
      </c>
      <c r="B1029" t="s">
        <v>213</v>
      </c>
      <c r="C1029" t="s">
        <v>43</v>
      </c>
      <c r="D1029">
        <v>2</v>
      </c>
      <c r="E1029">
        <v>0</v>
      </c>
      <c r="F1029">
        <v>1</v>
      </c>
      <c r="G1029">
        <f>IF(Table3[[#This Row],[Service_Window]]="Lunch",1,0)</f>
        <v>1</v>
      </c>
    </row>
    <row r="1030" spans="1:7" x14ac:dyDescent="0.2">
      <c r="A1030">
        <v>45978</v>
      </c>
      <c r="B1030" t="s">
        <v>213</v>
      </c>
      <c r="C1030" t="s">
        <v>43</v>
      </c>
      <c r="D1030">
        <v>3</v>
      </c>
      <c r="E1030">
        <v>0</v>
      </c>
      <c r="F1030">
        <v>1</v>
      </c>
      <c r="G1030">
        <f>IF(Table3[[#This Row],[Service_Window]]="Lunch",1,0)</f>
        <v>1</v>
      </c>
    </row>
    <row r="1031" spans="1:7" x14ac:dyDescent="0.2">
      <c r="A1031">
        <v>45978</v>
      </c>
      <c r="B1031" t="s">
        <v>213</v>
      </c>
      <c r="C1031" t="s">
        <v>43</v>
      </c>
      <c r="D1031">
        <v>1</v>
      </c>
      <c r="E1031">
        <v>0</v>
      </c>
      <c r="F1031">
        <v>1</v>
      </c>
      <c r="G1031">
        <f>IF(Table3[[#This Row],[Service_Window]]="Lunch",1,0)</f>
        <v>1</v>
      </c>
    </row>
    <row r="1032" spans="1:7" x14ac:dyDescent="0.2">
      <c r="A1032">
        <v>45978</v>
      </c>
      <c r="B1032" t="s">
        <v>213</v>
      </c>
      <c r="C1032" t="s">
        <v>43</v>
      </c>
      <c r="D1032">
        <v>2</v>
      </c>
      <c r="E1032">
        <v>0</v>
      </c>
      <c r="F1032">
        <v>1</v>
      </c>
      <c r="G1032">
        <f>IF(Table3[[#This Row],[Service_Window]]="Lunch",1,0)</f>
        <v>1</v>
      </c>
    </row>
    <row r="1033" spans="1:7" x14ac:dyDescent="0.2">
      <c r="A1033">
        <v>45978</v>
      </c>
      <c r="B1033" t="s">
        <v>213</v>
      </c>
      <c r="C1033" t="s">
        <v>43</v>
      </c>
      <c r="D1033">
        <v>1</v>
      </c>
      <c r="E1033">
        <v>0</v>
      </c>
      <c r="F1033">
        <v>1</v>
      </c>
      <c r="G1033">
        <f>IF(Table3[[#This Row],[Service_Window]]="Lunch",1,0)</f>
        <v>1</v>
      </c>
    </row>
    <row r="1034" spans="1:7" x14ac:dyDescent="0.2">
      <c r="A1034">
        <v>45978</v>
      </c>
      <c r="B1034" t="s">
        <v>213</v>
      </c>
      <c r="C1034" t="s">
        <v>43</v>
      </c>
      <c r="D1034">
        <v>2</v>
      </c>
      <c r="E1034">
        <v>0</v>
      </c>
      <c r="F1034">
        <v>1</v>
      </c>
      <c r="G1034">
        <f>IF(Table3[[#This Row],[Service_Window]]="Lunch",1,0)</f>
        <v>1</v>
      </c>
    </row>
    <row r="1035" spans="1:7" x14ac:dyDescent="0.2">
      <c r="A1035">
        <v>45978</v>
      </c>
      <c r="B1035" t="s">
        <v>213</v>
      </c>
      <c r="C1035" t="s">
        <v>43</v>
      </c>
      <c r="D1035">
        <v>1</v>
      </c>
      <c r="E1035">
        <v>0</v>
      </c>
      <c r="F1035">
        <v>1</v>
      </c>
      <c r="G1035">
        <f>IF(Table3[[#This Row],[Service_Window]]="Lunch",1,0)</f>
        <v>1</v>
      </c>
    </row>
    <row r="1036" spans="1:7" x14ac:dyDescent="0.2">
      <c r="A1036">
        <v>45978</v>
      </c>
      <c r="B1036" t="s">
        <v>213</v>
      </c>
      <c r="C1036" t="s">
        <v>43</v>
      </c>
      <c r="D1036">
        <v>3</v>
      </c>
      <c r="E1036">
        <v>0</v>
      </c>
      <c r="F1036">
        <v>1</v>
      </c>
      <c r="G1036">
        <f>IF(Table3[[#This Row],[Service_Window]]="Lunch",1,0)</f>
        <v>1</v>
      </c>
    </row>
    <row r="1037" spans="1:7" x14ac:dyDescent="0.2">
      <c r="A1037">
        <v>45979</v>
      </c>
      <c r="B1037" t="s">
        <v>250</v>
      </c>
      <c r="C1037" t="s">
        <v>14</v>
      </c>
      <c r="D1037">
        <v>1</v>
      </c>
      <c r="E1037">
        <v>0</v>
      </c>
      <c r="F1037">
        <v>2</v>
      </c>
      <c r="G1037">
        <f>IF(Table3[[#This Row],[Service_Window]]="Lunch",1,0)</f>
        <v>0</v>
      </c>
    </row>
    <row r="1038" spans="1:7" x14ac:dyDescent="0.2">
      <c r="A1038">
        <v>45979</v>
      </c>
      <c r="B1038" t="s">
        <v>250</v>
      </c>
      <c r="C1038" t="s">
        <v>14</v>
      </c>
      <c r="D1038">
        <v>2</v>
      </c>
      <c r="E1038">
        <v>0</v>
      </c>
      <c r="F1038">
        <v>2</v>
      </c>
      <c r="G1038">
        <f>IF(Table3[[#This Row],[Service_Window]]="Lunch",1,0)</f>
        <v>0</v>
      </c>
    </row>
    <row r="1039" spans="1:7" x14ac:dyDescent="0.2">
      <c r="A1039">
        <v>45979</v>
      </c>
      <c r="B1039" t="s">
        <v>250</v>
      </c>
      <c r="C1039" t="s">
        <v>14</v>
      </c>
      <c r="D1039">
        <v>3</v>
      </c>
      <c r="E1039">
        <v>0</v>
      </c>
      <c r="F1039">
        <v>2</v>
      </c>
      <c r="G1039">
        <f>IF(Table3[[#This Row],[Service_Window]]="Lunch",1,0)</f>
        <v>0</v>
      </c>
    </row>
    <row r="1040" spans="1:7" x14ac:dyDescent="0.2">
      <c r="A1040">
        <v>45979</v>
      </c>
      <c r="B1040" t="s">
        <v>250</v>
      </c>
      <c r="C1040" t="s">
        <v>14</v>
      </c>
      <c r="D1040">
        <v>2</v>
      </c>
      <c r="E1040">
        <v>0</v>
      </c>
      <c r="F1040">
        <v>2</v>
      </c>
      <c r="G1040">
        <f>IF(Table3[[#This Row],[Service_Window]]="Lunch",1,0)</f>
        <v>0</v>
      </c>
    </row>
    <row r="1041" spans="1:7" x14ac:dyDescent="0.2">
      <c r="A1041">
        <v>45979</v>
      </c>
      <c r="B1041" t="s">
        <v>250</v>
      </c>
      <c r="C1041" t="s">
        <v>14</v>
      </c>
      <c r="D1041">
        <v>2</v>
      </c>
      <c r="E1041">
        <v>0</v>
      </c>
      <c r="F1041">
        <v>2</v>
      </c>
      <c r="G1041">
        <f>IF(Table3[[#This Row],[Service_Window]]="Lunch",1,0)</f>
        <v>0</v>
      </c>
    </row>
    <row r="1042" spans="1:7" x14ac:dyDescent="0.2">
      <c r="A1042">
        <v>45979</v>
      </c>
      <c r="B1042" t="s">
        <v>250</v>
      </c>
      <c r="C1042" t="s">
        <v>14</v>
      </c>
      <c r="D1042">
        <v>3</v>
      </c>
      <c r="E1042">
        <v>0</v>
      </c>
      <c r="F1042">
        <v>2</v>
      </c>
      <c r="G1042">
        <f>IF(Table3[[#This Row],[Service_Window]]="Lunch",1,0)</f>
        <v>0</v>
      </c>
    </row>
    <row r="1043" spans="1:7" x14ac:dyDescent="0.2">
      <c r="A1043">
        <v>45979</v>
      </c>
      <c r="B1043" t="s">
        <v>250</v>
      </c>
      <c r="C1043" t="s">
        <v>14</v>
      </c>
      <c r="D1043">
        <v>2</v>
      </c>
      <c r="E1043">
        <v>0</v>
      </c>
      <c r="F1043">
        <v>2</v>
      </c>
      <c r="G1043">
        <f>IF(Table3[[#This Row],[Service_Window]]="Lunch",1,0)</f>
        <v>0</v>
      </c>
    </row>
    <row r="1044" spans="1:7" x14ac:dyDescent="0.2">
      <c r="A1044">
        <v>45979</v>
      </c>
      <c r="B1044" t="s">
        <v>250</v>
      </c>
      <c r="C1044" t="s">
        <v>14</v>
      </c>
      <c r="D1044">
        <v>3</v>
      </c>
      <c r="E1044">
        <v>0</v>
      </c>
      <c r="F1044">
        <v>2</v>
      </c>
      <c r="G1044">
        <f>IF(Table3[[#This Row],[Service_Window]]="Lunch",1,0)</f>
        <v>0</v>
      </c>
    </row>
    <row r="1045" spans="1:7" x14ac:dyDescent="0.2">
      <c r="A1045">
        <v>45979</v>
      </c>
      <c r="B1045" t="s">
        <v>250</v>
      </c>
      <c r="C1045" t="s">
        <v>14</v>
      </c>
      <c r="D1045">
        <v>2</v>
      </c>
      <c r="E1045">
        <v>0</v>
      </c>
      <c r="F1045">
        <v>2</v>
      </c>
      <c r="G1045">
        <f>IF(Table3[[#This Row],[Service_Window]]="Lunch",1,0)</f>
        <v>0</v>
      </c>
    </row>
    <row r="1046" spans="1:7" x14ac:dyDescent="0.2">
      <c r="A1046">
        <v>45979</v>
      </c>
      <c r="B1046" t="s">
        <v>250</v>
      </c>
      <c r="C1046" t="s">
        <v>14</v>
      </c>
      <c r="D1046">
        <v>2</v>
      </c>
      <c r="E1046">
        <v>0</v>
      </c>
      <c r="F1046">
        <v>2</v>
      </c>
      <c r="G1046">
        <f>IF(Table3[[#This Row],[Service_Window]]="Lunch",1,0)</f>
        <v>0</v>
      </c>
    </row>
    <row r="1047" spans="1:7" x14ac:dyDescent="0.2">
      <c r="A1047">
        <v>45979</v>
      </c>
      <c r="B1047" t="s">
        <v>250</v>
      </c>
      <c r="C1047" t="s">
        <v>14</v>
      </c>
      <c r="D1047">
        <v>4</v>
      </c>
      <c r="E1047">
        <v>0</v>
      </c>
      <c r="F1047">
        <v>2</v>
      </c>
      <c r="G1047">
        <f>IF(Table3[[#This Row],[Service_Window]]="Lunch",1,0)</f>
        <v>0</v>
      </c>
    </row>
    <row r="1048" spans="1:7" x14ac:dyDescent="0.2">
      <c r="A1048">
        <v>45979</v>
      </c>
      <c r="B1048" t="s">
        <v>250</v>
      </c>
      <c r="C1048" t="s">
        <v>43</v>
      </c>
      <c r="D1048">
        <v>1</v>
      </c>
      <c r="E1048">
        <v>0</v>
      </c>
      <c r="F1048">
        <v>2</v>
      </c>
      <c r="G1048">
        <f>IF(Table3[[#This Row],[Service_Window]]="Lunch",1,0)</f>
        <v>1</v>
      </c>
    </row>
    <row r="1049" spans="1:7" x14ac:dyDescent="0.2">
      <c r="A1049">
        <v>45979</v>
      </c>
      <c r="B1049" t="s">
        <v>250</v>
      </c>
      <c r="C1049" t="s">
        <v>43</v>
      </c>
      <c r="D1049">
        <v>2</v>
      </c>
      <c r="E1049">
        <v>0</v>
      </c>
      <c r="F1049">
        <v>2</v>
      </c>
      <c r="G1049">
        <f>IF(Table3[[#This Row],[Service_Window]]="Lunch",1,0)</f>
        <v>1</v>
      </c>
    </row>
    <row r="1050" spans="1:7" x14ac:dyDescent="0.2">
      <c r="A1050">
        <v>45979</v>
      </c>
      <c r="B1050" t="s">
        <v>250</v>
      </c>
      <c r="C1050" t="s">
        <v>43</v>
      </c>
      <c r="D1050">
        <v>4</v>
      </c>
      <c r="E1050">
        <v>0</v>
      </c>
      <c r="F1050">
        <v>2</v>
      </c>
      <c r="G1050">
        <f>IF(Table3[[#This Row],[Service_Window]]="Lunch",1,0)</f>
        <v>1</v>
      </c>
    </row>
    <row r="1051" spans="1:7" x14ac:dyDescent="0.2">
      <c r="A1051">
        <v>45979</v>
      </c>
      <c r="B1051" t="s">
        <v>250</v>
      </c>
      <c r="C1051" t="s">
        <v>43</v>
      </c>
      <c r="D1051">
        <v>6</v>
      </c>
      <c r="E1051">
        <v>0</v>
      </c>
      <c r="F1051">
        <v>2</v>
      </c>
      <c r="G1051">
        <f>IF(Table3[[#This Row],[Service_Window]]="Lunch",1,0)</f>
        <v>1</v>
      </c>
    </row>
    <row r="1052" spans="1:7" x14ac:dyDescent="0.2">
      <c r="A1052">
        <v>45980</v>
      </c>
      <c r="B1052" t="s">
        <v>13</v>
      </c>
      <c r="C1052" t="s">
        <v>14</v>
      </c>
      <c r="D1052">
        <v>3</v>
      </c>
      <c r="E1052">
        <v>0</v>
      </c>
      <c r="F1052">
        <v>3</v>
      </c>
      <c r="G1052">
        <f>IF(Table3[[#This Row],[Service_Window]]="Lunch",1,0)</f>
        <v>0</v>
      </c>
    </row>
    <row r="1053" spans="1:7" x14ac:dyDescent="0.2">
      <c r="A1053">
        <v>45980</v>
      </c>
      <c r="B1053" t="s">
        <v>13</v>
      </c>
      <c r="C1053" t="s">
        <v>14</v>
      </c>
      <c r="D1053">
        <v>2</v>
      </c>
      <c r="E1053">
        <v>0</v>
      </c>
      <c r="F1053">
        <v>3</v>
      </c>
      <c r="G1053">
        <f>IF(Table3[[#This Row],[Service_Window]]="Lunch",1,0)</f>
        <v>0</v>
      </c>
    </row>
    <row r="1054" spans="1:7" x14ac:dyDescent="0.2">
      <c r="A1054">
        <v>45980</v>
      </c>
      <c r="B1054" t="s">
        <v>13</v>
      </c>
      <c r="C1054" t="s">
        <v>14</v>
      </c>
      <c r="D1054">
        <v>3</v>
      </c>
      <c r="E1054">
        <v>0</v>
      </c>
      <c r="F1054">
        <v>3</v>
      </c>
      <c r="G1054">
        <f>IF(Table3[[#This Row],[Service_Window]]="Lunch",1,0)</f>
        <v>0</v>
      </c>
    </row>
    <row r="1055" spans="1:7" x14ac:dyDescent="0.2">
      <c r="A1055">
        <v>45980</v>
      </c>
      <c r="B1055" t="s">
        <v>13</v>
      </c>
      <c r="C1055" t="s">
        <v>14</v>
      </c>
      <c r="D1055">
        <v>1</v>
      </c>
      <c r="E1055">
        <v>0</v>
      </c>
      <c r="F1055">
        <v>3</v>
      </c>
      <c r="G1055">
        <f>IF(Table3[[#This Row],[Service_Window]]="Lunch",1,0)</f>
        <v>0</v>
      </c>
    </row>
    <row r="1056" spans="1:7" x14ac:dyDescent="0.2">
      <c r="A1056">
        <v>45980</v>
      </c>
      <c r="B1056" t="s">
        <v>13</v>
      </c>
      <c r="C1056" t="s">
        <v>14</v>
      </c>
      <c r="D1056">
        <v>1</v>
      </c>
      <c r="E1056">
        <v>0</v>
      </c>
      <c r="F1056">
        <v>3</v>
      </c>
      <c r="G1056">
        <f>IF(Table3[[#This Row],[Service_Window]]="Lunch",1,0)</f>
        <v>0</v>
      </c>
    </row>
    <row r="1057" spans="1:7" x14ac:dyDescent="0.2">
      <c r="A1057">
        <v>45980</v>
      </c>
      <c r="B1057" t="s">
        <v>13</v>
      </c>
      <c r="C1057" t="s">
        <v>14</v>
      </c>
      <c r="D1057">
        <v>3</v>
      </c>
      <c r="E1057">
        <v>0</v>
      </c>
      <c r="F1057">
        <v>3</v>
      </c>
      <c r="G1057">
        <f>IF(Table3[[#This Row],[Service_Window]]="Lunch",1,0)</f>
        <v>0</v>
      </c>
    </row>
    <row r="1058" spans="1:7" x14ac:dyDescent="0.2">
      <c r="A1058">
        <v>45980</v>
      </c>
      <c r="B1058" t="s">
        <v>13</v>
      </c>
      <c r="C1058" t="s">
        <v>14</v>
      </c>
      <c r="D1058">
        <v>5</v>
      </c>
      <c r="E1058">
        <v>0</v>
      </c>
      <c r="F1058">
        <v>3</v>
      </c>
      <c r="G1058">
        <f>IF(Table3[[#This Row],[Service_Window]]="Lunch",1,0)</f>
        <v>0</v>
      </c>
    </row>
    <row r="1059" spans="1:7" x14ac:dyDescent="0.2">
      <c r="A1059">
        <v>45980</v>
      </c>
      <c r="B1059" t="s">
        <v>13</v>
      </c>
      <c r="C1059" t="s">
        <v>14</v>
      </c>
      <c r="D1059">
        <v>3</v>
      </c>
      <c r="E1059">
        <v>0</v>
      </c>
      <c r="F1059">
        <v>3</v>
      </c>
      <c r="G1059">
        <f>IF(Table3[[#This Row],[Service_Window]]="Lunch",1,0)</f>
        <v>0</v>
      </c>
    </row>
    <row r="1060" spans="1:7" x14ac:dyDescent="0.2">
      <c r="A1060">
        <v>45980</v>
      </c>
      <c r="B1060" t="s">
        <v>13</v>
      </c>
      <c r="C1060" t="s">
        <v>14</v>
      </c>
      <c r="D1060">
        <v>4</v>
      </c>
      <c r="E1060">
        <v>0</v>
      </c>
      <c r="F1060">
        <v>3</v>
      </c>
      <c r="G1060">
        <f>IF(Table3[[#This Row],[Service_Window]]="Lunch",1,0)</f>
        <v>0</v>
      </c>
    </row>
    <row r="1061" spans="1:7" x14ac:dyDescent="0.2">
      <c r="A1061">
        <v>45980</v>
      </c>
      <c r="B1061" t="s">
        <v>13</v>
      </c>
      <c r="C1061" t="s">
        <v>14</v>
      </c>
      <c r="D1061">
        <v>5</v>
      </c>
      <c r="E1061">
        <v>0</v>
      </c>
      <c r="F1061">
        <v>3</v>
      </c>
      <c r="G1061">
        <f>IF(Table3[[#This Row],[Service_Window]]="Lunch",1,0)</f>
        <v>0</v>
      </c>
    </row>
    <row r="1062" spans="1:7" x14ac:dyDescent="0.2">
      <c r="A1062">
        <v>45980</v>
      </c>
      <c r="B1062" t="s">
        <v>13</v>
      </c>
      <c r="C1062" t="s">
        <v>43</v>
      </c>
      <c r="D1062">
        <v>4</v>
      </c>
      <c r="E1062">
        <v>1</v>
      </c>
      <c r="F1062">
        <v>3</v>
      </c>
      <c r="G1062">
        <f>IF(Table3[[#This Row],[Service_Window]]="Lunch",1,0)</f>
        <v>1</v>
      </c>
    </row>
    <row r="1063" spans="1:7" x14ac:dyDescent="0.2">
      <c r="A1063">
        <v>45980</v>
      </c>
      <c r="B1063" t="s">
        <v>13</v>
      </c>
      <c r="C1063" t="s">
        <v>43</v>
      </c>
      <c r="D1063">
        <v>3</v>
      </c>
      <c r="E1063">
        <v>1</v>
      </c>
      <c r="F1063">
        <v>3</v>
      </c>
      <c r="G1063">
        <f>IF(Table3[[#This Row],[Service_Window]]="Lunch",1,0)</f>
        <v>1</v>
      </c>
    </row>
    <row r="1064" spans="1:7" x14ac:dyDescent="0.2">
      <c r="A1064">
        <v>45980</v>
      </c>
      <c r="B1064" t="s">
        <v>13</v>
      </c>
      <c r="C1064" t="s">
        <v>43</v>
      </c>
      <c r="D1064">
        <v>5</v>
      </c>
      <c r="E1064">
        <v>1</v>
      </c>
      <c r="F1064">
        <v>3</v>
      </c>
      <c r="G1064">
        <f>IF(Table3[[#This Row],[Service_Window]]="Lunch",1,0)</f>
        <v>1</v>
      </c>
    </row>
    <row r="1065" spans="1:7" x14ac:dyDescent="0.2">
      <c r="A1065">
        <v>45980</v>
      </c>
      <c r="B1065" t="s">
        <v>13</v>
      </c>
      <c r="C1065" t="s">
        <v>43</v>
      </c>
      <c r="D1065">
        <v>4</v>
      </c>
      <c r="E1065">
        <v>1</v>
      </c>
      <c r="F1065">
        <v>3</v>
      </c>
      <c r="G1065">
        <f>IF(Table3[[#This Row],[Service_Window]]="Lunch",1,0)</f>
        <v>1</v>
      </c>
    </row>
    <row r="1066" spans="1:7" x14ac:dyDescent="0.2">
      <c r="A1066">
        <v>45980</v>
      </c>
      <c r="B1066" t="s">
        <v>13</v>
      </c>
      <c r="C1066" t="s">
        <v>43</v>
      </c>
      <c r="D1066">
        <v>2</v>
      </c>
      <c r="E1066">
        <v>0</v>
      </c>
      <c r="F1066">
        <v>3</v>
      </c>
      <c r="G1066">
        <f>IF(Table3[[#This Row],[Service_Window]]="Lunch",1,0)</f>
        <v>1</v>
      </c>
    </row>
    <row r="1067" spans="1:7" x14ac:dyDescent="0.2">
      <c r="A1067">
        <v>45980</v>
      </c>
      <c r="B1067" t="s">
        <v>13</v>
      </c>
      <c r="C1067" t="s">
        <v>43</v>
      </c>
      <c r="D1067">
        <v>3</v>
      </c>
      <c r="E1067">
        <v>0</v>
      </c>
      <c r="F1067">
        <v>3</v>
      </c>
      <c r="G1067">
        <f>IF(Table3[[#This Row],[Service_Window]]="Lunch",1,0)</f>
        <v>1</v>
      </c>
    </row>
    <row r="1068" spans="1:7" x14ac:dyDescent="0.2">
      <c r="A1068">
        <v>45980</v>
      </c>
      <c r="B1068" t="s">
        <v>13</v>
      </c>
      <c r="C1068" t="s">
        <v>43</v>
      </c>
      <c r="D1068">
        <v>4</v>
      </c>
      <c r="E1068">
        <v>1</v>
      </c>
      <c r="F1068">
        <v>3</v>
      </c>
      <c r="G1068">
        <f>IF(Table3[[#This Row],[Service_Window]]="Lunch",1,0)</f>
        <v>1</v>
      </c>
    </row>
    <row r="1069" spans="1:7" x14ac:dyDescent="0.2">
      <c r="A1069">
        <v>45980</v>
      </c>
      <c r="B1069" t="s">
        <v>13</v>
      </c>
      <c r="C1069" t="s">
        <v>43</v>
      </c>
      <c r="D1069">
        <v>7</v>
      </c>
      <c r="E1069">
        <v>0</v>
      </c>
      <c r="F1069">
        <v>3</v>
      </c>
      <c r="G1069">
        <f>IF(Table3[[#This Row],[Service_Window]]="Lunch",1,0)</f>
        <v>1</v>
      </c>
    </row>
    <row r="1070" spans="1:7" x14ac:dyDescent="0.2">
      <c r="A1070">
        <v>45980</v>
      </c>
      <c r="B1070" t="s">
        <v>13</v>
      </c>
      <c r="C1070" t="s">
        <v>43</v>
      </c>
      <c r="D1070">
        <v>4</v>
      </c>
      <c r="E1070">
        <v>0</v>
      </c>
      <c r="F1070">
        <v>3</v>
      </c>
      <c r="G1070">
        <f>IF(Table3[[#This Row],[Service_Window]]="Lunch",1,0)</f>
        <v>1</v>
      </c>
    </row>
    <row r="1071" spans="1:7" x14ac:dyDescent="0.2">
      <c r="A1071">
        <v>45980</v>
      </c>
      <c r="B1071" t="s">
        <v>13</v>
      </c>
      <c r="C1071" t="s">
        <v>43</v>
      </c>
      <c r="D1071">
        <v>1</v>
      </c>
      <c r="E1071">
        <v>1</v>
      </c>
      <c r="F1071">
        <v>3</v>
      </c>
      <c r="G1071">
        <f>IF(Table3[[#This Row],[Service_Window]]="Lunch",1,0)</f>
        <v>1</v>
      </c>
    </row>
    <row r="1072" spans="1:7" x14ac:dyDescent="0.2">
      <c r="A1072">
        <v>45980</v>
      </c>
      <c r="B1072" t="s">
        <v>13</v>
      </c>
      <c r="C1072" t="s">
        <v>43</v>
      </c>
      <c r="D1072">
        <v>3</v>
      </c>
      <c r="E1072">
        <v>1</v>
      </c>
      <c r="F1072">
        <v>3</v>
      </c>
      <c r="G1072">
        <f>IF(Table3[[#This Row],[Service_Window]]="Lunch",1,0)</f>
        <v>1</v>
      </c>
    </row>
    <row r="1073" spans="1:7" x14ac:dyDescent="0.2">
      <c r="A1073">
        <v>45980</v>
      </c>
      <c r="B1073" t="s">
        <v>13</v>
      </c>
      <c r="C1073" t="s">
        <v>43</v>
      </c>
      <c r="D1073">
        <v>5</v>
      </c>
      <c r="E1073">
        <v>1</v>
      </c>
      <c r="F1073">
        <v>3</v>
      </c>
      <c r="G1073">
        <f>IF(Table3[[#This Row],[Service_Window]]="Lunch",1,0)</f>
        <v>1</v>
      </c>
    </row>
    <row r="1074" spans="1:7" x14ac:dyDescent="0.2">
      <c r="A1074">
        <v>45981</v>
      </c>
      <c r="B1074" t="s">
        <v>62</v>
      </c>
      <c r="C1074" t="s">
        <v>14</v>
      </c>
      <c r="D1074">
        <v>4</v>
      </c>
      <c r="E1074">
        <v>0</v>
      </c>
      <c r="F1074">
        <v>4</v>
      </c>
      <c r="G1074">
        <f>IF(Table3[[#This Row],[Service_Window]]="Lunch",1,0)</f>
        <v>0</v>
      </c>
    </row>
    <row r="1075" spans="1:7" x14ac:dyDescent="0.2">
      <c r="A1075">
        <v>45981</v>
      </c>
      <c r="B1075" t="s">
        <v>62</v>
      </c>
      <c r="C1075" t="s">
        <v>14</v>
      </c>
      <c r="D1075">
        <v>1</v>
      </c>
      <c r="E1075">
        <v>0</v>
      </c>
      <c r="F1075">
        <v>4</v>
      </c>
      <c r="G1075">
        <f>IF(Table3[[#This Row],[Service_Window]]="Lunch",1,0)</f>
        <v>0</v>
      </c>
    </row>
    <row r="1076" spans="1:7" x14ac:dyDescent="0.2">
      <c r="A1076">
        <v>45981</v>
      </c>
      <c r="B1076" t="s">
        <v>62</v>
      </c>
      <c r="C1076" t="s">
        <v>14</v>
      </c>
      <c r="D1076">
        <v>2</v>
      </c>
      <c r="E1076">
        <v>0</v>
      </c>
      <c r="F1076">
        <v>4</v>
      </c>
      <c r="G1076">
        <f>IF(Table3[[#This Row],[Service_Window]]="Lunch",1,0)</f>
        <v>0</v>
      </c>
    </row>
    <row r="1077" spans="1:7" x14ac:dyDescent="0.2">
      <c r="A1077">
        <v>45981</v>
      </c>
      <c r="B1077" t="s">
        <v>62</v>
      </c>
      <c r="C1077" t="s">
        <v>14</v>
      </c>
      <c r="D1077">
        <v>4</v>
      </c>
      <c r="E1077">
        <v>0</v>
      </c>
      <c r="F1077">
        <v>4</v>
      </c>
      <c r="G1077">
        <f>IF(Table3[[#This Row],[Service_Window]]="Lunch",1,0)</f>
        <v>0</v>
      </c>
    </row>
    <row r="1078" spans="1:7" x14ac:dyDescent="0.2">
      <c r="A1078">
        <v>45981</v>
      </c>
      <c r="B1078" t="s">
        <v>62</v>
      </c>
      <c r="C1078" t="s">
        <v>14</v>
      </c>
      <c r="D1078">
        <v>4</v>
      </c>
      <c r="E1078">
        <v>0</v>
      </c>
      <c r="F1078">
        <v>4</v>
      </c>
      <c r="G1078">
        <f>IF(Table3[[#This Row],[Service_Window]]="Lunch",1,0)</f>
        <v>0</v>
      </c>
    </row>
    <row r="1079" spans="1:7" x14ac:dyDescent="0.2">
      <c r="A1079">
        <v>45981</v>
      </c>
      <c r="B1079" t="s">
        <v>62</v>
      </c>
      <c r="C1079" t="s">
        <v>14</v>
      </c>
      <c r="D1079">
        <v>2</v>
      </c>
      <c r="E1079">
        <v>0</v>
      </c>
      <c r="F1079">
        <v>4</v>
      </c>
      <c r="G1079">
        <f>IF(Table3[[#This Row],[Service_Window]]="Lunch",1,0)</f>
        <v>0</v>
      </c>
    </row>
    <row r="1080" spans="1:7" x14ac:dyDescent="0.2">
      <c r="A1080">
        <v>45981</v>
      </c>
      <c r="B1080" t="s">
        <v>62</v>
      </c>
      <c r="C1080" t="s">
        <v>14</v>
      </c>
      <c r="D1080">
        <v>2</v>
      </c>
      <c r="E1080">
        <v>0</v>
      </c>
      <c r="F1080">
        <v>4</v>
      </c>
      <c r="G1080">
        <f>IF(Table3[[#This Row],[Service_Window]]="Lunch",1,0)</f>
        <v>0</v>
      </c>
    </row>
    <row r="1081" spans="1:7" x14ac:dyDescent="0.2">
      <c r="A1081">
        <v>45981</v>
      </c>
      <c r="B1081" t="s">
        <v>62</v>
      </c>
      <c r="C1081" t="s">
        <v>43</v>
      </c>
      <c r="D1081">
        <v>2</v>
      </c>
      <c r="E1081">
        <v>1</v>
      </c>
      <c r="F1081">
        <v>4</v>
      </c>
      <c r="G1081">
        <f>IF(Table3[[#This Row],[Service_Window]]="Lunch",1,0)</f>
        <v>1</v>
      </c>
    </row>
    <row r="1082" spans="1:7" x14ac:dyDescent="0.2">
      <c r="A1082">
        <v>45981</v>
      </c>
      <c r="B1082" t="s">
        <v>62</v>
      </c>
      <c r="C1082" t="s">
        <v>43</v>
      </c>
      <c r="D1082">
        <v>4</v>
      </c>
      <c r="E1082">
        <v>1</v>
      </c>
      <c r="F1082">
        <v>4</v>
      </c>
      <c r="G1082">
        <f>IF(Table3[[#This Row],[Service_Window]]="Lunch",1,0)</f>
        <v>1</v>
      </c>
    </row>
    <row r="1083" spans="1:7" x14ac:dyDescent="0.2">
      <c r="A1083">
        <v>45981</v>
      </c>
      <c r="B1083" t="s">
        <v>62</v>
      </c>
      <c r="C1083" t="s">
        <v>43</v>
      </c>
      <c r="D1083">
        <v>3</v>
      </c>
      <c r="E1083">
        <v>1</v>
      </c>
      <c r="F1083">
        <v>4</v>
      </c>
      <c r="G1083">
        <f>IF(Table3[[#This Row],[Service_Window]]="Lunch",1,0)</f>
        <v>1</v>
      </c>
    </row>
    <row r="1084" spans="1:7" x14ac:dyDescent="0.2">
      <c r="A1084">
        <v>45981</v>
      </c>
      <c r="B1084" t="s">
        <v>62</v>
      </c>
      <c r="C1084" t="s">
        <v>43</v>
      </c>
      <c r="D1084">
        <v>4</v>
      </c>
      <c r="E1084">
        <v>1</v>
      </c>
      <c r="F1084">
        <v>4</v>
      </c>
      <c r="G1084">
        <f>IF(Table3[[#This Row],[Service_Window]]="Lunch",1,0)</f>
        <v>1</v>
      </c>
    </row>
    <row r="1085" spans="1:7" x14ac:dyDescent="0.2">
      <c r="A1085">
        <v>45981</v>
      </c>
      <c r="B1085" t="s">
        <v>62</v>
      </c>
      <c r="C1085" t="s">
        <v>43</v>
      </c>
      <c r="D1085">
        <v>3</v>
      </c>
      <c r="E1085">
        <v>0</v>
      </c>
      <c r="F1085">
        <v>4</v>
      </c>
      <c r="G1085">
        <f>IF(Table3[[#This Row],[Service_Window]]="Lunch",1,0)</f>
        <v>1</v>
      </c>
    </row>
    <row r="1086" spans="1:7" x14ac:dyDescent="0.2">
      <c r="A1086">
        <v>45981</v>
      </c>
      <c r="B1086" t="s">
        <v>62</v>
      </c>
      <c r="C1086" t="s">
        <v>43</v>
      </c>
      <c r="D1086">
        <v>4</v>
      </c>
      <c r="E1086">
        <v>1</v>
      </c>
      <c r="F1086">
        <v>4</v>
      </c>
      <c r="G1086">
        <f>IF(Table3[[#This Row],[Service_Window]]="Lunch",1,0)</f>
        <v>1</v>
      </c>
    </row>
    <row r="1087" spans="1:7" x14ac:dyDescent="0.2">
      <c r="A1087">
        <v>45981</v>
      </c>
      <c r="B1087" t="s">
        <v>62</v>
      </c>
      <c r="C1087" t="s">
        <v>43</v>
      </c>
      <c r="D1087">
        <v>4</v>
      </c>
      <c r="E1087">
        <v>0</v>
      </c>
      <c r="F1087">
        <v>4</v>
      </c>
      <c r="G1087">
        <f>IF(Table3[[#This Row],[Service_Window]]="Lunch",1,0)</f>
        <v>1</v>
      </c>
    </row>
    <row r="1088" spans="1:7" x14ac:dyDescent="0.2">
      <c r="A1088">
        <v>45981</v>
      </c>
      <c r="B1088" t="s">
        <v>62</v>
      </c>
      <c r="C1088" t="s">
        <v>43</v>
      </c>
      <c r="D1088">
        <v>6</v>
      </c>
      <c r="E1088">
        <v>1</v>
      </c>
      <c r="F1088">
        <v>4</v>
      </c>
      <c r="G1088">
        <f>IF(Table3[[#This Row],[Service_Window]]="Lunch",1,0)</f>
        <v>1</v>
      </c>
    </row>
    <row r="1089" spans="1:7" x14ac:dyDescent="0.2">
      <c r="A1089">
        <v>45981</v>
      </c>
      <c r="B1089" t="s">
        <v>62</v>
      </c>
      <c r="C1089" t="s">
        <v>43</v>
      </c>
      <c r="D1089">
        <v>4</v>
      </c>
      <c r="E1089">
        <v>1</v>
      </c>
      <c r="F1089">
        <v>4</v>
      </c>
      <c r="G1089">
        <f>IF(Table3[[#This Row],[Service_Window]]="Lunch",1,0)</f>
        <v>1</v>
      </c>
    </row>
    <row r="1090" spans="1:7" x14ac:dyDescent="0.2">
      <c r="A1090">
        <v>45981</v>
      </c>
      <c r="B1090" t="s">
        <v>62</v>
      </c>
      <c r="C1090" t="s">
        <v>43</v>
      </c>
      <c r="D1090">
        <v>2</v>
      </c>
      <c r="E1090">
        <v>1</v>
      </c>
      <c r="F1090">
        <v>4</v>
      </c>
      <c r="G1090">
        <f>IF(Table3[[#This Row],[Service_Window]]="Lunch",1,0)</f>
        <v>1</v>
      </c>
    </row>
    <row r="1091" spans="1:7" x14ac:dyDescent="0.2">
      <c r="A1091">
        <v>45981</v>
      </c>
      <c r="B1091" t="s">
        <v>62</v>
      </c>
      <c r="C1091" t="s">
        <v>43</v>
      </c>
      <c r="D1091">
        <v>2</v>
      </c>
      <c r="E1091">
        <v>0</v>
      </c>
      <c r="F1091">
        <v>4</v>
      </c>
      <c r="G1091">
        <f>IF(Table3[[#This Row],[Service_Window]]="Lunch",1,0)</f>
        <v>1</v>
      </c>
    </row>
    <row r="1092" spans="1:7" x14ac:dyDescent="0.2">
      <c r="A1092">
        <v>45982</v>
      </c>
      <c r="B1092" t="s">
        <v>96</v>
      </c>
      <c r="C1092" t="s">
        <v>14</v>
      </c>
      <c r="D1092">
        <v>5</v>
      </c>
      <c r="E1092">
        <v>0</v>
      </c>
      <c r="F1092">
        <v>5</v>
      </c>
      <c r="G1092">
        <f>IF(Table3[[#This Row],[Service_Window]]="Lunch",1,0)</f>
        <v>0</v>
      </c>
    </row>
    <row r="1093" spans="1:7" x14ac:dyDescent="0.2">
      <c r="A1093">
        <v>45982</v>
      </c>
      <c r="B1093" t="s">
        <v>96</v>
      </c>
      <c r="C1093" t="s">
        <v>14</v>
      </c>
      <c r="D1093">
        <v>2</v>
      </c>
      <c r="E1093">
        <v>0</v>
      </c>
      <c r="F1093">
        <v>5</v>
      </c>
      <c r="G1093">
        <f>IF(Table3[[#This Row],[Service_Window]]="Lunch",1,0)</f>
        <v>0</v>
      </c>
    </row>
    <row r="1094" spans="1:7" x14ac:dyDescent="0.2">
      <c r="A1094">
        <v>45982</v>
      </c>
      <c r="B1094" t="s">
        <v>96</v>
      </c>
      <c r="C1094" t="s">
        <v>14</v>
      </c>
      <c r="D1094">
        <v>2</v>
      </c>
      <c r="E1094">
        <v>0</v>
      </c>
      <c r="F1094">
        <v>5</v>
      </c>
      <c r="G1094">
        <f>IF(Table3[[#This Row],[Service_Window]]="Lunch",1,0)</f>
        <v>0</v>
      </c>
    </row>
    <row r="1095" spans="1:7" x14ac:dyDescent="0.2">
      <c r="A1095">
        <v>45982</v>
      </c>
      <c r="B1095" t="s">
        <v>96</v>
      </c>
      <c r="C1095" t="s">
        <v>14</v>
      </c>
      <c r="D1095">
        <v>1</v>
      </c>
      <c r="E1095">
        <v>0</v>
      </c>
      <c r="F1095">
        <v>5</v>
      </c>
      <c r="G1095">
        <f>IF(Table3[[#This Row],[Service_Window]]="Lunch",1,0)</f>
        <v>0</v>
      </c>
    </row>
    <row r="1096" spans="1:7" x14ac:dyDescent="0.2">
      <c r="A1096">
        <v>45982</v>
      </c>
      <c r="B1096" t="s">
        <v>96</v>
      </c>
      <c r="C1096" t="s">
        <v>14</v>
      </c>
      <c r="D1096">
        <v>3</v>
      </c>
      <c r="E1096">
        <v>0</v>
      </c>
      <c r="F1096">
        <v>5</v>
      </c>
      <c r="G1096">
        <f>IF(Table3[[#This Row],[Service_Window]]="Lunch",1,0)</f>
        <v>0</v>
      </c>
    </row>
    <row r="1097" spans="1:7" x14ac:dyDescent="0.2">
      <c r="A1097">
        <v>45982</v>
      </c>
      <c r="B1097" t="s">
        <v>96</v>
      </c>
      <c r="C1097" t="s">
        <v>14</v>
      </c>
      <c r="D1097">
        <v>2</v>
      </c>
      <c r="E1097">
        <v>0</v>
      </c>
      <c r="F1097">
        <v>5</v>
      </c>
      <c r="G1097">
        <f>IF(Table3[[#This Row],[Service_Window]]="Lunch",1,0)</f>
        <v>0</v>
      </c>
    </row>
    <row r="1098" spans="1:7" x14ac:dyDescent="0.2">
      <c r="A1098">
        <v>45982</v>
      </c>
      <c r="B1098" t="s">
        <v>96</v>
      </c>
      <c r="C1098" t="s">
        <v>43</v>
      </c>
      <c r="D1098">
        <v>4</v>
      </c>
      <c r="E1098">
        <v>1</v>
      </c>
      <c r="F1098">
        <v>5</v>
      </c>
      <c r="G1098">
        <f>IF(Table3[[#This Row],[Service_Window]]="Lunch",1,0)</f>
        <v>1</v>
      </c>
    </row>
    <row r="1099" spans="1:7" x14ac:dyDescent="0.2">
      <c r="A1099">
        <v>45982</v>
      </c>
      <c r="B1099" t="s">
        <v>96</v>
      </c>
      <c r="C1099" t="s">
        <v>43</v>
      </c>
      <c r="D1099">
        <v>4</v>
      </c>
      <c r="E1099">
        <v>1</v>
      </c>
      <c r="F1099">
        <v>5</v>
      </c>
      <c r="G1099">
        <f>IF(Table3[[#This Row],[Service_Window]]="Lunch",1,0)</f>
        <v>1</v>
      </c>
    </row>
    <row r="1100" spans="1:7" x14ac:dyDescent="0.2">
      <c r="A1100">
        <v>45982</v>
      </c>
      <c r="B1100" t="s">
        <v>96</v>
      </c>
      <c r="C1100" t="s">
        <v>43</v>
      </c>
      <c r="D1100">
        <v>3</v>
      </c>
      <c r="E1100">
        <v>1</v>
      </c>
      <c r="F1100">
        <v>5</v>
      </c>
      <c r="G1100">
        <f>IF(Table3[[#This Row],[Service_Window]]="Lunch",1,0)</f>
        <v>1</v>
      </c>
    </row>
    <row r="1101" spans="1:7" x14ac:dyDescent="0.2">
      <c r="A1101">
        <v>45982</v>
      </c>
      <c r="B1101" t="s">
        <v>96</v>
      </c>
      <c r="C1101" t="s">
        <v>43</v>
      </c>
      <c r="D1101">
        <v>1</v>
      </c>
      <c r="E1101">
        <v>1</v>
      </c>
      <c r="F1101">
        <v>5</v>
      </c>
      <c r="G1101">
        <f>IF(Table3[[#This Row],[Service_Window]]="Lunch",1,0)</f>
        <v>1</v>
      </c>
    </row>
    <row r="1102" spans="1:7" x14ac:dyDescent="0.2">
      <c r="A1102">
        <v>45982</v>
      </c>
      <c r="B1102" t="s">
        <v>96</v>
      </c>
      <c r="C1102" t="s">
        <v>43</v>
      </c>
      <c r="D1102">
        <v>4</v>
      </c>
      <c r="E1102">
        <v>1</v>
      </c>
      <c r="F1102">
        <v>5</v>
      </c>
      <c r="G1102">
        <f>IF(Table3[[#This Row],[Service_Window]]="Lunch",1,0)</f>
        <v>1</v>
      </c>
    </row>
    <row r="1103" spans="1:7" x14ac:dyDescent="0.2">
      <c r="A1103">
        <v>45982</v>
      </c>
      <c r="B1103" t="s">
        <v>96</v>
      </c>
      <c r="C1103" t="s">
        <v>43</v>
      </c>
      <c r="D1103">
        <v>6</v>
      </c>
      <c r="E1103">
        <v>1</v>
      </c>
      <c r="F1103">
        <v>5</v>
      </c>
      <c r="G1103">
        <f>IF(Table3[[#This Row],[Service_Window]]="Lunch",1,0)</f>
        <v>1</v>
      </c>
    </row>
    <row r="1104" spans="1:7" x14ac:dyDescent="0.2">
      <c r="A1104">
        <v>45982</v>
      </c>
      <c r="B1104" t="s">
        <v>96</v>
      </c>
      <c r="C1104" t="s">
        <v>43</v>
      </c>
      <c r="D1104">
        <v>3</v>
      </c>
      <c r="E1104">
        <v>1</v>
      </c>
      <c r="F1104">
        <v>5</v>
      </c>
      <c r="G1104">
        <f>IF(Table3[[#This Row],[Service_Window]]="Lunch",1,0)</f>
        <v>1</v>
      </c>
    </row>
    <row r="1105" spans="1:7" x14ac:dyDescent="0.2">
      <c r="A1105">
        <v>45982</v>
      </c>
      <c r="B1105" t="s">
        <v>96</v>
      </c>
      <c r="C1105" t="s">
        <v>43</v>
      </c>
      <c r="D1105">
        <v>2</v>
      </c>
      <c r="E1105">
        <v>1</v>
      </c>
      <c r="F1105">
        <v>5</v>
      </c>
      <c r="G1105">
        <f>IF(Table3[[#This Row],[Service_Window]]="Lunch",1,0)</f>
        <v>1</v>
      </c>
    </row>
    <row r="1106" spans="1:7" x14ac:dyDescent="0.2">
      <c r="A1106">
        <v>45982</v>
      </c>
      <c r="B1106" t="s">
        <v>96</v>
      </c>
      <c r="C1106" t="s">
        <v>43</v>
      </c>
      <c r="D1106">
        <v>2</v>
      </c>
      <c r="E1106">
        <v>0</v>
      </c>
      <c r="F1106">
        <v>5</v>
      </c>
      <c r="G1106">
        <f>IF(Table3[[#This Row],[Service_Window]]="Lunch",1,0)</f>
        <v>1</v>
      </c>
    </row>
    <row r="1107" spans="1:7" x14ac:dyDescent="0.2">
      <c r="A1107">
        <v>45982</v>
      </c>
      <c r="B1107" t="s">
        <v>96</v>
      </c>
      <c r="C1107" t="s">
        <v>43</v>
      </c>
      <c r="D1107">
        <v>2</v>
      </c>
      <c r="E1107">
        <v>0</v>
      </c>
      <c r="F1107">
        <v>5</v>
      </c>
      <c r="G1107">
        <f>IF(Table3[[#This Row],[Service_Window]]="Lunch",1,0)</f>
        <v>1</v>
      </c>
    </row>
    <row r="1108" spans="1:7" x14ac:dyDescent="0.2">
      <c r="A1108">
        <v>45983</v>
      </c>
      <c r="B1108" t="s">
        <v>127</v>
      </c>
      <c r="C1108" t="s">
        <v>14</v>
      </c>
      <c r="D1108">
        <v>6</v>
      </c>
      <c r="E1108">
        <v>0</v>
      </c>
      <c r="F1108">
        <v>6</v>
      </c>
      <c r="G1108">
        <f>IF(Table3[[#This Row],[Service_Window]]="Lunch",1,0)</f>
        <v>0</v>
      </c>
    </row>
    <row r="1109" spans="1:7" x14ac:dyDescent="0.2">
      <c r="A1109">
        <v>45983</v>
      </c>
      <c r="B1109" t="s">
        <v>127</v>
      </c>
      <c r="C1109" t="s">
        <v>14</v>
      </c>
      <c r="D1109">
        <v>4</v>
      </c>
      <c r="E1109">
        <v>0</v>
      </c>
      <c r="F1109">
        <v>6</v>
      </c>
      <c r="G1109">
        <f>IF(Table3[[#This Row],[Service_Window]]="Lunch",1,0)</f>
        <v>0</v>
      </c>
    </row>
    <row r="1110" spans="1:7" x14ac:dyDescent="0.2">
      <c r="A1110">
        <v>45983</v>
      </c>
      <c r="B1110" t="s">
        <v>127</v>
      </c>
      <c r="C1110" t="s">
        <v>14</v>
      </c>
      <c r="D1110">
        <v>4</v>
      </c>
      <c r="E1110">
        <v>0</v>
      </c>
      <c r="F1110">
        <v>6</v>
      </c>
      <c r="G1110">
        <f>IF(Table3[[#This Row],[Service_Window]]="Lunch",1,0)</f>
        <v>0</v>
      </c>
    </row>
    <row r="1111" spans="1:7" x14ac:dyDescent="0.2">
      <c r="A1111">
        <v>45983</v>
      </c>
      <c r="B1111" t="s">
        <v>127</v>
      </c>
      <c r="C1111" t="s">
        <v>14</v>
      </c>
      <c r="D1111">
        <v>2</v>
      </c>
      <c r="E1111">
        <v>0</v>
      </c>
      <c r="F1111">
        <v>6</v>
      </c>
      <c r="G1111">
        <f>IF(Table3[[#This Row],[Service_Window]]="Lunch",1,0)</f>
        <v>0</v>
      </c>
    </row>
    <row r="1112" spans="1:7" x14ac:dyDescent="0.2">
      <c r="A1112">
        <v>45983</v>
      </c>
      <c r="B1112" t="s">
        <v>127</v>
      </c>
      <c r="C1112" t="s">
        <v>14</v>
      </c>
      <c r="D1112">
        <v>3</v>
      </c>
      <c r="E1112">
        <v>0</v>
      </c>
      <c r="F1112">
        <v>6</v>
      </c>
      <c r="G1112">
        <f>IF(Table3[[#This Row],[Service_Window]]="Lunch",1,0)</f>
        <v>0</v>
      </c>
    </row>
    <row r="1113" spans="1:7" x14ac:dyDescent="0.2">
      <c r="A1113">
        <v>45983</v>
      </c>
      <c r="B1113" t="s">
        <v>127</v>
      </c>
      <c r="C1113" t="s">
        <v>14</v>
      </c>
      <c r="D1113">
        <v>7</v>
      </c>
      <c r="E1113">
        <v>0</v>
      </c>
      <c r="F1113">
        <v>6</v>
      </c>
      <c r="G1113">
        <f>IF(Table3[[#This Row],[Service_Window]]="Lunch",1,0)</f>
        <v>0</v>
      </c>
    </row>
    <row r="1114" spans="1:7" x14ac:dyDescent="0.2">
      <c r="A1114">
        <v>45983</v>
      </c>
      <c r="B1114" t="s">
        <v>127</v>
      </c>
      <c r="C1114" t="s">
        <v>14</v>
      </c>
      <c r="D1114">
        <v>1</v>
      </c>
      <c r="E1114">
        <v>0</v>
      </c>
      <c r="F1114">
        <v>6</v>
      </c>
      <c r="G1114">
        <f>IF(Table3[[#This Row],[Service_Window]]="Lunch",1,0)</f>
        <v>0</v>
      </c>
    </row>
    <row r="1115" spans="1:7" x14ac:dyDescent="0.2">
      <c r="A1115">
        <v>45983</v>
      </c>
      <c r="B1115" t="s">
        <v>127</v>
      </c>
      <c r="C1115" t="s">
        <v>14</v>
      </c>
      <c r="D1115">
        <v>5</v>
      </c>
      <c r="E1115">
        <v>0</v>
      </c>
      <c r="F1115">
        <v>6</v>
      </c>
      <c r="G1115">
        <f>IF(Table3[[#This Row],[Service_Window]]="Lunch",1,0)</f>
        <v>0</v>
      </c>
    </row>
    <row r="1116" spans="1:7" x14ac:dyDescent="0.2">
      <c r="A1116">
        <v>45983</v>
      </c>
      <c r="B1116" t="s">
        <v>127</v>
      </c>
      <c r="C1116" t="s">
        <v>14</v>
      </c>
      <c r="D1116">
        <v>4</v>
      </c>
      <c r="E1116">
        <v>0</v>
      </c>
      <c r="F1116">
        <v>6</v>
      </c>
      <c r="G1116">
        <f>IF(Table3[[#This Row],[Service_Window]]="Lunch",1,0)</f>
        <v>0</v>
      </c>
    </row>
    <row r="1117" spans="1:7" x14ac:dyDescent="0.2">
      <c r="A1117">
        <v>45983</v>
      </c>
      <c r="B1117" t="s">
        <v>127</v>
      </c>
      <c r="C1117" t="s">
        <v>14</v>
      </c>
      <c r="D1117">
        <v>4</v>
      </c>
      <c r="E1117">
        <v>0</v>
      </c>
      <c r="F1117">
        <v>6</v>
      </c>
      <c r="G1117">
        <f>IF(Table3[[#This Row],[Service_Window]]="Lunch",1,0)</f>
        <v>0</v>
      </c>
    </row>
    <row r="1118" spans="1:7" x14ac:dyDescent="0.2">
      <c r="A1118">
        <v>45983</v>
      </c>
      <c r="B1118" t="s">
        <v>127</v>
      </c>
      <c r="C1118" t="s">
        <v>14</v>
      </c>
      <c r="D1118">
        <v>5</v>
      </c>
      <c r="E1118">
        <v>0</v>
      </c>
      <c r="F1118">
        <v>6</v>
      </c>
      <c r="G1118">
        <f>IF(Table3[[#This Row],[Service_Window]]="Lunch",1,0)</f>
        <v>0</v>
      </c>
    </row>
    <row r="1119" spans="1:7" x14ac:dyDescent="0.2">
      <c r="A1119">
        <v>45983</v>
      </c>
      <c r="B1119" t="s">
        <v>127</v>
      </c>
      <c r="C1119" t="s">
        <v>14</v>
      </c>
      <c r="D1119">
        <v>5</v>
      </c>
      <c r="E1119">
        <v>0</v>
      </c>
      <c r="F1119">
        <v>6</v>
      </c>
      <c r="G1119">
        <f>IF(Table3[[#This Row],[Service_Window]]="Lunch",1,0)</f>
        <v>0</v>
      </c>
    </row>
    <row r="1120" spans="1:7" x14ac:dyDescent="0.2">
      <c r="A1120">
        <v>45983</v>
      </c>
      <c r="B1120" t="s">
        <v>127</v>
      </c>
      <c r="C1120" t="s">
        <v>14</v>
      </c>
      <c r="D1120">
        <v>2</v>
      </c>
      <c r="E1120">
        <v>0</v>
      </c>
      <c r="F1120">
        <v>6</v>
      </c>
      <c r="G1120">
        <f>IF(Table3[[#This Row],[Service_Window]]="Lunch",1,0)</f>
        <v>0</v>
      </c>
    </row>
    <row r="1121" spans="1:7" x14ac:dyDescent="0.2">
      <c r="A1121">
        <v>45983</v>
      </c>
      <c r="B1121" t="s">
        <v>127</v>
      </c>
      <c r="C1121" t="s">
        <v>14</v>
      </c>
      <c r="D1121">
        <v>4</v>
      </c>
      <c r="E1121">
        <v>0</v>
      </c>
      <c r="F1121">
        <v>6</v>
      </c>
      <c r="G1121">
        <f>IF(Table3[[#This Row],[Service_Window]]="Lunch",1,0)</f>
        <v>0</v>
      </c>
    </row>
    <row r="1122" spans="1:7" x14ac:dyDescent="0.2">
      <c r="A1122">
        <v>45983</v>
      </c>
      <c r="B1122" t="s">
        <v>127</v>
      </c>
      <c r="C1122" t="s">
        <v>14</v>
      </c>
      <c r="D1122">
        <v>3</v>
      </c>
      <c r="E1122">
        <v>0</v>
      </c>
      <c r="F1122">
        <v>6</v>
      </c>
      <c r="G1122">
        <f>IF(Table3[[#This Row],[Service_Window]]="Lunch",1,0)</f>
        <v>0</v>
      </c>
    </row>
    <row r="1123" spans="1:7" x14ac:dyDescent="0.2">
      <c r="A1123">
        <v>45983</v>
      </c>
      <c r="B1123" t="s">
        <v>127</v>
      </c>
      <c r="C1123" t="s">
        <v>14</v>
      </c>
      <c r="D1123">
        <v>7</v>
      </c>
      <c r="E1123">
        <v>0</v>
      </c>
      <c r="F1123">
        <v>6</v>
      </c>
      <c r="G1123">
        <f>IF(Table3[[#This Row],[Service_Window]]="Lunch",1,0)</f>
        <v>0</v>
      </c>
    </row>
    <row r="1124" spans="1:7" x14ac:dyDescent="0.2">
      <c r="A1124">
        <v>45983</v>
      </c>
      <c r="B1124" t="s">
        <v>127</v>
      </c>
      <c r="C1124" t="s">
        <v>14</v>
      </c>
      <c r="D1124">
        <v>3</v>
      </c>
      <c r="E1124">
        <v>0</v>
      </c>
      <c r="F1124">
        <v>6</v>
      </c>
      <c r="G1124">
        <f>IF(Table3[[#This Row],[Service_Window]]="Lunch",1,0)</f>
        <v>0</v>
      </c>
    </row>
    <row r="1125" spans="1:7" x14ac:dyDescent="0.2">
      <c r="A1125">
        <v>45983</v>
      </c>
      <c r="B1125" t="s">
        <v>127</v>
      </c>
      <c r="C1125" t="s">
        <v>14</v>
      </c>
      <c r="D1125">
        <v>7</v>
      </c>
      <c r="E1125">
        <v>0</v>
      </c>
      <c r="F1125">
        <v>6</v>
      </c>
      <c r="G1125">
        <f>IF(Table3[[#This Row],[Service_Window]]="Lunch",1,0)</f>
        <v>0</v>
      </c>
    </row>
    <row r="1126" spans="1:7" x14ac:dyDescent="0.2">
      <c r="A1126">
        <v>45983</v>
      </c>
      <c r="B1126" t="s">
        <v>127</v>
      </c>
      <c r="C1126" t="s">
        <v>14</v>
      </c>
      <c r="D1126">
        <v>3</v>
      </c>
      <c r="E1126">
        <v>0</v>
      </c>
      <c r="F1126">
        <v>6</v>
      </c>
      <c r="G1126">
        <f>IF(Table3[[#This Row],[Service_Window]]="Lunch",1,0)</f>
        <v>0</v>
      </c>
    </row>
    <row r="1127" spans="1:7" x14ac:dyDescent="0.2">
      <c r="A1127">
        <v>45983</v>
      </c>
      <c r="B1127" t="s">
        <v>127</v>
      </c>
      <c r="C1127" t="s">
        <v>14</v>
      </c>
      <c r="D1127">
        <v>5</v>
      </c>
      <c r="E1127">
        <v>0</v>
      </c>
      <c r="F1127">
        <v>6</v>
      </c>
      <c r="G1127">
        <f>IF(Table3[[#This Row],[Service_Window]]="Lunch",1,0)</f>
        <v>0</v>
      </c>
    </row>
    <row r="1128" spans="1:7" x14ac:dyDescent="0.2">
      <c r="A1128">
        <v>45983</v>
      </c>
      <c r="B1128" t="s">
        <v>127</v>
      </c>
      <c r="C1128" t="s">
        <v>14</v>
      </c>
      <c r="D1128">
        <v>7</v>
      </c>
      <c r="E1128">
        <v>0</v>
      </c>
      <c r="F1128">
        <v>6</v>
      </c>
      <c r="G1128">
        <f>IF(Table3[[#This Row],[Service_Window]]="Lunch",1,0)</f>
        <v>0</v>
      </c>
    </row>
    <row r="1129" spans="1:7" x14ac:dyDescent="0.2">
      <c r="A1129">
        <v>45983</v>
      </c>
      <c r="B1129" t="s">
        <v>127</v>
      </c>
      <c r="C1129" t="s">
        <v>14</v>
      </c>
      <c r="D1129">
        <v>7</v>
      </c>
      <c r="E1129">
        <v>0</v>
      </c>
      <c r="F1129">
        <v>6</v>
      </c>
      <c r="G1129">
        <f>IF(Table3[[#This Row],[Service_Window]]="Lunch",1,0)</f>
        <v>0</v>
      </c>
    </row>
    <row r="1130" spans="1:7" x14ac:dyDescent="0.2">
      <c r="A1130">
        <v>45983</v>
      </c>
      <c r="B1130" t="s">
        <v>127</v>
      </c>
      <c r="C1130" t="s">
        <v>14</v>
      </c>
      <c r="D1130">
        <v>3</v>
      </c>
      <c r="E1130">
        <v>0</v>
      </c>
      <c r="F1130">
        <v>6</v>
      </c>
      <c r="G1130">
        <f>IF(Table3[[#This Row],[Service_Window]]="Lunch",1,0)</f>
        <v>0</v>
      </c>
    </row>
    <row r="1131" spans="1:7" x14ac:dyDescent="0.2">
      <c r="A1131">
        <v>45983</v>
      </c>
      <c r="B1131" t="s">
        <v>127</v>
      </c>
      <c r="C1131" t="s">
        <v>14</v>
      </c>
      <c r="D1131">
        <v>3</v>
      </c>
      <c r="E1131">
        <v>0</v>
      </c>
      <c r="F1131">
        <v>6</v>
      </c>
      <c r="G1131">
        <f>IF(Table3[[#This Row],[Service_Window]]="Lunch",1,0)</f>
        <v>0</v>
      </c>
    </row>
    <row r="1132" spans="1:7" x14ac:dyDescent="0.2">
      <c r="A1132">
        <v>45983</v>
      </c>
      <c r="B1132" t="s">
        <v>127</v>
      </c>
      <c r="C1132" t="s">
        <v>14</v>
      </c>
      <c r="D1132">
        <v>4</v>
      </c>
      <c r="E1132">
        <v>0</v>
      </c>
      <c r="F1132">
        <v>6</v>
      </c>
      <c r="G1132">
        <f>IF(Table3[[#This Row],[Service_Window]]="Lunch",1,0)</f>
        <v>0</v>
      </c>
    </row>
    <row r="1133" spans="1:7" x14ac:dyDescent="0.2">
      <c r="A1133">
        <v>45983</v>
      </c>
      <c r="B1133" t="s">
        <v>127</v>
      </c>
      <c r="C1133" t="s">
        <v>14</v>
      </c>
      <c r="D1133">
        <v>6</v>
      </c>
      <c r="E1133">
        <v>0</v>
      </c>
      <c r="F1133">
        <v>6</v>
      </c>
      <c r="G1133">
        <f>IF(Table3[[#This Row],[Service_Window]]="Lunch",1,0)</f>
        <v>0</v>
      </c>
    </row>
    <row r="1134" spans="1:7" x14ac:dyDescent="0.2">
      <c r="A1134">
        <v>45983</v>
      </c>
      <c r="B1134" t="s">
        <v>127</v>
      </c>
      <c r="C1134" t="s">
        <v>43</v>
      </c>
      <c r="D1134">
        <v>2</v>
      </c>
      <c r="E1134">
        <v>0</v>
      </c>
      <c r="F1134">
        <v>6</v>
      </c>
      <c r="G1134">
        <f>IF(Table3[[#This Row],[Service_Window]]="Lunch",1,0)</f>
        <v>1</v>
      </c>
    </row>
    <row r="1135" spans="1:7" x14ac:dyDescent="0.2">
      <c r="A1135">
        <v>45983</v>
      </c>
      <c r="B1135" t="s">
        <v>127</v>
      </c>
      <c r="C1135" t="s">
        <v>43</v>
      </c>
      <c r="D1135">
        <v>2</v>
      </c>
      <c r="E1135">
        <v>0</v>
      </c>
      <c r="F1135">
        <v>6</v>
      </c>
      <c r="G1135">
        <f>IF(Table3[[#This Row],[Service_Window]]="Lunch",1,0)</f>
        <v>1</v>
      </c>
    </row>
    <row r="1136" spans="1:7" x14ac:dyDescent="0.2">
      <c r="A1136">
        <v>45983</v>
      </c>
      <c r="B1136" t="s">
        <v>127</v>
      </c>
      <c r="C1136" t="s">
        <v>43</v>
      </c>
      <c r="D1136">
        <v>3</v>
      </c>
      <c r="E1136">
        <v>0</v>
      </c>
      <c r="F1136">
        <v>6</v>
      </c>
      <c r="G1136">
        <f>IF(Table3[[#This Row],[Service_Window]]="Lunch",1,0)</f>
        <v>1</v>
      </c>
    </row>
    <row r="1137" spans="1:7" x14ac:dyDescent="0.2">
      <c r="A1137">
        <v>45983</v>
      </c>
      <c r="B1137" t="s">
        <v>127</v>
      </c>
      <c r="C1137" t="s">
        <v>43</v>
      </c>
      <c r="D1137">
        <v>5</v>
      </c>
      <c r="E1137">
        <v>0</v>
      </c>
      <c r="F1137">
        <v>6</v>
      </c>
      <c r="G1137">
        <f>IF(Table3[[#This Row],[Service_Window]]="Lunch",1,0)</f>
        <v>1</v>
      </c>
    </row>
    <row r="1138" spans="1:7" x14ac:dyDescent="0.2">
      <c r="A1138">
        <v>45984</v>
      </c>
      <c r="B1138" t="s">
        <v>171</v>
      </c>
      <c r="C1138" t="s">
        <v>14</v>
      </c>
      <c r="D1138">
        <v>2</v>
      </c>
      <c r="E1138">
        <v>0</v>
      </c>
      <c r="F1138">
        <v>7</v>
      </c>
      <c r="G1138">
        <f>IF(Table3[[#This Row],[Service_Window]]="Lunch",1,0)</f>
        <v>0</v>
      </c>
    </row>
    <row r="1139" spans="1:7" x14ac:dyDescent="0.2">
      <c r="A1139">
        <v>45984</v>
      </c>
      <c r="B1139" t="s">
        <v>171</v>
      </c>
      <c r="C1139" t="s">
        <v>14</v>
      </c>
      <c r="D1139">
        <v>3</v>
      </c>
      <c r="E1139">
        <v>0</v>
      </c>
      <c r="F1139">
        <v>7</v>
      </c>
      <c r="G1139">
        <f>IF(Table3[[#This Row],[Service_Window]]="Lunch",1,0)</f>
        <v>0</v>
      </c>
    </row>
    <row r="1140" spans="1:7" x14ac:dyDescent="0.2">
      <c r="A1140">
        <v>45984</v>
      </c>
      <c r="B1140" t="s">
        <v>171</v>
      </c>
      <c r="C1140" t="s">
        <v>14</v>
      </c>
      <c r="D1140">
        <v>2</v>
      </c>
      <c r="E1140">
        <v>0</v>
      </c>
      <c r="F1140">
        <v>7</v>
      </c>
      <c r="G1140">
        <f>IF(Table3[[#This Row],[Service_Window]]="Lunch",1,0)</f>
        <v>0</v>
      </c>
    </row>
    <row r="1141" spans="1:7" x14ac:dyDescent="0.2">
      <c r="A1141">
        <v>45984</v>
      </c>
      <c r="B1141" t="s">
        <v>171</v>
      </c>
      <c r="C1141" t="s">
        <v>14</v>
      </c>
      <c r="D1141">
        <v>3</v>
      </c>
      <c r="E1141">
        <v>0</v>
      </c>
      <c r="F1141">
        <v>7</v>
      </c>
      <c r="G1141">
        <f>IF(Table3[[#This Row],[Service_Window]]="Lunch",1,0)</f>
        <v>0</v>
      </c>
    </row>
    <row r="1142" spans="1:7" x14ac:dyDescent="0.2">
      <c r="A1142">
        <v>45984</v>
      </c>
      <c r="B1142" t="s">
        <v>171</v>
      </c>
      <c r="C1142" t="s">
        <v>14</v>
      </c>
      <c r="D1142">
        <v>3</v>
      </c>
      <c r="E1142">
        <v>0</v>
      </c>
      <c r="F1142">
        <v>7</v>
      </c>
      <c r="G1142">
        <f>IF(Table3[[#This Row],[Service_Window]]="Lunch",1,0)</f>
        <v>0</v>
      </c>
    </row>
    <row r="1143" spans="1:7" x14ac:dyDescent="0.2">
      <c r="A1143">
        <v>45984</v>
      </c>
      <c r="B1143" t="s">
        <v>171</v>
      </c>
      <c r="C1143" t="s">
        <v>14</v>
      </c>
      <c r="D1143">
        <v>3</v>
      </c>
      <c r="E1143">
        <v>0</v>
      </c>
      <c r="F1143">
        <v>7</v>
      </c>
      <c r="G1143">
        <f>IF(Table3[[#This Row],[Service_Window]]="Lunch",1,0)</f>
        <v>0</v>
      </c>
    </row>
    <row r="1144" spans="1:7" x14ac:dyDescent="0.2">
      <c r="A1144">
        <v>45984</v>
      </c>
      <c r="B1144" t="s">
        <v>171</v>
      </c>
      <c r="C1144" t="s">
        <v>14</v>
      </c>
      <c r="D1144">
        <v>4</v>
      </c>
      <c r="E1144">
        <v>0</v>
      </c>
      <c r="F1144">
        <v>7</v>
      </c>
      <c r="G1144">
        <f>IF(Table3[[#This Row],[Service_Window]]="Lunch",1,0)</f>
        <v>0</v>
      </c>
    </row>
    <row r="1145" spans="1:7" x14ac:dyDescent="0.2">
      <c r="A1145">
        <v>45984</v>
      </c>
      <c r="B1145" t="s">
        <v>171</v>
      </c>
      <c r="C1145" t="s">
        <v>14</v>
      </c>
      <c r="D1145">
        <v>3</v>
      </c>
      <c r="E1145">
        <v>0</v>
      </c>
      <c r="F1145">
        <v>7</v>
      </c>
      <c r="G1145">
        <f>IF(Table3[[#This Row],[Service_Window]]="Lunch",1,0)</f>
        <v>0</v>
      </c>
    </row>
    <row r="1146" spans="1:7" x14ac:dyDescent="0.2">
      <c r="A1146">
        <v>45984</v>
      </c>
      <c r="B1146" t="s">
        <v>171</v>
      </c>
      <c r="C1146" t="s">
        <v>14</v>
      </c>
      <c r="D1146">
        <v>6</v>
      </c>
      <c r="E1146">
        <v>0</v>
      </c>
      <c r="F1146">
        <v>7</v>
      </c>
      <c r="G1146">
        <f>IF(Table3[[#This Row],[Service_Window]]="Lunch",1,0)</f>
        <v>0</v>
      </c>
    </row>
    <row r="1147" spans="1:7" x14ac:dyDescent="0.2">
      <c r="A1147">
        <v>45984</v>
      </c>
      <c r="B1147" t="s">
        <v>171</v>
      </c>
      <c r="C1147" t="s">
        <v>14</v>
      </c>
      <c r="D1147">
        <v>3</v>
      </c>
      <c r="E1147">
        <v>0</v>
      </c>
      <c r="F1147">
        <v>7</v>
      </c>
      <c r="G1147">
        <f>IF(Table3[[#This Row],[Service_Window]]="Lunch",1,0)</f>
        <v>0</v>
      </c>
    </row>
    <row r="1148" spans="1:7" x14ac:dyDescent="0.2">
      <c r="A1148">
        <v>45984</v>
      </c>
      <c r="B1148" t="s">
        <v>171</v>
      </c>
      <c r="C1148" t="s">
        <v>14</v>
      </c>
      <c r="D1148">
        <v>3</v>
      </c>
      <c r="E1148">
        <v>0</v>
      </c>
      <c r="F1148">
        <v>7</v>
      </c>
      <c r="G1148">
        <f>IF(Table3[[#This Row],[Service_Window]]="Lunch",1,0)</f>
        <v>0</v>
      </c>
    </row>
    <row r="1149" spans="1:7" x14ac:dyDescent="0.2">
      <c r="A1149">
        <v>45984</v>
      </c>
      <c r="B1149" t="s">
        <v>171</v>
      </c>
      <c r="C1149" t="s">
        <v>14</v>
      </c>
      <c r="D1149">
        <v>6</v>
      </c>
      <c r="E1149">
        <v>0</v>
      </c>
      <c r="F1149">
        <v>7</v>
      </c>
      <c r="G1149">
        <f>IF(Table3[[#This Row],[Service_Window]]="Lunch",1,0)</f>
        <v>0</v>
      </c>
    </row>
    <row r="1150" spans="1:7" x14ac:dyDescent="0.2">
      <c r="A1150">
        <v>45984</v>
      </c>
      <c r="B1150" t="s">
        <v>171</v>
      </c>
      <c r="C1150" t="s">
        <v>14</v>
      </c>
      <c r="D1150">
        <v>4</v>
      </c>
      <c r="E1150">
        <v>0</v>
      </c>
      <c r="F1150">
        <v>7</v>
      </c>
      <c r="G1150">
        <f>IF(Table3[[#This Row],[Service_Window]]="Lunch",1,0)</f>
        <v>0</v>
      </c>
    </row>
    <row r="1151" spans="1:7" x14ac:dyDescent="0.2">
      <c r="A1151">
        <v>45984</v>
      </c>
      <c r="B1151" t="s">
        <v>171</v>
      </c>
      <c r="C1151" t="s">
        <v>14</v>
      </c>
      <c r="D1151">
        <v>2</v>
      </c>
      <c r="E1151">
        <v>0</v>
      </c>
      <c r="F1151">
        <v>7</v>
      </c>
      <c r="G1151">
        <f>IF(Table3[[#This Row],[Service_Window]]="Lunch",1,0)</f>
        <v>0</v>
      </c>
    </row>
    <row r="1152" spans="1:7" x14ac:dyDescent="0.2">
      <c r="A1152">
        <v>45984</v>
      </c>
      <c r="B1152" t="s">
        <v>171</v>
      </c>
      <c r="C1152" t="s">
        <v>14</v>
      </c>
      <c r="D1152">
        <v>3</v>
      </c>
      <c r="E1152">
        <v>0</v>
      </c>
      <c r="F1152">
        <v>7</v>
      </c>
      <c r="G1152">
        <f>IF(Table3[[#This Row],[Service_Window]]="Lunch",1,0)</f>
        <v>0</v>
      </c>
    </row>
    <row r="1153" spans="1:7" x14ac:dyDescent="0.2">
      <c r="A1153">
        <v>45984</v>
      </c>
      <c r="B1153" t="s">
        <v>171</v>
      </c>
      <c r="C1153" t="s">
        <v>14</v>
      </c>
      <c r="D1153">
        <v>6</v>
      </c>
      <c r="E1153">
        <v>0</v>
      </c>
      <c r="F1153">
        <v>7</v>
      </c>
      <c r="G1153">
        <f>IF(Table3[[#This Row],[Service_Window]]="Lunch",1,0)</f>
        <v>0</v>
      </c>
    </row>
    <row r="1154" spans="1:7" x14ac:dyDescent="0.2">
      <c r="A1154">
        <v>45984</v>
      </c>
      <c r="B1154" t="s">
        <v>171</v>
      </c>
      <c r="C1154" t="s">
        <v>14</v>
      </c>
      <c r="D1154">
        <v>4</v>
      </c>
      <c r="E1154">
        <v>0</v>
      </c>
      <c r="F1154">
        <v>7</v>
      </c>
      <c r="G1154">
        <f>IF(Table3[[#This Row],[Service_Window]]="Lunch",1,0)</f>
        <v>0</v>
      </c>
    </row>
    <row r="1155" spans="1:7" x14ac:dyDescent="0.2">
      <c r="A1155">
        <v>45984</v>
      </c>
      <c r="B1155" t="s">
        <v>171</v>
      </c>
      <c r="C1155" t="s">
        <v>14</v>
      </c>
      <c r="D1155">
        <v>3</v>
      </c>
      <c r="E1155">
        <v>0</v>
      </c>
      <c r="F1155">
        <v>7</v>
      </c>
      <c r="G1155">
        <f>IF(Table3[[#This Row],[Service_Window]]="Lunch",1,0)</f>
        <v>0</v>
      </c>
    </row>
    <row r="1156" spans="1:7" x14ac:dyDescent="0.2">
      <c r="A1156">
        <v>45984</v>
      </c>
      <c r="B1156" t="s">
        <v>171</v>
      </c>
      <c r="C1156" t="s">
        <v>14</v>
      </c>
      <c r="D1156">
        <v>2</v>
      </c>
      <c r="E1156">
        <v>0</v>
      </c>
      <c r="F1156">
        <v>7</v>
      </c>
      <c r="G1156">
        <f>IF(Table3[[#This Row],[Service_Window]]="Lunch",1,0)</f>
        <v>0</v>
      </c>
    </row>
    <row r="1157" spans="1:7" x14ac:dyDescent="0.2">
      <c r="A1157">
        <v>45984</v>
      </c>
      <c r="B1157" t="s">
        <v>171</v>
      </c>
      <c r="C1157" t="s">
        <v>14</v>
      </c>
      <c r="D1157">
        <v>2</v>
      </c>
      <c r="E1157">
        <v>0</v>
      </c>
      <c r="F1157">
        <v>7</v>
      </c>
      <c r="G1157">
        <f>IF(Table3[[#This Row],[Service_Window]]="Lunch",1,0)</f>
        <v>0</v>
      </c>
    </row>
    <row r="1158" spans="1:7" x14ac:dyDescent="0.2">
      <c r="A1158">
        <v>45984</v>
      </c>
      <c r="B1158" t="s">
        <v>171</v>
      </c>
      <c r="C1158" t="s">
        <v>14</v>
      </c>
      <c r="D1158">
        <v>2</v>
      </c>
      <c r="E1158">
        <v>0</v>
      </c>
      <c r="F1158">
        <v>7</v>
      </c>
      <c r="G1158">
        <f>IF(Table3[[#This Row],[Service_Window]]="Lunch",1,0)</f>
        <v>0</v>
      </c>
    </row>
    <row r="1159" spans="1:7" x14ac:dyDescent="0.2">
      <c r="A1159">
        <v>45984</v>
      </c>
      <c r="B1159" t="s">
        <v>171</v>
      </c>
      <c r="C1159" t="s">
        <v>43</v>
      </c>
      <c r="D1159">
        <v>2</v>
      </c>
      <c r="E1159">
        <v>0</v>
      </c>
      <c r="F1159">
        <v>7</v>
      </c>
      <c r="G1159">
        <f>IF(Table3[[#This Row],[Service_Window]]="Lunch",1,0)</f>
        <v>1</v>
      </c>
    </row>
    <row r="1160" spans="1:7" x14ac:dyDescent="0.2">
      <c r="A1160">
        <v>45984</v>
      </c>
      <c r="B1160" t="s">
        <v>171</v>
      </c>
      <c r="C1160" t="s">
        <v>43</v>
      </c>
      <c r="D1160">
        <v>4</v>
      </c>
      <c r="E1160">
        <v>0</v>
      </c>
      <c r="F1160">
        <v>7</v>
      </c>
      <c r="G1160">
        <f>IF(Table3[[#This Row],[Service_Window]]="Lunch",1,0)</f>
        <v>1</v>
      </c>
    </row>
    <row r="1161" spans="1:7" x14ac:dyDescent="0.2">
      <c r="A1161">
        <v>45985</v>
      </c>
      <c r="B1161" t="s">
        <v>213</v>
      </c>
      <c r="C1161" t="s">
        <v>14</v>
      </c>
      <c r="D1161">
        <v>1</v>
      </c>
      <c r="E1161">
        <v>0</v>
      </c>
      <c r="F1161">
        <v>1</v>
      </c>
      <c r="G1161">
        <f>IF(Table3[[#This Row],[Service_Window]]="Lunch",1,0)</f>
        <v>0</v>
      </c>
    </row>
    <row r="1162" spans="1:7" x14ac:dyDescent="0.2">
      <c r="A1162">
        <v>45985</v>
      </c>
      <c r="B1162" t="s">
        <v>213</v>
      </c>
      <c r="C1162" t="s">
        <v>14</v>
      </c>
      <c r="D1162">
        <v>2</v>
      </c>
      <c r="E1162">
        <v>0</v>
      </c>
      <c r="F1162">
        <v>1</v>
      </c>
      <c r="G1162">
        <f>IF(Table3[[#This Row],[Service_Window]]="Lunch",1,0)</f>
        <v>0</v>
      </c>
    </row>
    <row r="1163" spans="1:7" x14ac:dyDescent="0.2">
      <c r="A1163">
        <v>45985</v>
      </c>
      <c r="B1163" t="s">
        <v>213</v>
      </c>
      <c r="C1163" t="s">
        <v>14</v>
      </c>
      <c r="D1163">
        <v>2</v>
      </c>
      <c r="E1163">
        <v>0</v>
      </c>
      <c r="F1163">
        <v>1</v>
      </c>
      <c r="G1163">
        <f>IF(Table3[[#This Row],[Service_Window]]="Lunch",1,0)</f>
        <v>0</v>
      </c>
    </row>
    <row r="1164" spans="1:7" x14ac:dyDescent="0.2">
      <c r="A1164">
        <v>45985</v>
      </c>
      <c r="B1164" t="s">
        <v>213</v>
      </c>
      <c r="C1164" t="s">
        <v>14</v>
      </c>
      <c r="D1164">
        <v>4</v>
      </c>
      <c r="E1164">
        <v>0</v>
      </c>
      <c r="F1164">
        <v>1</v>
      </c>
      <c r="G1164">
        <f>IF(Table3[[#This Row],[Service_Window]]="Lunch",1,0)</f>
        <v>0</v>
      </c>
    </row>
    <row r="1165" spans="1:7" x14ac:dyDescent="0.2">
      <c r="A1165">
        <v>45985</v>
      </c>
      <c r="B1165" t="s">
        <v>213</v>
      </c>
      <c r="C1165" t="s">
        <v>14</v>
      </c>
      <c r="D1165">
        <v>4</v>
      </c>
      <c r="E1165">
        <v>0</v>
      </c>
      <c r="F1165">
        <v>1</v>
      </c>
      <c r="G1165">
        <f>IF(Table3[[#This Row],[Service_Window]]="Lunch",1,0)</f>
        <v>0</v>
      </c>
    </row>
    <row r="1166" spans="1:7" x14ac:dyDescent="0.2">
      <c r="A1166">
        <v>45985</v>
      </c>
      <c r="B1166" t="s">
        <v>213</v>
      </c>
      <c r="C1166" t="s">
        <v>14</v>
      </c>
      <c r="D1166">
        <v>3</v>
      </c>
      <c r="E1166">
        <v>0</v>
      </c>
      <c r="F1166">
        <v>1</v>
      </c>
      <c r="G1166">
        <f>IF(Table3[[#This Row],[Service_Window]]="Lunch",1,0)</f>
        <v>0</v>
      </c>
    </row>
    <row r="1167" spans="1:7" x14ac:dyDescent="0.2">
      <c r="A1167">
        <v>45985</v>
      </c>
      <c r="B1167" t="s">
        <v>213</v>
      </c>
      <c r="C1167" t="s">
        <v>14</v>
      </c>
      <c r="D1167">
        <v>3</v>
      </c>
      <c r="E1167">
        <v>0</v>
      </c>
      <c r="F1167">
        <v>1</v>
      </c>
      <c r="G1167">
        <f>IF(Table3[[#This Row],[Service_Window]]="Lunch",1,0)</f>
        <v>0</v>
      </c>
    </row>
    <row r="1168" spans="1:7" x14ac:dyDescent="0.2">
      <c r="A1168">
        <v>45985</v>
      </c>
      <c r="B1168" t="s">
        <v>213</v>
      </c>
      <c r="C1168" t="s">
        <v>14</v>
      </c>
      <c r="D1168">
        <v>6</v>
      </c>
      <c r="E1168">
        <v>0</v>
      </c>
      <c r="F1168">
        <v>1</v>
      </c>
      <c r="G1168">
        <f>IF(Table3[[#This Row],[Service_Window]]="Lunch",1,0)</f>
        <v>0</v>
      </c>
    </row>
    <row r="1169" spans="1:7" x14ac:dyDescent="0.2">
      <c r="A1169">
        <v>45985</v>
      </c>
      <c r="B1169" t="s">
        <v>213</v>
      </c>
      <c r="C1169" t="s">
        <v>14</v>
      </c>
      <c r="D1169">
        <v>4</v>
      </c>
      <c r="E1169">
        <v>0</v>
      </c>
      <c r="F1169">
        <v>1</v>
      </c>
      <c r="G1169">
        <f>IF(Table3[[#This Row],[Service_Window]]="Lunch",1,0)</f>
        <v>0</v>
      </c>
    </row>
    <row r="1170" spans="1:7" x14ac:dyDescent="0.2">
      <c r="A1170">
        <v>45985</v>
      </c>
      <c r="B1170" t="s">
        <v>213</v>
      </c>
      <c r="C1170" t="s">
        <v>14</v>
      </c>
      <c r="D1170">
        <v>5</v>
      </c>
      <c r="E1170">
        <v>0</v>
      </c>
      <c r="F1170">
        <v>1</v>
      </c>
      <c r="G1170">
        <f>IF(Table3[[#This Row],[Service_Window]]="Lunch",1,0)</f>
        <v>0</v>
      </c>
    </row>
    <row r="1171" spans="1:7" x14ac:dyDescent="0.2">
      <c r="A1171">
        <v>45985</v>
      </c>
      <c r="B1171" t="s">
        <v>213</v>
      </c>
      <c r="C1171" t="s">
        <v>14</v>
      </c>
      <c r="D1171">
        <v>1</v>
      </c>
      <c r="E1171">
        <v>0</v>
      </c>
      <c r="F1171">
        <v>1</v>
      </c>
      <c r="G1171">
        <f>IF(Table3[[#This Row],[Service_Window]]="Lunch",1,0)</f>
        <v>0</v>
      </c>
    </row>
    <row r="1172" spans="1:7" x14ac:dyDescent="0.2">
      <c r="A1172">
        <v>45985</v>
      </c>
      <c r="B1172" t="s">
        <v>213</v>
      </c>
      <c r="C1172" t="s">
        <v>14</v>
      </c>
      <c r="D1172">
        <v>1</v>
      </c>
      <c r="E1172">
        <v>0</v>
      </c>
      <c r="F1172">
        <v>1</v>
      </c>
      <c r="G1172">
        <f>IF(Table3[[#This Row],[Service_Window]]="Lunch",1,0)</f>
        <v>0</v>
      </c>
    </row>
    <row r="1173" spans="1:7" x14ac:dyDescent="0.2">
      <c r="A1173">
        <v>45985</v>
      </c>
      <c r="B1173" t="s">
        <v>213</v>
      </c>
      <c r="C1173" t="s">
        <v>14</v>
      </c>
      <c r="D1173">
        <v>3</v>
      </c>
      <c r="E1173">
        <v>0</v>
      </c>
      <c r="F1173">
        <v>1</v>
      </c>
      <c r="G1173">
        <f>IF(Table3[[#This Row],[Service_Window]]="Lunch",1,0)</f>
        <v>0</v>
      </c>
    </row>
    <row r="1174" spans="1:7" x14ac:dyDescent="0.2">
      <c r="A1174">
        <v>45985</v>
      </c>
      <c r="B1174" t="s">
        <v>213</v>
      </c>
      <c r="C1174" t="s">
        <v>14</v>
      </c>
      <c r="D1174">
        <v>3</v>
      </c>
      <c r="E1174">
        <v>0</v>
      </c>
      <c r="F1174">
        <v>1</v>
      </c>
      <c r="G1174">
        <f>IF(Table3[[#This Row],[Service_Window]]="Lunch",1,0)</f>
        <v>0</v>
      </c>
    </row>
    <row r="1175" spans="1:7" x14ac:dyDescent="0.2">
      <c r="A1175">
        <v>45985</v>
      </c>
      <c r="B1175" t="s">
        <v>213</v>
      </c>
      <c r="C1175" t="s">
        <v>14</v>
      </c>
      <c r="D1175">
        <v>6</v>
      </c>
      <c r="E1175">
        <v>0</v>
      </c>
      <c r="F1175">
        <v>1</v>
      </c>
      <c r="G1175">
        <f>IF(Table3[[#This Row],[Service_Window]]="Lunch",1,0)</f>
        <v>0</v>
      </c>
    </row>
    <row r="1176" spans="1:7" x14ac:dyDescent="0.2">
      <c r="A1176">
        <v>45985</v>
      </c>
      <c r="B1176" t="s">
        <v>213</v>
      </c>
      <c r="C1176" t="s">
        <v>14</v>
      </c>
      <c r="D1176">
        <v>5</v>
      </c>
      <c r="E1176">
        <v>0</v>
      </c>
      <c r="F1176">
        <v>1</v>
      </c>
      <c r="G1176">
        <f>IF(Table3[[#This Row],[Service_Window]]="Lunch",1,0)</f>
        <v>0</v>
      </c>
    </row>
    <row r="1177" spans="1:7" x14ac:dyDescent="0.2">
      <c r="A1177">
        <v>45985</v>
      </c>
      <c r="B1177" t="s">
        <v>213</v>
      </c>
      <c r="C1177" t="s">
        <v>14</v>
      </c>
      <c r="D1177">
        <v>6</v>
      </c>
      <c r="E1177">
        <v>0</v>
      </c>
      <c r="F1177">
        <v>1</v>
      </c>
      <c r="G1177">
        <f>IF(Table3[[#This Row],[Service_Window]]="Lunch",1,0)</f>
        <v>0</v>
      </c>
    </row>
    <row r="1178" spans="1:7" x14ac:dyDescent="0.2">
      <c r="A1178">
        <v>45985</v>
      </c>
      <c r="B1178" t="s">
        <v>213</v>
      </c>
      <c r="C1178" t="s">
        <v>14</v>
      </c>
      <c r="D1178">
        <v>3</v>
      </c>
      <c r="E1178">
        <v>0</v>
      </c>
      <c r="F1178">
        <v>1</v>
      </c>
      <c r="G1178">
        <f>IF(Table3[[#This Row],[Service_Window]]="Lunch",1,0)</f>
        <v>0</v>
      </c>
    </row>
    <row r="1179" spans="1:7" x14ac:dyDescent="0.2">
      <c r="A1179">
        <v>45985</v>
      </c>
      <c r="B1179" t="s">
        <v>213</v>
      </c>
      <c r="C1179" t="s">
        <v>14</v>
      </c>
      <c r="D1179">
        <v>3</v>
      </c>
      <c r="E1179">
        <v>0</v>
      </c>
      <c r="F1179">
        <v>1</v>
      </c>
      <c r="G1179">
        <f>IF(Table3[[#This Row],[Service_Window]]="Lunch",1,0)</f>
        <v>0</v>
      </c>
    </row>
    <row r="1180" spans="1:7" x14ac:dyDescent="0.2">
      <c r="A1180">
        <v>45985</v>
      </c>
      <c r="B1180" t="s">
        <v>213</v>
      </c>
      <c r="C1180" t="s">
        <v>14</v>
      </c>
      <c r="D1180">
        <v>2</v>
      </c>
      <c r="E1180">
        <v>0</v>
      </c>
      <c r="F1180">
        <v>1</v>
      </c>
      <c r="G1180">
        <f>IF(Table3[[#This Row],[Service_Window]]="Lunch",1,0)</f>
        <v>0</v>
      </c>
    </row>
    <row r="1181" spans="1:7" x14ac:dyDescent="0.2">
      <c r="A1181">
        <v>45985</v>
      </c>
      <c r="B1181" t="s">
        <v>213</v>
      </c>
      <c r="C1181" t="s">
        <v>14</v>
      </c>
      <c r="D1181">
        <v>4</v>
      </c>
      <c r="E1181">
        <v>0</v>
      </c>
      <c r="F1181">
        <v>1</v>
      </c>
      <c r="G1181">
        <f>IF(Table3[[#This Row],[Service_Window]]="Lunch",1,0)</f>
        <v>0</v>
      </c>
    </row>
    <row r="1182" spans="1:7" x14ac:dyDescent="0.2">
      <c r="A1182">
        <v>45985</v>
      </c>
      <c r="B1182" t="s">
        <v>213</v>
      </c>
      <c r="C1182" t="s">
        <v>43</v>
      </c>
      <c r="D1182">
        <v>4</v>
      </c>
      <c r="E1182">
        <v>0</v>
      </c>
      <c r="F1182">
        <v>1</v>
      </c>
      <c r="G1182">
        <f>IF(Table3[[#This Row],[Service_Window]]="Lunch",1,0)</f>
        <v>1</v>
      </c>
    </row>
    <row r="1183" spans="1:7" x14ac:dyDescent="0.2">
      <c r="A1183">
        <v>45985</v>
      </c>
      <c r="B1183" t="s">
        <v>213</v>
      </c>
      <c r="C1183" t="s">
        <v>43</v>
      </c>
      <c r="D1183">
        <v>2</v>
      </c>
      <c r="E1183">
        <v>0</v>
      </c>
      <c r="F1183">
        <v>1</v>
      </c>
      <c r="G1183">
        <f>IF(Table3[[#This Row],[Service_Window]]="Lunch",1,0)</f>
        <v>1</v>
      </c>
    </row>
    <row r="1184" spans="1:7" x14ac:dyDescent="0.2">
      <c r="A1184">
        <v>45985</v>
      </c>
      <c r="B1184" t="s">
        <v>213</v>
      </c>
      <c r="C1184" t="s">
        <v>43</v>
      </c>
      <c r="D1184">
        <v>1</v>
      </c>
      <c r="E1184">
        <v>0</v>
      </c>
      <c r="F1184">
        <v>1</v>
      </c>
      <c r="G1184">
        <f>IF(Table3[[#This Row],[Service_Window]]="Lunch",1,0)</f>
        <v>1</v>
      </c>
    </row>
    <row r="1185" spans="1:7" x14ac:dyDescent="0.2">
      <c r="A1185">
        <v>45985</v>
      </c>
      <c r="B1185" t="s">
        <v>213</v>
      </c>
      <c r="C1185" t="s">
        <v>43</v>
      </c>
      <c r="D1185">
        <v>3</v>
      </c>
      <c r="E1185">
        <v>0</v>
      </c>
      <c r="F1185">
        <v>1</v>
      </c>
      <c r="G1185">
        <f>IF(Table3[[#This Row],[Service_Window]]="Lunch",1,0)</f>
        <v>1</v>
      </c>
    </row>
    <row r="1186" spans="1:7" x14ac:dyDescent="0.2">
      <c r="A1186">
        <v>45985</v>
      </c>
      <c r="B1186" t="s">
        <v>213</v>
      </c>
      <c r="C1186" t="s">
        <v>43</v>
      </c>
      <c r="D1186">
        <v>2</v>
      </c>
      <c r="E1186">
        <v>0</v>
      </c>
      <c r="F1186">
        <v>1</v>
      </c>
      <c r="G1186">
        <f>IF(Table3[[#This Row],[Service_Window]]="Lunch",1,0)</f>
        <v>1</v>
      </c>
    </row>
    <row r="1187" spans="1:7" x14ac:dyDescent="0.2">
      <c r="A1187">
        <v>45985</v>
      </c>
      <c r="B1187" t="s">
        <v>213</v>
      </c>
      <c r="C1187" t="s">
        <v>43</v>
      </c>
      <c r="D1187">
        <v>3</v>
      </c>
      <c r="E1187">
        <v>0</v>
      </c>
      <c r="F1187">
        <v>1</v>
      </c>
      <c r="G1187">
        <f>IF(Table3[[#This Row],[Service_Window]]="Lunch",1,0)</f>
        <v>1</v>
      </c>
    </row>
    <row r="1188" spans="1:7" x14ac:dyDescent="0.2">
      <c r="A1188">
        <v>45985</v>
      </c>
      <c r="B1188" t="s">
        <v>213</v>
      </c>
      <c r="C1188" t="s">
        <v>43</v>
      </c>
      <c r="D1188">
        <v>4</v>
      </c>
      <c r="E1188">
        <v>0</v>
      </c>
      <c r="F1188">
        <v>1</v>
      </c>
      <c r="G1188">
        <f>IF(Table3[[#This Row],[Service_Window]]="Lunch",1,0)</f>
        <v>1</v>
      </c>
    </row>
    <row r="1189" spans="1:7" x14ac:dyDescent="0.2">
      <c r="A1189">
        <v>45985</v>
      </c>
      <c r="B1189" t="s">
        <v>213</v>
      </c>
      <c r="C1189" t="s">
        <v>43</v>
      </c>
      <c r="D1189">
        <v>3</v>
      </c>
      <c r="E1189">
        <v>0</v>
      </c>
      <c r="F1189">
        <v>1</v>
      </c>
      <c r="G1189">
        <f>IF(Table3[[#This Row],[Service_Window]]="Lunch",1,0)</f>
        <v>1</v>
      </c>
    </row>
    <row r="1190" spans="1:7" x14ac:dyDescent="0.2">
      <c r="A1190">
        <v>45986</v>
      </c>
      <c r="B1190" t="s">
        <v>250</v>
      </c>
      <c r="C1190" t="s">
        <v>14</v>
      </c>
      <c r="D1190">
        <v>2</v>
      </c>
      <c r="E1190">
        <v>0</v>
      </c>
      <c r="F1190">
        <v>2</v>
      </c>
      <c r="G1190">
        <f>IF(Table3[[#This Row],[Service_Window]]="Lunch",1,0)</f>
        <v>0</v>
      </c>
    </row>
    <row r="1191" spans="1:7" x14ac:dyDescent="0.2">
      <c r="A1191">
        <v>45986</v>
      </c>
      <c r="B1191" t="s">
        <v>250</v>
      </c>
      <c r="C1191" t="s">
        <v>14</v>
      </c>
      <c r="D1191">
        <v>3</v>
      </c>
      <c r="E1191">
        <v>0</v>
      </c>
      <c r="F1191">
        <v>2</v>
      </c>
      <c r="G1191">
        <f>IF(Table3[[#This Row],[Service_Window]]="Lunch",1,0)</f>
        <v>0</v>
      </c>
    </row>
    <row r="1192" spans="1:7" x14ac:dyDescent="0.2">
      <c r="A1192">
        <v>45986</v>
      </c>
      <c r="B1192" t="s">
        <v>250</v>
      </c>
      <c r="C1192" t="s">
        <v>14</v>
      </c>
      <c r="D1192">
        <v>2</v>
      </c>
      <c r="E1192">
        <v>0</v>
      </c>
      <c r="F1192">
        <v>2</v>
      </c>
      <c r="G1192">
        <f>IF(Table3[[#This Row],[Service_Window]]="Lunch",1,0)</f>
        <v>0</v>
      </c>
    </row>
    <row r="1193" spans="1:7" x14ac:dyDescent="0.2">
      <c r="A1193">
        <v>45986</v>
      </c>
      <c r="B1193" t="s">
        <v>250</v>
      </c>
      <c r="C1193" t="s">
        <v>14</v>
      </c>
      <c r="D1193">
        <v>3</v>
      </c>
      <c r="E1193">
        <v>0</v>
      </c>
      <c r="F1193">
        <v>2</v>
      </c>
      <c r="G1193">
        <f>IF(Table3[[#This Row],[Service_Window]]="Lunch",1,0)</f>
        <v>0</v>
      </c>
    </row>
    <row r="1194" spans="1:7" x14ac:dyDescent="0.2">
      <c r="A1194">
        <v>45986</v>
      </c>
      <c r="B1194" t="s">
        <v>250</v>
      </c>
      <c r="C1194" t="s">
        <v>14</v>
      </c>
      <c r="D1194">
        <v>3</v>
      </c>
      <c r="E1194">
        <v>0</v>
      </c>
      <c r="F1194">
        <v>2</v>
      </c>
      <c r="G1194">
        <f>IF(Table3[[#This Row],[Service_Window]]="Lunch",1,0)</f>
        <v>0</v>
      </c>
    </row>
    <row r="1195" spans="1:7" x14ac:dyDescent="0.2">
      <c r="A1195">
        <v>45986</v>
      </c>
      <c r="B1195" t="s">
        <v>250</v>
      </c>
      <c r="C1195" t="s">
        <v>14</v>
      </c>
      <c r="D1195">
        <v>2</v>
      </c>
      <c r="E1195">
        <v>0</v>
      </c>
      <c r="F1195">
        <v>2</v>
      </c>
      <c r="G1195">
        <f>IF(Table3[[#This Row],[Service_Window]]="Lunch",1,0)</f>
        <v>0</v>
      </c>
    </row>
    <row r="1196" spans="1:7" x14ac:dyDescent="0.2">
      <c r="A1196">
        <v>45986</v>
      </c>
      <c r="B1196" t="s">
        <v>250</v>
      </c>
      <c r="C1196" t="s">
        <v>14</v>
      </c>
      <c r="D1196">
        <v>3</v>
      </c>
      <c r="E1196">
        <v>0</v>
      </c>
      <c r="F1196">
        <v>2</v>
      </c>
      <c r="G1196">
        <f>IF(Table3[[#This Row],[Service_Window]]="Lunch",1,0)</f>
        <v>0</v>
      </c>
    </row>
    <row r="1197" spans="1:7" x14ac:dyDescent="0.2">
      <c r="A1197">
        <v>45986</v>
      </c>
      <c r="B1197" t="s">
        <v>250</v>
      </c>
      <c r="C1197" t="s">
        <v>14</v>
      </c>
      <c r="D1197">
        <v>3</v>
      </c>
      <c r="E1197">
        <v>0</v>
      </c>
      <c r="F1197">
        <v>2</v>
      </c>
      <c r="G1197">
        <f>IF(Table3[[#This Row],[Service_Window]]="Lunch",1,0)</f>
        <v>0</v>
      </c>
    </row>
    <row r="1198" spans="1:7" x14ac:dyDescent="0.2">
      <c r="A1198">
        <v>45986</v>
      </c>
      <c r="B1198" t="s">
        <v>250</v>
      </c>
      <c r="C1198" t="s">
        <v>14</v>
      </c>
      <c r="D1198">
        <v>2</v>
      </c>
      <c r="E1198">
        <v>0</v>
      </c>
      <c r="F1198">
        <v>2</v>
      </c>
      <c r="G1198">
        <f>IF(Table3[[#This Row],[Service_Window]]="Lunch",1,0)</f>
        <v>0</v>
      </c>
    </row>
    <row r="1199" spans="1:7" x14ac:dyDescent="0.2">
      <c r="A1199">
        <v>45986</v>
      </c>
      <c r="B1199" t="s">
        <v>250</v>
      </c>
      <c r="C1199" t="s">
        <v>14</v>
      </c>
      <c r="D1199">
        <v>5</v>
      </c>
      <c r="E1199">
        <v>0</v>
      </c>
      <c r="F1199">
        <v>2</v>
      </c>
      <c r="G1199">
        <f>IF(Table3[[#This Row],[Service_Window]]="Lunch",1,0)</f>
        <v>0</v>
      </c>
    </row>
    <row r="1200" spans="1:7" x14ac:dyDescent="0.2">
      <c r="A1200">
        <v>45986</v>
      </c>
      <c r="B1200" t="s">
        <v>250</v>
      </c>
      <c r="C1200" t="s">
        <v>14</v>
      </c>
      <c r="D1200">
        <v>2</v>
      </c>
      <c r="E1200">
        <v>0</v>
      </c>
      <c r="F1200">
        <v>2</v>
      </c>
      <c r="G1200">
        <f>IF(Table3[[#This Row],[Service_Window]]="Lunch",1,0)</f>
        <v>0</v>
      </c>
    </row>
    <row r="1201" spans="1:7" x14ac:dyDescent="0.2">
      <c r="A1201">
        <v>45986</v>
      </c>
      <c r="B1201" t="s">
        <v>250</v>
      </c>
      <c r="C1201" t="s">
        <v>14</v>
      </c>
      <c r="D1201">
        <v>5</v>
      </c>
      <c r="E1201">
        <v>0</v>
      </c>
      <c r="F1201">
        <v>2</v>
      </c>
      <c r="G1201">
        <f>IF(Table3[[#This Row],[Service_Window]]="Lunch",1,0)</f>
        <v>0</v>
      </c>
    </row>
    <row r="1202" spans="1:7" x14ac:dyDescent="0.2">
      <c r="A1202">
        <v>45986</v>
      </c>
      <c r="B1202" t="s">
        <v>250</v>
      </c>
      <c r="C1202" t="s">
        <v>14</v>
      </c>
      <c r="D1202">
        <v>2</v>
      </c>
      <c r="E1202">
        <v>0</v>
      </c>
      <c r="F1202">
        <v>2</v>
      </c>
      <c r="G1202">
        <f>IF(Table3[[#This Row],[Service_Window]]="Lunch",1,0)</f>
        <v>0</v>
      </c>
    </row>
    <row r="1203" spans="1:7" x14ac:dyDescent="0.2">
      <c r="A1203">
        <v>45986</v>
      </c>
      <c r="B1203" t="s">
        <v>250</v>
      </c>
      <c r="C1203" t="s">
        <v>43</v>
      </c>
      <c r="D1203">
        <v>3</v>
      </c>
      <c r="E1203">
        <v>0</v>
      </c>
      <c r="F1203">
        <v>2</v>
      </c>
      <c r="G1203">
        <f>IF(Table3[[#This Row],[Service_Window]]="Lunch",1,0)</f>
        <v>1</v>
      </c>
    </row>
    <row r="1204" spans="1:7" x14ac:dyDescent="0.2">
      <c r="A1204">
        <v>45986</v>
      </c>
      <c r="B1204" t="s">
        <v>250</v>
      </c>
      <c r="C1204" t="s">
        <v>43</v>
      </c>
      <c r="D1204">
        <v>3</v>
      </c>
      <c r="E1204">
        <v>0</v>
      </c>
      <c r="F1204">
        <v>2</v>
      </c>
      <c r="G1204">
        <f>IF(Table3[[#This Row],[Service_Window]]="Lunch",1,0)</f>
        <v>1</v>
      </c>
    </row>
    <row r="1205" spans="1:7" x14ac:dyDescent="0.2">
      <c r="A1205">
        <v>45986</v>
      </c>
      <c r="B1205" t="s">
        <v>250</v>
      </c>
      <c r="C1205" t="s">
        <v>43</v>
      </c>
      <c r="D1205">
        <v>5</v>
      </c>
      <c r="E1205">
        <v>0</v>
      </c>
      <c r="F1205">
        <v>2</v>
      </c>
      <c r="G1205">
        <f>IF(Table3[[#This Row],[Service_Window]]="Lunch",1,0)</f>
        <v>1</v>
      </c>
    </row>
    <row r="1206" spans="1:7" x14ac:dyDescent="0.2">
      <c r="A1206">
        <v>45986</v>
      </c>
      <c r="B1206" t="s">
        <v>250</v>
      </c>
      <c r="C1206" t="s">
        <v>43</v>
      </c>
      <c r="D1206">
        <v>2</v>
      </c>
      <c r="E1206">
        <v>0</v>
      </c>
      <c r="F1206">
        <v>2</v>
      </c>
      <c r="G1206">
        <f>IF(Table3[[#This Row],[Service_Window]]="Lunch",1,0)</f>
        <v>1</v>
      </c>
    </row>
    <row r="1207" spans="1:7" x14ac:dyDescent="0.2">
      <c r="A1207">
        <v>45986</v>
      </c>
      <c r="B1207" t="s">
        <v>250</v>
      </c>
      <c r="C1207" t="s">
        <v>43</v>
      </c>
      <c r="D1207">
        <v>1</v>
      </c>
      <c r="E1207">
        <v>0</v>
      </c>
      <c r="F1207">
        <v>2</v>
      </c>
      <c r="G1207">
        <f>IF(Table3[[#This Row],[Service_Window]]="Lunch",1,0)</f>
        <v>1</v>
      </c>
    </row>
    <row r="1208" spans="1:7" x14ac:dyDescent="0.2">
      <c r="A1208">
        <v>45986</v>
      </c>
      <c r="B1208" t="s">
        <v>250</v>
      </c>
      <c r="C1208" t="s">
        <v>43</v>
      </c>
      <c r="D1208">
        <v>2</v>
      </c>
      <c r="E1208">
        <v>0</v>
      </c>
      <c r="F1208">
        <v>2</v>
      </c>
      <c r="G1208">
        <f>IF(Table3[[#This Row],[Service_Window]]="Lunch",1,0)</f>
        <v>1</v>
      </c>
    </row>
    <row r="1209" spans="1:7" x14ac:dyDescent="0.2">
      <c r="A1209">
        <v>45986</v>
      </c>
      <c r="B1209" t="s">
        <v>250</v>
      </c>
      <c r="C1209" t="s">
        <v>43</v>
      </c>
      <c r="D1209">
        <v>2</v>
      </c>
      <c r="E1209">
        <v>0</v>
      </c>
      <c r="F1209">
        <v>2</v>
      </c>
      <c r="G1209">
        <f>IF(Table3[[#This Row],[Service_Window]]="Lunch",1,0)</f>
        <v>1</v>
      </c>
    </row>
    <row r="1210" spans="1:7" x14ac:dyDescent="0.2">
      <c r="A1210">
        <v>45986</v>
      </c>
      <c r="B1210" t="s">
        <v>250</v>
      </c>
      <c r="C1210" t="s">
        <v>43</v>
      </c>
      <c r="D1210">
        <v>3</v>
      </c>
      <c r="E1210">
        <v>0</v>
      </c>
      <c r="F1210">
        <v>2</v>
      </c>
      <c r="G1210">
        <f>IF(Table3[[#This Row],[Service_Window]]="Lunch",1,0)</f>
        <v>1</v>
      </c>
    </row>
    <row r="1211" spans="1:7" x14ac:dyDescent="0.2">
      <c r="A1211">
        <v>45986</v>
      </c>
      <c r="B1211" t="s">
        <v>250</v>
      </c>
      <c r="C1211" t="s">
        <v>43</v>
      </c>
      <c r="D1211">
        <v>3</v>
      </c>
      <c r="E1211">
        <v>0</v>
      </c>
      <c r="F1211">
        <v>2</v>
      </c>
      <c r="G1211">
        <f>IF(Table3[[#This Row],[Service_Window]]="Lunch",1,0)</f>
        <v>1</v>
      </c>
    </row>
    <row r="1212" spans="1:7" x14ac:dyDescent="0.2">
      <c r="A1212">
        <v>45987</v>
      </c>
      <c r="B1212" t="s">
        <v>13</v>
      </c>
      <c r="C1212" t="s">
        <v>14</v>
      </c>
      <c r="D1212">
        <v>1</v>
      </c>
      <c r="E1212">
        <v>0</v>
      </c>
      <c r="F1212">
        <v>3</v>
      </c>
      <c r="G1212">
        <f>IF(Table3[[#This Row],[Service_Window]]="Lunch",1,0)</f>
        <v>0</v>
      </c>
    </row>
    <row r="1213" spans="1:7" x14ac:dyDescent="0.2">
      <c r="A1213">
        <v>45987</v>
      </c>
      <c r="B1213" t="s">
        <v>13</v>
      </c>
      <c r="C1213" t="s">
        <v>14</v>
      </c>
      <c r="D1213">
        <v>2</v>
      </c>
      <c r="E1213">
        <v>0</v>
      </c>
      <c r="F1213">
        <v>3</v>
      </c>
      <c r="G1213">
        <f>IF(Table3[[#This Row],[Service_Window]]="Lunch",1,0)</f>
        <v>0</v>
      </c>
    </row>
    <row r="1214" spans="1:7" x14ac:dyDescent="0.2">
      <c r="A1214">
        <v>45987</v>
      </c>
      <c r="B1214" t="s">
        <v>13</v>
      </c>
      <c r="C1214" t="s">
        <v>14</v>
      </c>
      <c r="D1214">
        <v>1</v>
      </c>
      <c r="E1214">
        <v>0</v>
      </c>
      <c r="F1214">
        <v>3</v>
      </c>
      <c r="G1214">
        <f>IF(Table3[[#This Row],[Service_Window]]="Lunch",1,0)</f>
        <v>0</v>
      </c>
    </row>
    <row r="1215" spans="1:7" x14ac:dyDescent="0.2">
      <c r="A1215">
        <v>45987</v>
      </c>
      <c r="B1215" t="s">
        <v>13</v>
      </c>
      <c r="C1215" t="s">
        <v>14</v>
      </c>
      <c r="D1215">
        <v>2</v>
      </c>
      <c r="E1215">
        <v>0</v>
      </c>
      <c r="F1215">
        <v>3</v>
      </c>
      <c r="G1215">
        <f>IF(Table3[[#This Row],[Service_Window]]="Lunch",1,0)</f>
        <v>0</v>
      </c>
    </row>
    <row r="1216" spans="1:7" x14ac:dyDescent="0.2">
      <c r="A1216">
        <v>45987</v>
      </c>
      <c r="B1216" t="s">
        <v>13</v>
      </c>
      <c r="C1216" t="s">
        <v>14</v>
      </c>
      <c r="D1216">
        <v>4</v>
      </c>
      <c r="E1216">
        <v>0</v>
      </c>
      <c r="F1216">
        <v>3</v>
      </c>
      <c r="G1216">
        <f>IF(Table3[[#This Row],[Service_Window]]="Lunch",1,0)</f>
        <v>0</v>
      </c>
    </row>
    <row r="1217" spans="1:7" x14ac:dyDescent="0.2">
      <c r="A1217">
        <v>45987</v>
      </c>
      <c r="B1217" t="s">
        <v>13</v>
      </c>
      <c r="C1217" t="s">
        <v>14</v>
      </c>
      <c r="D1217">
        <v>1</v>
      </c>
      <c r="E1217">
        <v>0</v>
      </c>
      <c r="F1217">
        <v>3</v>
      </c>
      <c r="G1217">
        <f>IF(Table3[[#This Row],[Service_Window]]="Lunch",1,0)</f>
        <v>0</v>
      </c>
    </row>
    <row r="1218" spans="1:7" x14ac:dyDescent="0.2">
      <c r="A1218">
        <v>45987</v>
      </c>
      <c r="B1218" t="s">
        <v>13</v>
      </c>
      <c r="C1218" t="s">
        <v>14</v>
      </c>
      <c r="D1218">
        <v>6</v>
      </c>
      <c r="E1218">
        <v>0</v>
      </c>
      <c r="F1218">
        <v>3</v>
      </c>
      <c r="G1218">
        <f>IF(Table3[[#This Row],[Service_Window]]="Lunch",1,0)</f>
        <v>0</v>
      </c>
    </row>
    <row r="1219" spans="1:7" x14ac:dyDescent="0.2">
      <c r="A1219">
        <v>45987</v>
      </c>
      <c r="B1219" t="s">
        <v>13</v>
      </c>
      <c r="C1219" t="s">
        <v>14</v>
      </c>
      <c r="D1219">
        <v>3</v>
      </c>
      <c r="E1219">
        <v>0</v>
      </c>
      <c r="F1219">
        <v>3</v>
      </c>
      <c r="G1219">
        <f>IF(Table3[[#This Row],[Service_Window]]="Lunch",1,0)</f>
        <v>0</v>
      </c>
    </row>
    <row r="1220" spans="1:7" x14ac:dyDescent="0.2">
      <c r="A1220">
        <v>45987</v>
      </c>
      <c r="B1220" t="s">
        <v>13</v>
      </c>
      <c r="C1220" t="s">
        <v>14</v>
      </c>
      <c r="D1220">
        <v>3</v>
      </c>
      <c r="E1220">
        <v>0</v>
      </c>
      <c r="F1220">
        <v>3</v>
      </c>
      <c r="G1220">
        <f>IF(Table3[[#This Row],[Service_Window]]="Lunch",1,0)</f>
        <v>0</v>
      </c>
    </row>
    <row r="1221" spans="1:7" x14ac:dyDescent="0.2">
      <c r="A1221">
        <v>45987</v>
      </c>
      <c r="B1221" t="s">
        <v>13</v>
      </c>
      <c r="C1221" t="s">
        <v>14</v>
      </c>
      <c r="D1221">
        <v>2</v>
      </c>
      <c r="E1221">
        <v>0</v>
      </c>
      <c r="F1221">
        <v>3</v>
      </c>
      <c r="G1221">
        <f>IF(Table3[[#This Row],[Service_Window]]="Lunch",1,0)</f>
        <v>0</v>
      </c>
    </row>
    <row r="1222" spans="1:7" x14ac:dyDescent="0.2">
      <c r="A1222">
        <v>45987</v>
      </c>
      <c r="B1222" t="s">
        <v>13</v>
      </c>
      <c r="C1222" t="s">
        <v>14</v>
      </c>
      <c r="D1222">
        <v>2</v>
      </c>
      <c r="E1222">
        <v>0</v>
      </c>
      <c r="F1222">
        <v>3</v>
      </c>
      <c r="G1222">
        <f>IF(Table3[[#This Row],[Service_Window]]="Lunch",1,0)</f>
        <v>0</v>
      </c>
    </row>
    <row r="1223" spans="1:7" x14ac:dyDescent="0.2">
      <c r="A1223">
        <v>45987</v>
      </c>
      <c r="B1223" t="s">
        <v>13</v>
      </c>
      <c r="C1223" t="s">
        <v>14</v>
      </c>
      <c r="D1223">
        <v>4</v>
      </c>
      <c r="E1223">
        <v>0</v>
      </c>
      <c r="F1223">
        <v>3</v>
      </c>
      <c r="G1223">
        <f>IF(Table3[[#This Row],[Service_Window]]="Lunch",1,0)</f>
        <v>0</v>
      </c>
    </row>
    <row r="1224" spans="1:7" x14ac:dyDescent="0.2">
      <c r="A1224">
        <v>45987</v>
      </c>
      <c r="B1224" t="s">
        <v>13</v>
      </c>
      <c r="C1224" t="s">
        <v>43</v>
      </c>
      <c r="D1224">
        <v>3</v>
      </c>
      <c r="E1224">
        <v>1</v>
      </c>
      <c r="F1224">
        <v>3</v>
      </c>
      <c r="G1224">
        <f>IF(Table3[[#This Row],[Service_Window]]="Lunch",1,0)</f>
        <v>1</v>
      </c>
    </row>
    <row r="1225" spans="1:7" x14ac:dyDescent="0.2">
      <c r="A1225">
        <v>45987</v>
      </c>
      <c r="B1225" t="s">
        <v>13</v>
      </c>
      <c r="C1225" t="s">
        <v>43</v>
      </c>
      <c r="D1225">
        <v>2</v>
      </c>
      <c r="E1225">
        <v>0</v>
      </c>
      <c r="F1225">
        <v>3</v>
      </c>
      <c r="G1225">
        <f>IF(Table3[[#This Row],[Service_Window]]="Lunch",1,0)</f>
        <v>1</v>
      </c>
    </row>
    <row r="1226" spans="1:7" x14ac:dyDescent="0.2">
      <c r="A1226">
        <v>45987</v>
      </c>
      <c r="B1226" t="s">
        <v>13</v>
      </c>
      <c r="C1226" t="s">
        <v>43</v>
      </c>
      <c r="D1226">
        <v>2</v>
      </c>
      <c r="E1226">
        <v>1</v>
      </c>
      <c r="F1226">
        <v>3</v>
      </c>
      <c r="G1226">
        <f>IF(Table3[[#This Row],[Service_Window]]="Lunch",1,0)</f>
        <v>1</v>
      </c>
    </row>
    <row r="1227" spans="1:7" x14ac:dyDescent="0.2">
      <c r="A1227">
        <v>45987</v>
      </c>
      <c r="B1227" t="s">
        <v>13</v>
      </c>
      <c r="C1227" t="s">
        <v>43</v>
      </c>
      <c r="D1227">
        <v>3</v>
      </c>
      <c r="E1227">
        <v>1</v>
      </c>
      <c r="F1227">
        <v>3</v>
      </c>
      <c r="G1227">
        <f>IF(Table3[[#This Row],[Service_Window]]="Lunch",1,0)</f>
        <v>1</v>
      </c>
    </row>
    <row r="1228" spans="1:7" x14ac:dyDescent="0.2">
      <c r="A1228">
        <v>45987</v>
      </c>
      <c r="B1228" t="s">
        <v>13</v>
      </c>
      <c r="C1228" t="s">
        <v>43</v>
      </c>
      <c r="D1228">
        <v>6</v>
      </c>
      <c r="E1228">
        <v>1</v>
      </c>
      <c r="F1228">
        <v>3</v>
      </c>
      <c r="G1228">
        <f>IF(Table3[[#This Row],[Service_Window]]="Lunch",1,0)</f>
        <v>1</v>
      </c>
    </row>
    <row r="1229" spans="1:7" x14ac:dyDescent="0.2">
      <c r="A1229">
        <v>45987</v>
      </c>
      <c r="B1229" t="s">
        <v>13</v>
      </c>
      <c r="C1229" t="s">
        <v>43</v>
      </c>
      <c r="D1229">
        <v>6</v>
      </c>
      <c r="E1229">
        <v>0</v>
      </c>
      <c r="F1229">
        <v>3</v>
      </c>
      <c r="G1229">
        <f>IF(Table3[[#This Row],[Service_Window]]="Lunch",1,0)</f>
        <v>1</v>
      </c>
    </row>
    <row r="1230" spans="1:7" x14ac:dyDescent="0.2">
      <c r="A1230">
        <v>45987</v>
      </c>
      <c r="B1230" t="s">
        <v>13</v>
      </c>
      <c r="C1230" t="s">
        <v>43</v>
      </c>
      <c r="D1230">
        <v>4</v>
      </c>
      <c r="E1230">
        <v>1</v>
      </c>
      <c r="F1230">
        <v>3</v>
      </c>
      <c r="G1230">
        <f>IF(Table3[[#This Row],[Service_Window]]="Lunch",1,0)</f>
        <v>1</v>
      </c>
    </row>
    <row r="1231" spans="1:7" x14ac:dyDescent="0.2">
      <c r="A1231">
        <v>45987</v>
      </c>
      <c r="B1231" t="s">
        <v>13</v>
      </c>
      <c r="C1231" t="s">
        <v>43</v>
      </c>
      <c r="D1231">
        <v>1</v>
      </c>
      <c r="E1231">
        <v>1</v>
      </c>
      <c r="F1231">
        <v>3</v>
      </c>
      <c r="G1231">
        <f>IF(Table3[[#This Row],[Service_Window]]="Lunch",1,0)</f>
        <v>1</v>
      </c>
    </row>
    <row r="1232" spans="1:7" x14ac:dyDescent="0.2">
      <c r="A1232">
        <v>45987</v>
      </c>
      <c r="B1232" t="s">
        <v>13</v>
      </c>
      <c r="C1232" t="s">
        <v>43</v>
      </c>
      <c r="D1232">
        <v>3</v>
      </c>
      <c r="E1232">
        <v>1</v>
      </c>
      <c r="F1232">
        <v>3</v>
      </c>
      <c r="G1232">
        <f>IF(Table3[[#This Row],[Service_Window]]="Lunch",1,0)</f>
        <v>1</v>
      </c>
    </row>
    <row r="1233" spans="1:7" x14ac:dyDescent="0.2">
      <c r="A1233">
        <v>45987</v>
      </c>
      <c r="B1233" t="s">
        <v>13</v>
      </c>
      <c r="C1233" t="s">
        <v>43</v>
      </c>
      <c r="D1233">
        <v>4</v>
      </c>
      <c r="E1233">
        <v>1</v>
      </c>
      <c r="F1233">
        <v>3</v>
      </c>
      <c r="G1233">
        <f>IF(Table3[[#This Row],[Service_Window]]="Lunch",1,0)</f>
        <v>1</v>
      </c>
    </row>
    <row r="1234" spans="1:7" x14ac:dyDescent="0.2">
      <c r="A1234">
        <v>45987</v>
      </c>
      <c r="B1234" t="s">
        <v>13</v>
      </c>
      <c r="C1234" t="s">
        <v>43</v>
      </c>
      <c r="D1234">
        <v>2</v>
      </c>
      <c r="E1234">
        <v>1</v>
      </c>
      <c r="F1234">
        <v>3</v>
      </c>
      <c r="G1234">
        <f>IF(Table3[[#This Row],[Service_Window]]="Lunch",1,0)</f>
        <v>1</v>
      </c>
    </row>
    <row r="1235" spans="1:7" x14ac:dyDescent="0.2">
      <c r="A1235">
        <v>45987</v>
      </c>
      <c r="B1235" t="s">
        <v>13</v>
      </c>
      <c r="C1235" t="s">
        <v>43</v>
      </c>
      <c r="D1235">
        <v>3</v>
      </c>
      <c r="E1235">
        <v>1</v>
      </c>
      <c r="F1235">
        <v>3</v>
      </c>
      <c r="G1235">
        <f>IF(Table3[[#This Row],[Service_Window]]="Lunch",1,0)</f>
        <v>1</v>
      </c>
    </row>
    <row r="1236" spans="1:7" x14ac:dyDescent="0.2">
      <c r="A1236">
        <v>45987</v>
      </c>
      <c r="B1236" t="s">
        <v>13</v>
      </c>
      <c r="C1236" t="s">
        <v>43</v>
      </c>
      <c r="D1236">
        <v>1</v>
      </c>
      <c r="E1236">
        <v>1</v>
      </c>
      <c r="F1236">
        <v>3</v>
      </c>
      <c r="G1236">
        <f>IF(Table3[[#This Row],[Service_Window]]="Lunch",1,0)</f>
        <v>1</v>
      </c>
    </row>
    <row r="1237" spans="1:7" x14ac:dyDescent="0.2">
      <c r="A1237">
        <v>45988</v>
      </c>
      <c r="B1237" t="s">
        <v>62</v>
      </c>
      <c r="C1237" t="s">
        <v>14</v>
      </c>
      <c r="D1237">
        <v>4</v>
      </c>
      <c r="E1237">
        <v>0</v>
      </c>
      <c r="F1237">
        <v>4</v>
      </c>
      <c r="G1237">
        <f>IF(Table3[[#This Row],[Service_Window]]="Lunch",1,0)</f>
        <v>0</v>
      </c>
    </row>
    <row r="1238" spans="1:7" x14ac:dyDescent="0.2">
      <c r="A1238">
        <v>45988</v>
      </c>
      <c r="B1238" t="s">
        <v>62</v>
      </c>
      <c r="C1238" t="s">
        <v>14</v>
      </c>
      <c r="D1238">
        <v>2</v>
      </c>
      <c r="E1238">
        <v>0</v>
      </c>
      <c r="F1238">
        <v>4</v>
      </c>
      <c r="G1238">
        <f>IF(Table3[[#This Row],[Service_Window]]="Lunch",1,0)</f>
        <v>0</v>
      </c>
    </row>
    <row r="1239" spans="1:7" x14ac:dyDescent="0.2">
      <c r="A1239">
        <v>45988</v>
      </c>
      <c r="B1239" t="s">
        <v>62</v>
      </c>
      <c r="C1239" t="s">
        <v>14</v>
      </c>
      <c r="D1239">
        <v>4</v>
      </c>
      <c r="E1239">
        <v>0</v>
      </c>
      <c r="F1239">
        <v>4</v>
      </c>
      <c r="G1239">
        <f>IF(Table3[[#This Row],[Service_Window]]="Lunch",1,0)</f>
        <v>0</v>
      </c>
    </row>
    <row r="1240" spans="1:7" x14ac:dyDescent="0.2">
      <c r="A1240">
        <v>45988</v>
      </c>
      <c r="B1240" t="s">
        <v>62</v>
      </c>
      <c r="C1240" t="s">
        <v>14</v>
      </c>
      <c r="D1240">
        <v>2</v>
      </c>
      <c r="E1240">
        <v>0</v>
      </c>
      <c r="F1240">
        <v>4</v>
      </c>
      <c r="G1240">
        <f>IF(Table3[[#This Row],[Service_Window]]="Lunch",1,0)</f>
        <v>0</v>
      </c>
    </row>
    <row r="1241" spans="1:7" x14ac:dyDescent="0.2">
      <c r="A1241">
        <v>45988</v>
      </c>
      <c r="B1241" t="s">
        <v>62</v>
      </c>
      <c r="C1241" t="s">
        <v>14</v>
      </c>
      <c r="D1241">
        <v>2</v>
      </c>
      <c r="E1241">
        <v>0</v>
      </c>
      <c r="F1241">
        <v>4</v>
      </c>
      <c r="G1241">
        <f>IF(Table3[[#This Row],[Service_Window]]="Lunch",1,0)</f>
        <v>0</v>
      </c>
    </row>
    <row r="1242" spans="1:7" x14ac:dyDescent="0.2">
      <c r="A1242">
        <v>45988</v>
      </c>
      <c r="B1242" t="s">
        <v>62</v>
      </c>
      <c r="C1242" t="s">
        <v>14</v>
      </c>
      <c r="D1242">
        <v>3</v>
      </c>
      <c r="E1242">
        <v>0</v>
      </c>
      <c r="F1242">
        <v>4</v>
      </c>
      <c r="G1242">
        <f>IF(Table3[[#This Row],[Service_Window]]="Lunch",1,0)</f>
        <v>0</v>
      </c>
    </row>
    <row r="1243" spans="1:7" x14ac:dyDescent="0.2">
      <c r="A1243">
        <v>45988</v>
      </c>
      <c r="B1243" t="s">
        <v>62</v>
      </c>
      <c r="C1243" t="s">
        <v>14</v>
      </c>
      <c r="D1243">
        <v>2</v>
      </c>
      <c r="E1243">
        <v>0</v>
      </c>
      <c r="F1243">
        <v>4</v>
      </c>
      <c r="G1243">
        <f>IF(Table3[[#This Row],[Service_Window]]="Lunch",1,0)</f>
        <v>0</v>
      </c>
    </row>
    <row r="1244" spans="1:7" x14ac:dyDescent="0.2">
      <c r="A1244">
        <v>45988</v>
      </c>
      <c r="B1244" t="s">
        <v>62</v>
      </c>
      <c r="C1244" t="s">
        <v>14</v>
      </c>
      <c r="D1244">
        <v>3</v>
      </c>
      <c r="E1244">
        <v>0</v>
      </c>
      <c r="F1244">
        <v>4</v>
      </c>
      <c r="G1244">
        <f>IF(Table3[[#This Row],[Service_Window]]="Lunch",1,0)</f>
        <v>0</v>
      </c>
    </row>
    <row r="1245" spans="1:7" x14ac:dyDescent="0.2">
      <c r="A1245">
        <v>45988</v>
      </c>
      <c r="B1245" t="s">
        <v>62</v>
      </c>
      <c r="C1245" t="s">
        <v>14</v>
      </c>
      <c r="D1245">
        <v>3</v>
      </c>
      <c r="E1245">
        <v>0</v>
      </c>
      <c r="F1245">
        <v>4</v>
      </c>
      <c r="G1245">
        <f>IF(Table3[[#This Row],[Service_Window]]="Lunch",1,0)</f>
        <v>0</v>
      </c>
    </row>
    <row r="1246" spans="1:7" x14ac:dyDescent="0.2">
      <c r="A1246">
        <v>45988</v>
      </c>
      <c r="B1246" t="s">
        <v>62</v>
      </c>
      <c r="C1246" t="s">
        <v>14</v>
      </c>
      <c r="D1246">
        <v>2</v>
      </c>
      <c r="E1246">
        <v>0</v>
      </c>
      <c r="F1246">
        <v>4</v>
      </c>
      <c r="G1246">
        <f>IF(Table3[[#This Row],[Service_Window]]="Lunch",1,0)</f>
        <v>0</v>
      </c>
    </row>
    <row r="1247" spans="1:7" x14ac:dyDescent="0.2">
      <c r="A1247">
        <v>45988</v>
      </c>
      <c r="B1247" t="s">
        <v>62</v>
      </c>
      <c r="C1247" t="s">
        <v>14</v>
      </c>
      <c r="D1247">
        <v>1</v>
      </c>
      <c r="E1247">
        <v>0</v>
      </c>
      <c r="F1247">
        <v>4</v>
      </c>
      <c r="G1247">
        <f>IF(Table3[[#This Row],[Service_Window]]="Lunch",1,0)</f>
        <v>0</v>
      </c>
    </row>
    <row r="1248" spans="1:7" x14ac:dyDescent="0.2">
      <c r="A1248">
        <v>45988</v>
      </c>
      <c r="B1248" t="s">
        <v>62</v>
      </c>
      <c r="C1248" t="s">
        <v>43</v>
      </c>
      <c r="D1248">
        <v>2</v>
      </c>
      <c r="E1248">
        <v>0</v>
      </c>
      <c r="F1248">
        <v>4</v>
      </c>
      <c r="G1248">
        <f>IF(Table3[[#This Row],[Service_Window]]="Lunch",1,0)</f>
        <v>1</v>
      </c>
    </row>
    <row r="1249" spans="1:7" x14ac:dyDescent="0.2">
      <c r="A1249">
        <v>45988</v>
      </c>
      <c r="B1249" t="s">
        <v>62</v>
      </c>
      <c r="C1249" t="s">
        <v>43</v>
      </c>
      <c r="D1249">
        <v>1</v>
      </c>
      <c r="E1249">
        <v>1</v>
      </c>
      <c r="F1249">
        <v>4</v>
      </c>
      <c r="G1249">
        <f>IF(Table3[[#This Row],[Service_Window]]="Lunch",1,0)</f>
        <v>1</v>
      </c>
    </row>
    <row r="1250" spans="1:7" x14ac:dyDescent="0.2">
      <c r="A1250">
        <v>45988</v>
      </c>
      <c r="B1250" t="s">
        <v>62</v>
      </c>
      <c r="C1250" t="s">
        <v>43</v>
      </c>
      <c r="D1250">
        <v>3</v>
      </c>
      <c r="E1250">
        <v>0</v>
      </c>
      <c r="F1250">
        <v>4</v>
      </c>
      <c r="G1250">
        <f>IF(Table3[[#This Row],[Service_Window]]="Lunch",1,0)</f>
        <v>1</v>
      </c>
    </row>
    <row r="1251" spans="1:7" x14ac:dyDescent="0.2">
      <c r="A1251">
        <v>45988</v>
      </c>
      <c r="B1251" t="s">
        <v>62</v>
      </c>
      <c r="C1251" t="s">
        <v>43</v>
      </c>
      <c r="D1251">
        <v>5</v>
      </c>
      <c r="E1251">
        <v>1</v>
      </c>
      <c r="F1251">
        <v>4</v>
      </c>
      <c r="G1251">
        <f>IF(Table3[[#This Row],[Service_Window]]="Lunch",1,0)</f>
        <v>1</v>
      </c>
    </row>
    <row r="1252" spans="1:7" x14ac:dyDescent="0.2">
      <c r="A1252">
        <v>45988</v>
      </c>
      <c r="B1252" t="s">
        <v>62</v>
      </c>
      <c r="C1252" t="s">
        <v>43</v>
      </c>
      <c r="D1252">
        <v>5</v>
      </c>
      <c r="E1252">
        <v>0</v>
      </c>
      <c r="F1252">
        <v>4</v>
      </c>
      <c r="G1252">
        <f>IF(Table3[[#This Row],[Service_Window]]="Lunch",1,0)</f>
        <v>1</v>
      </c>
    </row>
    <row r="1253" spans="1:7" x14ac:dyDescent="0.2">
      <c r="A1253">
        <v>45988</v>
      </c>
      <c r="B1253" t="s">
        <v>62</v>
      </c>
      <c r="C1253" t="s">
        <v>43</v>
      </c>
      <c r="D1253">
        <v>3</v>
      </c>
      <c r="E1253">
        <v>0</v>
      </c>
      <c r="F1253">
        <v>4</v>
      </c>
      <c r="G1253">
        <f>IF(Table3[[#This Row],[Service_Window]]="Lunch",1,0)</f>
        <v>1</v>
      </c>
    </row>
    <row r="1254" spans="1:7" x14ac:dyDescent="0.2">
      <c r="A1254">
        <v>45988</v>
      </c>
      <c r="B1254" t="s">
        <v>62</v>
      </c>
      <c r="C1254" t="s">
        <v>43</v>
      </c>
      <c r="D1254">
        <v>3</v>
      </c>
      <c r="E1254">
        <v>0</v>
      </c>
      <c r="F1254">
        <v>4</v>
      </c>
      <c r="G1254">
        <f>IF(Table3[[#This Row],[Service_Window]]="Lunch",1,0)</f>
        <v>1</v>
      </c>
    </row>
    <row r="1255" spans="1:7" x14ac:dyDescent="0.2">
      <c r="A1255">
        <v>45988</v>
      </c>
      <c r="B1255" t="s">
        <v>62</v>
      </c>
      <c r="C1255" t="s">
        <v>43</v>
      </c>
      <c r="D1255">
        <v>3</v>
      </c>
      <c r="E1255">
        <v>1</v>
      </c>
      <c r="F1255">
        <v>4</v>
      </c>
      <c r="G1255">
        <f>IF(Table3[[#This Row],[Service_Window]]="Lunch",1,0)</f>
        <v>1</v>
      </c>
    </row>
    <row r="1256" spans="1:7" x14ac:dyDescent="0.2">
      <c r="A1256">
        <v>45988</v>
      </c>
      <c r="B1256" t="s">
        <v>62</v>
      </c>
      <c r="C1256" t="s">
        <v>43</v>
      </c>
      <c r="D1256">
        <v>1</v>
      </c>
      <c r="E1256">
        <v>1</v>
      </c>
      <c r="F1256">
        <v>4</v>
      </c>
      <c r="G1256">
        <f>IF(Table3[[#This Row],[Service_Window]]="Lunch",1,0)</f>
        <v>1</v>
      </c>
    </row>
    <row r="1257" spans="1:7" x14ac:dyDescent="0.2">
      <c r="A1257">
        <v>45988</v>
      </c>
      <c r="B1257" t="s">
        <v>62</v>
      </c>
      <c r="C1257" t="s">
        <v>43</v>
      </c>
      <c r="D1257">
        <v>3</v>
      </c>
      <c r="E1257">
        <v>1</v>
      </c>
      <c r="F1257">
        <v>4</v>
      </c>
      <c r="G1257">
        <f>IF(Table3[[#This Row],[Service_Window]]="Lunch",1,0)</f>
        <v>1</v>
      </c>
    </row>
    <row r="1258" spans="1:7" x14ac:dyDescent="0.2">
      <c r="A1258">
        <v>45988</v>
      </c>
      <c r="B1258" t="s">
        <v>62</v>
      </c>
      <c r="C1258" t="s">
        <v>43</v>
      </c>
      <c r="D1258">
        <v>4</v>
      </c>
      <c r="E1258">
        <v>0</v>
      </c>
      <c r="F1258">
        <v>4</v>
      </c>
      <c r="G1258">
        <f>IF(Table3[[#This Row],[Service_Window]]="Lunch",1,0)</f>
        <v>1</v>
      </c>
    </row>
    <row r="1259" spans="1:7" x14ac:dyDescent="0.2">
      <c r="A1259">
        <v>45989</v>
      </c>
      <c r="B1259" t="s">
        <v>96</v>
      </c>
      <c r="C1259" t="s">
        <v>14</v>
      </c>
      <c r="D1259">
        <v>3</v>
      </c>
      <c r="E1259">
        <v>0</v>
      </c>
      <c r="F1259">
        <v>5</v>
      </c>
      <c r="G1259">
        <f>IF(Table3[[#This Row],[Service_Window]]="Lunch",1,0)</f>
        <v>0</v>
      </c>
    </row>
    <row r="1260" spans="1:7" x14ac:dyDescent="0.2">
      <c r="A1260">
        <v>45989</v>
      </c>
      <c r="B1260" t="s">
        <v>96</v>
      </c>
      <c r="C1260" t="s">
        <v>14</v>
      </c>
      <c r="D1260">
        <v>5</v>
      </c>
      <c r="E1260">
        <v>0</v>
      </c>
      <c r="F1260">
        <v>5</v>
      </c>
      <c r="G1260">
        <f>IF(Table3[[#This Row],[Service_Window]]="Lunch",1,0)</f>
        <v>0</v>
      </c>
    </row>
    <row r="1261" spans="1:7" x14ac:dyDescent="0.2">
      <c r="A1261">
        <v>45989</v>
      </c>
      <c r="B1261" t="s">
        <v>96</v>
      </c>
      <c r="C1261" t="s">
        <v>14</v>
      </c>
      <c r="D1261">
        <v>4</v>
      </c>
      <c r="E1261">
        <v>0</v>
      </c>
      <c r="F1261">
        <v>5</v>
      </c>
      <c r="G1261">
        <f>IF(Table3[[#This Row],[Service_Window]]="Lunch",1,0)</f>
        <v>0</v>
      </c>
    </row>
    <row r="1262" spans="1:7" x14ac:dyDescent="0.2">
      <c r="A1262">
        <v>45989</v>
      </c>
      <c r="B1262" t="s">
        <v>96</v>
      </c>
      <c r="C1262" t="s">
        <v>14</v>
      </c>
      <c r="D1262">
        <v>1</v>
      </c>
      <c r="E1262">
        <v>0</v>
      </c>
      <c r="F1262">
        <v>5</v>
      </c>
      <c r="G1262">
        <f>IF(Table3[[#This Row],[Service_Window]]="Lunch",1,0)</f>
        <v>0</v>
      </c>
    </row>
    <row r="1263" spans="1:7" x14ac:dyDescent="0.2">
      <c r="A1263">
        <v>45989</v>
      </c>
      <c r="B1263" t="s">
        <v>96</v>
      </c>
      <c r="C1263" t="s">
        <v>14</v>
      </c>
      <c r="D1263">
        <v>3</v>
      </c>
      <c r="E1263">
        <v>0</v>
      </c>
      <c r="F1263">
        <v>5</v>
      </c>
      <c r="G1263">
        <f>IF(Table3[[#This Row],[Service_Window]]="Lunch",1,0)</f>
        <v>0</v>
      </c>
    </row>
    <row r="1264" spans="1:7" x14ac:dyDescent="0.2">
      <c r="A1264">
        <v>45989</v>
      </c>
      <c r="B1264" t="s">
        <v>96</v>
      </c>
      <c r="C1264" t="s">
        <v>14</v>
      </c>
      <c r="D1264">
        <v>4</v>
      </c>
      <c r="E1264">
        <v>0</v>
      </c>
      <c r="F1264">
        <v>5</v>
      </c>
      <c r="G1264">
        <f>IF(Table3[[#This Row],[Service_Window]]="Lunch",1,0)</f>
        <v>0</v>
      </c>
    </row>
    <row r="1265" spans="1:7" x14ac:dyDescent="0.2">
      <c r="A1265">
        <v>45989</v>
      </c>
      <c r="B1265" t="s">
        <v>96</v>
      </c>
      <c r="C1265" t="s">
        <v>14</v>
      </c>
      <c r="D1265">
        <v>4</v>
      </c>
      <c r="E1265">
        <v>0</v>
      </c>
      <c r="F1265">
        <v>5</v>
      </c>
      <c r="G1265">
        <f>IF(Table3[[#This Row],[Service_Window]]="Lunch",1,0)</f>
        <v>0</v>
      </c>
    </row>
    <row r="1266" spans="1:7" x14ac:dyDescent="0.2">
      <c r="A1266">
        <v>45989</v>
      </c>
      <c r="B1266" t="s">
        <v>96</v>
      </c>
      <c r="C1266" t="s">
        <v>14</v>
      </c>
      <c r="D1266">
        <v>3</v>
      </c>
      <c r="E1266">
        <v>0</v>
      </c>
      <c r="F1266">
        <v>5</v>
      </c>
      <c r="G1266">
        <f>IF(Table3[[#This Row],[Service_Window]]="Lunch",1,0)</f>
        <v>0</v>
      </c>
    </row>
    <row r="1267" spans="1:7" x14ac:dyDescent="0.2">
      <c r="A1267">
        <v>45989</v>
      </c>
      <c r="B1267" t="s">
        <v>96</v>
      </c>
      <c r="C1267" t="s">
        <v>14</v>
      </c>
      <c r="D1267">
        <v>3</v>
      </c>
      <c r="E1267">
        <v>0</v>
      </c>
      <c r="F1267">
        <v>5</v>
      </c>
      <c r="G1267">
        <f>IF(Table3[[#This Row],[Service_Window]]="Lunch",1,0)</f>
        <v>0</v>
      </c>
    </row>
    <row r="1268" spans="1:7" x14ac:dyDescent="0.2">
      <c r="A1268">
        <v>45989</v>
      </c>
      <c r="B1268" t="s">
        <v>96</v>
      </c>
      <c r="C1268" t="s">
        <v>14</v>
      </c>
      <c r="D1268">
        <v>4</v>
      </c>
      <c r="E1268">
        <v>0</v>
      </c>
      <c r="F1268">
        <v>5</v>
      </c>
      <c r="G1268">
        <f>IF(Table3[[#This Row],[Service_Window]]="Lunch",1,0)</f>
        <v>0</v>
      </c>
    </row>
    <row r="1269" spans="1:7" x14ac:dyDescent="0.2">
      <c r="A1269">
        <v>45989</v>
      </c>
      <c r="B1269" t="s">
        <v>96</v>
      </c>
      <c r="C1269" t="s">
        <v>14</v>
      </c>
      <c r="D1269">
        <v>4</v>
      </c>
      <c r="E1269">
        <v>0</v>
      </c>
      <c r="F1269">
        <v>5</v>
      </c>
      <c r="G1269">
        <f>IF(Table3[[#This Row],[Service_Window]]="Lunch",1,0)</f>
        <v>0</v>
      </c>
    </row>
    <row r="1270" spans="1:7" x14ac:dyDescent="0.2">
      <c r="A1270">
        <v>45989</v>
      </c>
      <c r="B1270" t="s">
        <v>96</v>
      </c>
      <c r="C1270" t="s">
        <v>14</v>
      </c>
      <c r="D1270">
        <v>2</v>
      </c>
      <c r="E1270">
        <v>0</v>
      </c>
      <c r="F1270">
        <v>5</v>
      </c>
      <c r="G1270">
        <f>IF(Table3[[#This Row],[Service_Window]]="Lunch",1,0)</f>
        <v>0</v>
      </c>
    </row>
    <row r="1271" spans="1:7" x14ac:dyDescent="0.2">
      <c r="A1271">
        <v>45989</v>
      </c>
      <c r="B1271" t="s">
        <v>96</v>
      </c>
      <c r="C1271" t="s">
        <v>43</v>
      </c>
      <c r="D1271">
        <v>1</v>
      </c>
      <c r="E1271">
        <v>1</v>
      </c>
      <c r="F1271">
        <v>5</v>
      </c>
      <c r="G1271">
        <f>IF(Table3[[#This Row],[Service_Window]]="Lunch",1,0)</f>
        <v>1</v>
      </c>
    </row>
    <row r="1272" spans="1:7" x14ac:dyDescent="0.2">
      <c r="A1272">
        <v>45989</v>
      </c>
      <c r="B1272" t="s">
        <v>96</v>
      </c>
      <c r="C1272" t="s">
        <v>43</v>
      </c>
      <c r="D1272">
        <v>1</v>
      </c>
      <c r="E1272">
        <v>0</v>
      </c>
      <c r="F1272">
        <v>5</v>
      </c>
      <c r="G1272">
        <f>IF(Table3[[#This Row],[Service_Window]]="Lunch",1,0)</f>
        <v>1</v>
      </c>
    </row>
    <row r="1273" spans="1:7" x14ac:dyDescent="0.2">
      <c r="A1273">
        <v>45989</v>
      </c>
      <c r="B1273" t="s">
        <v>96</v>
      </c>
      <c r="C1273" t="s">
        <v>43</v>
      </c>
      <c r="D1273">
        <v>3</v>
      </c>
      <c r="E1273">
        <v>0</v>
      </c>
      <c r="F1273">
        <v>5</v>
      </c>
      <c r="G1273">
        <f>IF(Table3[[#This Row],[Service_Window]]="Lunch",1,0)</f>
        <v>1</v>
      </c>
    </row>
    <row r="1274" spans="1:7" x14ac:dyDescent="0.2">
      <c r="A1274">
        <v>45989</v>
      </c>
      <c r="B1274" t="s">
        <v>96</v>
      </c>
      <c r="C1274" t="s">
        <v>43</v>
      </c>
      <c r="D1274">
        <v>3</v>
      </c>
      <c r="E1274">
        <v>1</v>
      </c>
      <c r="F1274">
        <v>5</v>
      </c>
      <c r="G1274">
        <f>IF(Table3[[#This Row],[Service_Window]]="Lunch",1,0)</f>
        <v>1</v>
      </c>
    </row>
    <row r="1275" spans="1:7" x14ac:dyDescent="0.2">
      <c r="A1275">
        <v>45989</v>
      </c>
      <c r="B1275" t="s">
        <v>96</v>
      </c>
      <c r="C1275" t="s">
        <v>43</v>
      </c>
      <c r="D1275">
        <v>3</v>
      </c>
      <c r="E1275">
        <v>1</v>
      </c>
      <c r="F1275">
        <v>5</v>
      </c>
      <c r="G1275">
        <f>IF(Table3[[#This Row],[Service_Window]]="Lunch",1,0)</f>
        <v>1</v>
      </c>
    </row>
    <row r="1276" spans="1:7" x14ac:dyDescent="0.2">
      <c r="A1276">
        <v>45989</v>
      </c>
      <c r="B1276" t="s">
        <v>96</v>
      </c>
      <c r="C1276" t="s">
        <v>43</v>
      </c>
      <c r="D1276">
        <v>3</v>
      </c>
      <c r="E1276">
        <v>1</v>
      </c>
      <c r="F1276">
        <v>5</v>
      </c>
      <c r="G1276">
        <f>IF(Table3[[#This Row],[Service_Window]]="Lunch",1,0)</f>
        <v>1</v>
      </c>
    </row>
    <row r="1277" spans="1:7" x14ac:dyDescent="0.2">
      <c r="A1277">
        <v>45989</v>
      </c>
      <c r="B1277" t="s">
        <v>96</v>
      </c>
      <c r="C1277" t="s">
        <v>43</v>
      </c>
      <c r="D1277">
        <v>2</v>
      </c>
      <c r="E1277">
        <v>0</v>
      </c>
      <c r="F1277">
        <v>5</v>
      </c>
      <c r="G1277">
        <f>IF(Table3[[#This Row],[Service_Window]]="Lunch",1,0)</f>
        <v>1</v>
      </c>
    </row>
    <row r="1278" spans="1:7" x14ac:dyDescent="0.2">
      <c r="A1278">
        <v>45989</v>
      </c>
      <c r="B1278" t="s">
        <v>96</v>
      </c>
      <c r="C1278" t="s">
        <v>43</v>
      </c>
      <c r="D1278">
        <v>3</v>
      </c>
      <c r="E1278">
        <v>0</v>
      </c>
      <c r="F1278">
        <v>5</v>
      </c>
      <c r="G1278">
        <f>IF(Table3[[#This Row],[Service_Window]]="Lunch",1,0)</f>
        <v>1</v>
      </c>
    </row>
    <row r="1279" spans="1:7" x14ac:dyDescent="0.2">
      <c r="A1279">
        <v>45990</v>
      </c>
      <c r="B1279" t="s">
        <v>127</v>
      </c>
      <c r="C1279" t="s">
        <v>14</v>
      </c>
      <c r="D1279">
        <v>4</v>
      </c>
      <c r="E1279">
        <v>0</v>
      </c>
      <c r="F1279">
        <v>6</v>
      </c>
      <c r="G1279">
        <f>IF(Table3[[#This Row],[Service_Window]]="Lunch",1,0)</f>
        <v>0</v>
      </c>
    </row>
    <row r="1280" spans="1:7" x14ac:dyDescent="0.2">
      <c r="A1280">
        <v>45990</v>
      </c>
      <c r="B1280" t="s">
        <v>127</v>
      </c>
      <c r="C1280" t="s">
        <v>14</v>
      </c>
      <c r="D1280">
        <v>4</v>
      </c>
      <c r="E1280">
        <v>0</v>
      </c>
      <c r="F1280">
        <v>6</v>
      </c>
      <c r="G1280">
        <f>IF(Table3[[#This Row],[Service_Window]]="Lunch",1,0)</f>
        <v>0</v>
      </c>
    </row>
    <row r="1281" spans="1:7" x14ac:dyDescent="0.2">
      <c r="A1281">
        <v>45990</v>
      </c>
      <c r="B1281" t="s">
        <v>127</v>
      </c>
      <c r="C1281" t="s">
        <v>14</v>
      </c>
      <c r="D1281">
        <v>3</v>
      </c>
      <c r="E1281">
        <v>0</v>
      </c>
      <c r="F1281">
        <v>6</v>
      </c>
      <c r="G1281">
        <f>IF(Table3[[#This Row],[Service_Window]]="Lunch",1,0)</f>
        <v>0</v>
      </c>
    </row>
    <row r="1282" spans="1:7" x14ac:dyDescent="0.2">
      <c r="A1282">
        <v>45990</v>
      </c>
      <c r="B1282" t="s">
        <v>127</v>
      </c>
      <c r="C1282" t="s">
        <v>14</v>
      </c>
      <c r="D1282">
        <v>2</v>
      </c>
      <c r="E1282">
        <v>0</v>
      </c>
      <c r="F1282">
        <v>6</v>
      </c>
      <c r="G1282">
        <f>IF(Table3[[#This Row],[Service_Window]]="Lunch",1,0)</f>
        <v>0</v>
      </c>
    </row>
    <row r="1283" spans="1:7" x14ac:dyDescent="0.2">
      <c r="A1283">
        <v>45990</v>
      </c>
      <c r="B1283" t="s">
        <v>127</v>
      </c>
      <c r="C1283" t="s">
        <v>14</v>
      </c>
      <c r="D1283">
        <v>2</v>
      </c>
      <c r="E1283">
        <v>0</v>
      </c>
      <c r="F1283">
        <v>6</v>
      </c>
      <c r="G1283">
        <f>IF(Table3[[#This Row],[Service_Window]]="Lunch",1,0)</f>
        <v>0</v>
      </c>
    </row>
    <row r="1284" spans="1:7" x14ac:dyDescent="0.2">
      <c r="A1284">
        <v>45990</v>
      </c>
      <c r="B1284" t="s">
        <v>127</v>
      </c>
      <c r="C1284" t="s">
        <v>14</v>
      </c>
      <c r="D1284">
        <v>3</v>
      </c>
      <c r="E1284">
        <v>0</v>
      </c>
      <c r="F1284">
        <v>6</v>
      </c>
      <c r="G1284">
        <f>IF(Table3[[#This Row],[Service_Window]]="Lunch",1,0)</f>
        <v>0</v>
      </c>
    </row>
    <row r="1285" spans="1:7" x14ac:dyDescent="0.2">
      <c r="A1285">
        <v>45990</v>
      </c>
      <c r="B1285" t="s">
        <v>127</v>
      </c>
      <c r="C1285" t="s">
        <v>14</v>
      </c>
      <c r="D1285">
        <v>6</v>
      </c>
      <c r="E1285">
        <v>0</v>
      </c>
      <c r="F1285">
        <v>6</v>
      </c>
      <c r="G1285">
        <f>IF(Table3[[#This Row],[Service_Window]]="Lunch",1,0)</f>
        <v>0</v>
      </c>
    </row>
    <row r="1286" spans="1:7" x14ac:dyDescent="0.2">
      <c r="A1286">
        <v>45990</v>
      </c>
      <c r="B1286" t="s">
        <v>127</v>
      </c>
      <c r="C1286" t="s">
        <v>14</v>
      </c>
      <c r="D1286">
        <v>3</v>
      </c>
      <c r="E1286">
        <v>0</v>
      </c>
      <c r="F1286">
        <v>6</v>
      </c>
      <c r="G1286">
        <f>IF(Table3[[#This Row],[Service_Window]]="Lunch",1,0)</f>
        <v>0</v>
      </c>
    </row>
    <row r="1287" spans="1:7" x14ac:dyDescent="0.2">
      <c r="A1287">
        <v>45990</v>
      </c>
      <c r="B1287" t="s">
        <v>127</v>
      </c>
      <c r="C1287" t="s">
        <v>14</v>
      </c>
      <c r="D1287">
        <v>1</v>
      </c>
      <c r="E1287">
        <v>0</v>
      </c>
      <c r="F1287">
        <v>6</v>
      </c>
      <c r="G1287">
        <f>IF(Table3[[#This Row],[Service_Window]]="Lunch",1,0)</f>
        <v>0</v>
      </c>
    </row>
    <row r="1288" spans="1:7" x14ac:dyDescent="0.2">
      <c r="A1288">
        <v>45990</v>
      </c>
      <c r="B1288" t="s">
        <v>127</v>
      </c>
      <c r="C1288" t="s">
        <v>14</v>
      </c>
      <c r="D1288">
        <v>3</v>
      </c>
      <c r="E1288">
        <v>0</v>
      </c>
      <c r="F1288">
        <v>6</v>
      </c>
      <c r="G1288">
        <f>IF(Table3[[#This Row],[Service_Window]]="Lunch",1,0)</f>
        <v>0</v>
      </c>
    </row>
    <row r="1289" spans="1:7" x14ac:dyDescent="0.2">
      <c r="A1289">
        <v>45990</v>
      </c>
      <c r="B1289" t="s">
        <v>127</v>
      </c>
      <c r="C1289" t="s">
        <v>14</v>
      </c>
      <c r="D1289">
        <v>4</v>
      </c>
      <c r="E1289">
        <v>0</v>
      </c>
      <c r="F1289">
        <v>6</v>
      </c>
      <c r="G1289">
        <f>IF(Table3[[#This Row],[Service_Window]]="Lunch",1,0)</f>
        <v>0</v>
      </c>
    </row>
    <row r="1290" spans="1:7" x14ac:dyDescent="0.2">
      <c r="A1290">
        <v>45990</v>
      </c>
      <c r="B1290" t="s">
        <v>127</v>
      </c>
      <c r="C1290" t="s">
        <v>14</v>
      </c>
      <c r="D1290">
        <v>5</v>
      </c>
      <c r="E1290">
        <v>0</v>
      </c>
      <c r="F1290">
        <v>6</v>
      </c>
      <c r="G1290">
        <f>IF(Table3[[#This Row],[Service_Window]]="Lunch",1,0)</f>
        <v>0</v>
      </c>
    </row>
    <row r="1291" spans="1:7" x14ac:dyDescent="0.2">
      <c r="A1291">
        <v>45990</v>
      </c>
      <c r="B1291" t="s">
        <v>127</v>
      </c>
      <c r="C1291" t="s">
        <v>14</v>
      </c>
      <c r="D1291">
        <v>6</v>
      </c>
      <c r="E1291">
        <v>0</v>
      </c>
      <c r="F1291">
        <v>6</v>
      </c>
      <c r="G1291">
        <f>IF(Table3[[#This Row],[Service_Window]]="Lunch",1,0)</f>
        <v>0</v>
      </c>
    </row>
    <row r="1292" spans="1:7" x14ac:dyDescent="0.2">
      <c r="A1292">
        <v>45990</v>
      </c>
      <c r="B1292" t="s">
        <v>127</v>
      </c>
      <c r="C1292" t="s">
        <v>14</v>
      </c>
      <c r="D1292">
        <v>4</v>
      </c>
      <c r="E1292">
        <v>0</v>
      </c>
      <c r="F1292">
        <v>6</v>
      </c>
      <c r="G1292">
        <f>IF(Table3[[#This Row],[Service_Window]]="Lunch",1,0)</f>
        <v>0</v>
      </c>
    </row>
    <row r="1293" spans="1:7" x14ac:dyDescent="0.2">
      <c r="A1293">
        <v>45990</v>
      </c>
      <c r="B1293" t="s">
        <v>127</v>
      </c>
      <c r="C1293" t="s">
        <v>14</v>
      </c>
      <c r="D1293">
        <v>3</v>
      </c>
      <c r="E1293">
        <v>0</v>
      </c>
      <c r="F1293">
        <v>6</v>
      </c>
      <c r="G1293">
        <f>IF(Table3[[#This Row],[Service_Window]]="Lunch",1,0)</f>
        <v>0</v>
      </c>
    </row>
    <row r="1294" spans="1:7" x14ac:dyDescent="0.2">
      <c r="A1294">
        <v>45990</v>
      </c>
      <c r="B1294" t="s">
        <v>127</v>
      </c>
      <c r="C1294" t="s">
        <v>14</v>
      </c>
      <c r="D1294">
        <v>3</v>
      </c>
      <c r="E1294">
        <v>0</v>
      </c>
      <c r="F1294">
        <v>6</v>
      </c>
      <c r="G1294">
        <f>IF(Table3[[#This Row],[Service_Window]]="Lunch",1,0)</f>
        <v>0</v>
      </c>
    </row>
    <row r="1295" spans="1:7" x14ac:dyDescent="0.2">
      <c r="A1295">
        <v>45990</v>
      </c>
      <c r="B1295" t="s">
        <v>127</v>
      </c>
      <c r="C1295" t="s">
        <v>14</v>
      </c>
      <c r="D1295">
        <v>1</v>
      </c>
      <c r="E1295">
        <v>0</v>
      </c>
      <c r="F1295">
        <v>6</v>
      </c>
      <c r="G1295">
        <f>IF(Table3[[#This Row],[Service_Window]]="Lunch",1,0)</f>
        <v>0</v>
      </c>
    </row>
    <row r="1296" spans="1:7" x14ac:dyDescent="0.2">
      <c r="A1296">
        <v>45990</v>
      </c>
      <c r="B1296" t="s">
        <v>127</v>
      </c>
      <c r="C1296" t="s">
        <v>43</v>
      </c>
      <c r="D1296">
        <v>4</v>
      </c>
      <c r="E1296">
        <v>0</v>
      </c>
      <c r="F1296">
        <v>6</v>
      </c>
      <c r="G1296">
        <f>IF(Table3[[#This Row],[Service_Window]]="Lunch",1,0)</f>
        <v>1</v>
      </c>
    </row>
    <row r="1297" spans="1:7" x14ac:dyDescent="0.2">
      <c r="A1297">
        <v>45990</v>
      </c>
      <c r="B1297" t="s">
        <v>127</v>
      </c>
      <c r="C1297" t="s">
        <v>43</v>
      </c>
      <c r="D1297">
        <v>3</v>
      </c>
      <c r="E1297">
        <v>0</v>
      </c>
      <c r="F1297">
        <v>6</v>
      </c>
      <c r="G1297">
        <f>IF(Table3[[#This Row],[Service_Window]]="Lunch",1,0)</f>
        <v>1</v>
      </c>
    </row>
    <row r="1298" spans="1:7" x14ac:dyDescent="0.2">
      <c r="A1298">
        <v>45991</v>
      </c>
      <c r="B1298" t="s">
        <v>171</v>
      </c>
      <c r="C1298" t="s">
        <v>14</v>
      </c>
      <c r="D1298">
        <v>1</v>
      </c>
      <c r="E1298">
        <v>0</v>
      </c>
      <c r="F1298">
        <v>7</v>
      </c>
      <c r="G1298">
        <f>IF(Table3[[#This Row],[Service_Window]]="Lunch",1,0)</f>
        <v>0</v>
      </c>
    </row>
    <row r="1299" spans="1:7" x14ac:dyDescent="0.2">
      <c r="A1299">
        <v>45991</v>
      </c>
      <c r="B1299" t="s">
        <v>171</v>
      </c>
      <c r="C1299" t="s">
        <v>14</v>
      </c>
      <c r="D1299">
        <v>1</v>
      </c>
      <c r="E1299">
        <v>0</v>
      </c>
      <c r="F1299">
        <v>7</v>
      </c>
      <c r="G1299">
        <f>IF(Table3[[#This Row],[Service_Window]]="Lunch",1,0)</f>
        <v>0</v>
      </c>
    </row>
    <row r="1300" spans="1:7" x14ac:dyDescent="0.2">
      <c r="A1300">
        <v>45991</v>
      </c>
      <c r="B1300" t="s">
        <v>171</v>
      </c>
      <c r="C1300" t="s">
        <v>14</v>
      </c>
      <c r="D1300">
        <v>4</v>
      </c>
      <c r="E1300">
        <v>0</v>
      </c>
      <c r="F1300">
        <v>7</v>
      </c>
      <c r="G1300">
        <f>IF(Table3[[#This Row],[Service_Window]]="Lunch",1,0)</f>
        <v>0</v>
      </c>
    </row>
    <row r="1301" spans="1:7" x14ac:dyDescent="0.2">
      <c r="A1301">
        <v>45991</v>
      </c>
      <c r="B1301" t="s">
        <v>171</v>
      </c>
      <c r="C1301" t="s">
        <v>14</v>
      </c>
      <c r="D1301">
        <v>3</v>
      </c>
      <c r="E1301">
        <v>0</v>
      </c>
      <c r="F1301">
        <v>7</v>
      </c>
      <c r="G1301">
        <f>IF(Table3[[#This Row],[Service_Window]]="Lunch",1,0)</f>
        <v>0</v>
      </c>
    </row>
    <row r="1302" spans="1:7" x14ac:dyDescent="0.2">
      <c r="A1302">
        <v>45991</v>
      </c>
      <c r="B1302" t="s">
        <v>171</v>
      </c>
      <c r="C1302" t="s">
        <v>14</v>
      </c>
      <c r="D1302">
        <v>4</v>
      </c>
      <c r="E1302">
        <v>0</v>
      </c>
      <c r="F1302">
        <v>7</v>
      </c>
      <c r="G1302">
        <f>IF(Table3[[#This Row],[Service_Window]]="Lunch",1,0)</f>
        <v>0</v>
      </c>
    </row>
    <row r="1303" spans="1:7" x14ac:dyDescent="0.2">
      <c r="A1303">
        <v>45991</v>
      </c>
      <c r="B1303" t="s">
        <v>171</v>
      </c>
      <c r="C1303" t="s">
        <v>14</v>
      </c>
      <c r="D1303">
        <v>3</v>
      </c>
      <c r="E1303">
        <v>0</v>
      </c>
      <c r="F1303">
        <v>7</v>
      </c>
      <c r="G1303">
        <f>IF(Table3[[#This Row],[Service_Window]]="Lunch",1,0)</f>
        <v>0</v>
      </c>
    </row>
    <row r="1304" spans="1:7" x14ac:dyDescent="0.2">
      <c r="A1304">
        <v>45991</v>
      </c>
      <c r="B1304" t="s">
        <v>171</v>
      </c>
      <c r="C1304" t="s">
        <v>14</v>
      </c>
      <c r="D1304">
        <v>4</v>
      </c>
      <c r="E1304">
        <v>0</v>
      </c>
      <c r="F1304">
        <v>7</v>
      </c>
      <c r="G1304">
        <f>IF(Table3[[#This Row],[Service_Window]]="Lunch",1,0)</f>
        <v>0</v>
      </c>
    </row>
    <row r="1305" spans="1:7" x14ac:dyDescent="0.2">
      <c r="A1305">
        <v>45991</v>
      </c>
      <c r="B1305" t="s">
        <v>171</v>
      </c>
      <c r="C1305" t="s">
        <v>14</v>
      </c>
      <c r="D1305">
        <v>3</v>
      </c>
      <c r="E1305">
        <v>0</v>
      </c>
      <c r="F1305">
        <v>7</v>
      </c>
      <c r="G1305">
        <f>IF(Table3[[#This Row],[Service_Window]]="Lunch",1,0)</f>
        <v>0</v>
      </c>
    </row>
    <row r="1306" spans="1:7" x14ac:dyDescent="0.2">
      <c r="A1306">
        <v>45991</v>
      </c>
      <c r="B1306" t="s">
        <v>171</v>
      </c>
      <c r="C1306" t="s">
        <v>14</v>
      </c>
      <c r="D1306">
        <v>3</v>
      </c>
      <c r="E1306">
        <v>0</v>
      </c>
      <c r="F1306">
        <v>7</v>
      </c>
      <c r="G1306">
        <f>IF(Table3[[#This Row],[Service_Window]]="Lunch",1,0)</f>
        <v>0</v>
      </c>
    </row>
    <row r="1307" spans="1:7" x14ac:dyDescent="0.2">
      <c r="A1307">
        <v>45991</v>
      </c>
      <c r="B1307" t="s">
        <v>171</v>
      </c>
      <c r="C1307" t="s">
        <v>14</v>
      </c>
      <c r="D1307">
        <v>4</v>
      </c>
      <c r="E1307">
        <v>0</v>
      </c>
      <c r="F1307">
        <v>7</v>
      </c>
      <c r="G1307">
        <f>IF(Table3[[#This Row],[Service_Window]]="Lunch",1,0)</f>
        <v>0</v>
      </c>
    </row>
    <row r="1308" spans="1:7" x14ac:dyDescent="0.2">
      <c r="A1308">
        <v>45991</v>
      </c>
      <c r="B1308" t="s">
        <v>171</v>
      </c>
      <c r="C1308" t="s">
        <v>14</v>
      </c>
      <c r="D1308">
        <v>4</v>
      </c>
      <c r="E1308">
        <v>0</v>
      </c>
      <c r="F1308">
        <v>7</v>
      </c>
      <c r="G1308">
        <f>IF(Table3[[#This Row],[Service_Window]]="Lunch",1,0)</f>
        <v>0</v>
      </c>
    </row>
    <row r="1309" spans="1:7" x14ac:dyDescent="0.2">
      <c r="A1309">
        <v>45991</v>
      </c>
      <c r="B1309" t="s">
        <v>171</v>
      </c>
      <c r="C1309" t="s">
        <v>14</v>
      </c>
      <c r="D1309">
        <v>3</v>
      </c>
      <c r="E1309">
        <v>0</v>
      </c>
      <c r="F1309">
        <v>7</v>
      </c>
      <c r="G1309">
        <f>IF(Table3[[#This Row],[Service_Window]]="Lunch",1,0)</f>
        <v>0</v>
      </c>
    </row>
    <row r="1310" spans="1:7" x14ac:dyDescent="0.2">
      <c r="A1310">
        <v>45991</v>
      </c>
      <c r="B1310" t="s">
        <v>171</v>
      </c>
      <c r="C1310" t="s">
        <v>14</v>
      </c>
      <c r="D1310">
        <v>5</v>
      </c>
      <c r="E1310">
        <v>0</v>
      </c>
      <c r="F1310">
        <v>7</v>
      </c>
      <c r="G1310">
        <f>IF(Table3[[#This Row],[Service_Window]]="Lunch",1,0)</f>
        <v>0</v>
      </c>
    </row>
    <row r="1311" spans="1:7" x14ac:dyDescent="0.2">
      <c r="A1311">
        <v>45991</v>
      </c>
      <c r="B1311" t="s">
        <v>171</v>
      </c>
      <c r="C1311" t="s">
        <v>14</v>
      </c>
      <c r="D1311">
        <v>9</v>
      </c>
      <c r="E1311">
        <v>0</v>
      </c>
      <c r="F1311">
        <v>7</v>
      </c>
      <c r="G1311">
        <f>IF(Table3[[#This Row],[Service_Window]]="Lunch",1,0)</f>
        <v>0</v>
      </c>
    </row>
    <row r="1312" spans="1:7" x14ac:dyDescent="0.2">
      <c r="A1312">
        <v>45991</v>
      </c>
      <c r="B1312" t="s">
        <v>171</v>
      </c>
      <c r="C1312" t="s">
        <v>14</v>
      </c>
      <c r="D1312">
        <v>5</v>
      </c>
      <c r="E1312">
        <v>0</v>
      </c>
      <c r="F1312">
        <v>7</v>
      </c>
      <c r="G1312">
        <f>IF(Table3[[#This Row],[Service_Window]]="Lunch",1,0)</f>
        <v>0</v>
      </c>
    </row>
    <row r="1313" spans="1:7" x14ac:dyDescent="0.2">
      <c r="A1313">
        <v>45991</v>
      </c>
      <c r="B1313" t="s">
        <v>171</v>
      </c>
      <c r="C1313" t="s">
        <v>14</v>
      </c>
      <c r="D1313">
        <v>6</v>
      </c>
      <c r="E1313">
        <v>0</v>
      </c>
      <c r="F1313">
        <v>7</v>
      </c>
      <c r="G1313">
        <f>IF(Table3[[#This Row],[Service_Window]]="Lunch",1,0)</f>
        <v>0</v>
      </c>
    </row>
    <row r="1314" spans="1:7" x14ac:dyDescent="0.2">
      <c r="A1314">
        <v>45991</v>
      </c>
      <c r="B1314" t="s">
        <v>171</v>
      </c>
      <c r="C1314" t="s">
        <v>14</v>
      </c>
      <c r="D1314">
        <v>2</v>
      </c>
      <c r="E1314">
        <v>0</v>
      </c>
      <c r="F1314">
        <v>7</v>
      </c>
      <c r="G1314">
        <f>IF(Table3[[#This Row],[Service_Window]]="Lunch",1,0)</f>
        <v>0</v>
      </c>
    </row>
    <row r="1315" spans="1:7" x14ac:dyDescent="0.2">
      <c r="A1315">
        <v>45991</v>
      </c>
      <c r="B1315" t="s">
        <v>171</v>
      </c>
      <c r="C1315" t="s">
        <v>14</v>
      </c>
      <c r="D1315">
        <v>6</v>
      </c>
      <c r="E1315">
        <v>0</v>
      </c>
      <c r="F1315">
        <v>7</v>
      </c>
      <c r="G1315">
        <f>IF(Table3[[#This Row],[Service_Window]]="Lunch",1,0)</f>
        <v>0</v>
      </c>
    </row>
    <row r="1316" spans="1:7" x14ac:dyDescent="0.2">
      <c r="A1316">
        <v>45991</v>
      </c>
      <c r="B1316" t="s">
        <v>171</v>
      </c>
      <c r="C1316" t="s">
        <v>14</v>
      </c>
      <c r="D1316">
        <v>2</v>
      </c>
      <c r="E1316">
        <v>0</v>
      </c>
      <c r="F1316">
        <v>7</v>
      </c>
      <c r="G1316">
        <f>IF(Table3[[#This Row],[Service_Window]]="Lunch",1,0)</f>
        <v>0</v>
      </c>
    </row>
    <row r="1317" spans="1:7" x14ac:dyDescent="0.2">
      <c r="A1317">
        <v>45991</v>
      </c>
      <c r="B1317" t="s">
        <v>171</v>
      </c>
      <c r="C1317" t="s">
        <v>14</v>
      </c>
      <c r="D1317">
        <v>1</v>
      </c>
      <c r="E1317">
        <v>0</v>
      </c>
      <c r="F1317">
        <v>7</v>
      </c>
      <c r="G1317">
        <f>IF(Table3[[#This Row],[Service_Window]]="Lunch",1,0)</f>
        <v>0</v>
      </c>
    </row>
    <row r="1318" spans="1:7" x14ac:dyDescent="0.2">
      <c r="A1318">
        <v>45991</v>
      </c>
      <c r="B1318" t="s">
        <v>171</v>
      </c>
      <c r="C1318" t="s">
        <v>14</v>
      </c>
      <c r="D1318">
        <v>5</v>
      </c>
      <c r="E1318">
        <v>0</v>
      </c>
      <c r="F1318">
        <v>7</v>
      </c>
      <c r="G1318">
        <f>IF(Table3[[#This Row],[Service_Window]]="Lunch",1,0)</f>
        <v>0</v>
      </c>
    </row>
    <row r="1319" spans="1:7" x14ac:dyDescent="0.2">
      <c r="A1319">
        <v>45991</v>
      </c>
      <c r="B1319" t="s">
        <v>171</v>
      </c>
      <c r="C1319" t="s">
        <v>43</v>
      </c>
      <c r="D1319">
        <v>6</v>
      </c>
      <c r="E1319">
        <v>0</v>
      </c>
      <c r="F1319">
        <v>7</v>
      </c>
      <c r="G1319">
        <f>IF(Table3[[#This Row],[Service_Window]]="Lunch",1,0)</f>
        <v>1</v>
      </c>
    </row>
    <row r="1320" spans="1:7" x14ac:dyDescent="0.2">
      <c r="A1320">
        <v>45991</v>
      </c>
      <c r="B1320" t="s">
        <v>171</v>
      </c>
      <c r="C1320" t="s">
        <v>43</v>
      </c>
      <c r="D1320">
        <v>3</v>
      </c>
      <c r="E1320">
        <v>0</v>
      </c>
      <c r="F1320">
        <v>7</v>
      </c>
      <c r="G1320">
        <f>IF(Table3[[#This Row],[Service_Window]]="Lunch",1,0)</f>
        <v>1</v>
      </c>
    </row>
    <row r="1321" spans="1:7" x14ac:dyDescent="0.2">
      <c r="A1321">
        <v>45991</v>
      </c>
      <c r="B1321" t="s">
        <v>171</v>
      </c>
      <c r="C1321" t="s">
        <v>43</v>
      </c>
      <c r="D1321">
        <v>2</v>
      </c>
      <c r="E1321">
        <v>0</v>
      </c>
      <c r="F1321">
        <v>7</v>
      </c>
      <c r="G1321">
        <f>IF(Table3[[#This Row],[Service_Window]]="Lunch",1,0)</f>
        <v>1</v>
      </c>
    </row>
    <row r="1322" spans="1:7" x14ac:dyDescent="0.2">
      <c r="A1322">
        <v>45991</v>
      </c>
      <c r="B1322" t="s">
        <v>171</v>
      </c>
      <c r="C1322" t="s">
        <v>43</v>
      </c>
      <c r="D1322">
        <v>2</v>
      </c>
      <c r="E1322">
        <v>0</v>
      </c>
      <c r="F1322">
        <v>7</v>
      </c>
      <c r="G1322">
        <f>IF(Table3[[#This Row],[Service_Window]]="Lunch",1,0)</f>
        <v>1</v>
      </c>
    </row>
    <row r="1323" spans="1:7" x14ac:dyDescent="0.2">
      <c r="A1323">
        <v>45991</v>
      </c>
      <c r="B1323" t="s">
        <v>171</v>
      </c>
      <c r="C1323" t="s">
        <v>43</v>
      </c>
      <c r="D1323">
        <v>2</v>
      </c>
      <c r="E1323">
        <v>0</v>
      </c>
      <c r="F1323">
        <v>7</v>
      </c>
      <c r="G1323">
        <f>IF(Table3[[#This Row],[Service_Window]]="Lunch",1,0)</f>
        <v>1</v>
      </c>
    </row>
    <row r="1324" spans="1:7" x14ac:dyDescent="0.2">
      <c r="A1324">
        <v>45992</v>
      </c>
      <c r="B1324" t="s">
        <v>213</v>
      </c>
      <c r="C1324" t="s">
        <v>14</v>
      </c>
      <c r="D1324">
        <v>6</v>
      </c>
      <c r="E1324">
        <v>0</v>
      </c>
      <c r="F1324">
        <v>1</v>
      </c>
      <c r="G1324">
        <f>IF(Table3[[#This Row],[Service_Window]]="Lunch",1,0)</f>
        <v>0</v>
      </c>
    </row>
    <row r="1325" spans="1:7" x14ac:dyDescent="0.2">
      <c r="A1325">
        <v>45992</v>
      </c>
      <c r="B1325" t="s">
        <v>213</v>
      </c>
      <c r="C1325" t="s">
        <v>14</v>
      </c>
      <c r="D1325">
        <v>4</v>
      </c>
      <c r="E1325">
        <v>0</v>
      </c>
      <c r="F1325">
        <v>1</v>
      </c>
      <c r="G1325">
        <f>IF(Table3[[#This Row],[Service_Window]]="Lunch",1,0)</f>
        <v>0</v>
      </c>
    </row>
    <row r="1326" spans="1:7" x14ac:dyDescent="0.2">
      <c r="A1326">
        <v>45992</v>
      </c>
      <c r="B1326" t="s">
        <v>213</v>
      </c>
      <c r="C1326" t="s">
        <v>14</v>
      </c>
      <c r="D1326">
        <v>4</v>
      </c>
      <c r="E1326">
        <v>0</v>
      </c>
      <c r="F1326">
        <v>1</v>
      </c>
      <c r="G1326">
        <f>IF(Table3[[#This Row],[Service_Window]]="Lunch",1,0)</f>
        <v>0</v>
      </c>
    </row>
    <row r="1327" spans="1:7" x14ac:dyDescent="0.2">
      <c r="A1327">
        <v>45992</v>
      </c>
      <c r="B1327" t="s">
        <v>213</v>
      </c>
      <c r="C1327" t="s">
        <v>14</v>
      </c>
      <c r="D1327">
        <v>5</v>
      </c>
      <c r="E1327">
        <v>0</v>
      </c>
      <c r="F1327">
        <v>1</v>
      </c>
      <c r="G1327">
        <f>IF(Table3[[#This Row],[Service_Window]]="Lunch",1,0)</f>
        <v>0</v>
      </c>
    </row>
    <row r="1328" spans="1:7" x14ac:dyDescent="0.2">
      <c r="A1328">
        <v>45992</v>
      </c>
      <c r="B1328" t="s">
        <v>213</v>
      </c>
      <c r="C1328" t="s">
        <v>14</v>
      </c>
      <c r="D1328">
        <v>5</v>
      </c>
      <c r="E1328">
        <v>0</v>
      </c>
      <c r="F1328">
        <v>1</v>
      </c>
      <c r="G1328">
        <f>IF(Table3[[#This Row],[Service_Window]]="Lunch",1,0)</f>
        <v>0</v>
      </c>
    </row>
    <row r="1329" spans="1:7" x14ac:dyDescent="0.2">
      <c r="A1329">
        <v>45992</v>
      </c>
      <c r="B1329" t="s">
        <v>213</v>
      </c>
      <c r="C1329" t="s">
        <v>14</v>
      </c>
      <c r="D1329">
        <v>4</v>
      </c>
      <c r="E1329">
        <v>0</v>
      </c>
      <c r="F1329">
        <v>1</v>
      </c>
      <c r="G1329">
        <f>IF(Table3[[#This Row],[Service_Window]]="Lunch",1,0)</f>
        <v>0</v>
      </c>
    </row>
    <row r="1330" spans="1:7" x14ac:dyDescent="0.2">
      <c r="A1330">
        <v>45992</v>
      </c>
      <c r="B1330" t="s">
        <v>213</v>
      </c>
      <c r="C1330" t="s">
        <v>14</v>
      </c>
      <c r="D1330">
        <v>4</v>
      </c>
      <c r="E1330">
        <v>0</v>
      </c>
      <c r="F1330">
        <v>1</v>
      </c>
      <c r="G1330">
        <f>IF(Table3[[#This Row],[Service_Window]]="Lunch",1,0)</f>
        <v>0</v>
      </c>
    </row>
    <row r="1331" spans="1:7" x14ac:dyDescent="0.2">
      <c r="A1331">
        <v>45992</v>
      </c>
      <c r="B1331" t="s">
        <v>213</v>
      </c>
      <c r="C1331" t="s">
        <v>14</v>
      </c>
      <c r="D1331">
        <v>4</v>
      </c>
      <c r="E1331">
        <v>0</v>
      </c>
      <c r="F1331">
        <v>1</v>
      </c>
      <c r="G1331">
        <f>IF(Table3[[#This Row],[Service_Window]]="Lunch",1,0)</f>
        <v>0</v>
      </c>
    </row>
    <row r="1332" spans="1:7" x14ac:dyDescent="0.2">
      <c r="A1332">
        <v>45992</v>
      </c>
      <c r="B1332" t="s">
        <v>213</v>
      </c>
      <c r="C1332" t="s">
        <v>14</v>
      </c>
      <c r="D1332">
        <v>3</v>
      </c>
      <c r="E1332">
        <v>0</v>
      </c>
      <c r="F1332">
        <v>1</v>
      </c>
      <c r="G1332">
        <f>IF(Table3[[#This Row],[Service_Window]]="Lunch",1,0)</f>
        <v>0</v>
      </c>
    </row>
    <row r="1333" spans="1:7" x14ac:dyDescent="0.2">
      <c r="A1333">
        <v>45992</v>
      </c>
      <c r="B1333" t="s">
        <v>213</v>
      </c>
      <c r="C1333" t="s">
        <v>14</v>
      </c>
      <c r="D1333">
        <v>2</v>
      </c>
      <c r="E1333">
        <v>0</v>
      </c>
      <c r="F1333">
        <v>1</v>
      </c>
      <c r="G1333">
        <f>IF(Table3[[#This Row],[Service_Window]]="Lunch",1,0)</f>
        <v>0</v>
      </c>
    </row>
    <row r="1334" spans="1:7" x14ac:dyDescent="0.2">
      <c r="A1334">
        <v>45992</v>
      </c>
      <c r="B1334" t="s">
        <v>213</v>
      </c>
      <c r="C1334" t="s">
        <v>14</v>
      </c>
      <c r="D1334">
        <v>5</v>
      </c>
      <c r="E1334">
        <v>0</v>
      </c>
      <c r="F1334">
        <v>1</v>
      </c>
      <c r="G1334">
        <f>IF(Table3[[#This Row],[Service_Window]]="Lunch",1,0)</f>
        <v>0</v>
      </c>
    </row>
    <row r="1335" spans="1:7" x14ac:dyDescent="0.2">
      <c r="A1335">
        <v>45992</v>
      </c>
      <c r="B1335" t="s">
        <v>213</v>
      </c>
      <c r="C1335" t="s">
        <v>43</v>
      </c>
      <c r="D1335">
        <v>4</v>
      </c>
      <c r="E1335">
        <v>0</v>
      </c>
      <c r="F1335">
        <v>1</v>
      </c>
      <c r="G1335">
        <f>IF(Table3[[#This Row],[Service_Window]]="Lunch",1,0)</f>
        <v>1</v>
      </c>
    </row>
    <row r="1336" spans="1:7" x14ac:dyDescent="0.2">
      <c r="A1336">
        <v>45992</v>
      </c>
      <c r="B1336" t="s">
        <v>213</v>
      </c>
      <c r="C1336" t="s">
        <v>43</v>
      </c>
      <c r="D1336">
        <v>4</v>
      </c>
      <c r="E1336">
        <v>0</v>
      </c>
      <c r="F1336">
        <v>1</v>
      </c>
      <c r="G1336">
        <f>IF(Table3[[#This Row],[Service_Window]]="Lunch",1,0)</f>
        <v>1</v>
      </c>
    </row>
    <row r="1337" spans="1:7" x14ac:dyDescent="0.2">
      <c r="A1337">
        <v>45992</v>
      </c>
      <c r="B1337" t="s">
        <v>213</v>
      </c>
      <c r="C1337" t="s">
        <v>43</v>
      </c>
      <c r="D1337">
        <v>2</v>
      </c>
      <c r="E1337">
        <v>0</v>
      </c>
      <c r="F1337">
        <v>1</v>
      </c>
      <c r="G1337">
        <f>IF(Table3[[#This Row],[Service_Window]]="Lunch",1,0)</f>
        <v>1</v>
      </c>
    </row>
    <row r="1338" spans="1:7" x14ac:dyDescent="0.2">
      <c r="A1338">
        <v>45992</v>
      </c>
      <c r="B1338" t="s">
        <v>213</v>
      </c>
      <c r="C1338" t="s">
        <v>43</v>
      </c>
      <c r="D1338">
        <v>3</v>
      </c>
      <c r="E1338">
        <v>0</v>
      </c>
      <c r="F1338">
        <v>1</v>
      </c>
      <c r="G1338">
        <f>IF(Table3[[#This Row],[Service_Window]]="Lunch",1,0)</f>
        <v>1</v>
      </c>
    </row>
    <row r="1339" spans="1:7" x14ac:dyDescent="0.2">
      <c r="A1339">
        <v>45993</v>
      </c>
      <c r="B1339" t="s">
        <v>250</v>
      </c>
      <c r="C1339" t="s">
        <v>14</v>
      </c>
      <c r="D1339">
        <v>2</v>
      </c>
      <c r="E1339">
        <v>0</v>
      </c>
      <c r="F1339">
        <v>2</v>
      </c>
      <c r="G1339">
        <f>IF(Table3[[#This Row],[Service_Window]]="Lunch",1,0)</f>
        <v>0</v>
      </c>
    </row>
    <row r="1340" spans="1:7" x14ac:dyDescent="0.2">
      <c r="A1340">
        <v>45993</v>
      </c>
      <c r="B1340" t="s">
        <v>250</v>
      </c>
      <c r="C1340" t="s">
        <v>14</v>
      </c>
      <c r="D1340">
        <v>1</v>
      </c>
      <c r="E1340">
        <v>0</v>
      </c>
      <c r="F1340">
        <v>2</v>
      </c>
      <c r="G1340">
        <f>IF(Table3[[#This Row],[Service_Window]]="Lunch",1,0)</f>
        <v>0</v>
      </c>
    </row>
    <row r="1341" spans="1:7" x14ac:dyDescent="0.2">
      <c r="A1341">
        <v>45993</v>
      </c>
      <c r="B1341" t="s">
        <v>250</v>
      </c>
      <c r="C1341" t="s">
        <v>14</v>
      </c>
      <c r="D1341">
        <v>1</v>
      </c>
      <c r="E1341">
        <v>0</v>
      </c>
      <c r="F1341">
        <v>2</v>
      </c>
      <c r="G1341">
        <f>IF(Table3[[#This Row],[Service_Window]]="Lunch",1,0)</f>
        <v>0</v>
      </c>
    </row>
    <row r="1342" spans="1:7" x14ac:dyDescent="0.2">
      <c r="A1342">
        <v>45993</v>
      </c>
      <c r="B1342" t="s">
        <v>250</v>
      </c>
      <c r="C1342" t="s">
        <v>14</v>
      </c>
      <c r="D1342">
        <v>2</v>
      </c>
      <c r="E1342">
        <v>0</v>
      </c>
      <c r="F1342">
        <v>2</v>
      </c>
      <c r="G1342">
        <f>IF(Table3[[#This Row],[Service_Window]]="Lunch",1,0)</f>
        <v>0</v>
      </c>
    </row>
    <row r="1343" spans="1:7" x14ac:dyDescent="0.2">
      <c r="A1343">
        <v>45993</v>
      </c>
      <c r="B1343" t="s">
        <v>250</v>
      </c>
      <c r="C1343" t="s">
        <v>14</v>
      </c>
      <c r="D1343">
        <v>6</v>
      </c>
      <c r="E1343">
        <v>0</v>
      </c>
      <c r="F1343">
        <v>2</v>
      </c>
      <c r="G1343">
        <f>IF(Table3[[#This Row],[Service_Window]]="Lunch",1,0)</f>
        <v>0</v>
      </c>
    </row>
    <row r="1344" spans="1:7" x14ac:dyDescent="0.2">
      <c r="A1344">
        <v>45993</v>
      </c>
      <c r="B1344" t="s">
        <v>250</v>
      </c>
      <c r="C1344" t="s">
        <v>14</v>
      </c>
      <c r="D1344">
        <v>2</v>
      </c>
      <c r="E1344">
        <v>0</v>
      </c>
      <c r="F1344">
        <v>2</v>
      </c>
      <c r="G1344">
        <f>IF(Table3[[#This Row],[Service_Window]]="Lunch",1,0)</f>
        <v>0</v>
      </c>
    </row>
    <row r="1345" spans="1:7" x14ac:dyDescent="0.2">
      <c r="A1345">
        <v>45993</v>
      </c>
      <c r="B1345" t="s">
        <v>250</v>
      </c>
      <c r="C1345" t="s">
        <v>14</v>
      </c>
      <c r="D1345">
        <v>1</v>
      </c>
      <c r="E1345">
        <v>0</v>
      </c>
      <c r="F1345">
        <v>2</v>
      </c>
      <c r="G1345">
        <f>IF(Table3[[#This Row],[Service_Window]]="Lunch",1,0)</f>
        <v>0</v>
      </c>
    </row>
    <row r="1346" spans="1:7" x14ac:dyDescent="0.2">
      <c r="A1346">
        <v>45993</v>
      </c>
      <c r="B1346" t="s">
        <v>250</v>
      </c>
      <c r="C1346" t="s">
        <v>14</v>
      </c>
      <c r="D1346">
        <v>1</v>
      </c>
      <c r="E1346">
        <v>0</v>
      </c>
      <c r="F1346">
        <v>2</v>
      </c>
      <c r="G1346">
        <f>IF(Table3[[#This Row],[Service_Window]]="Lunch",1,0)</f>
        <v>0</v>
      </c>
    </row>
    <row r="1347" spans="1:7" x14ac:dyDescent="0.2">
      <c r="A1347">
        <v>45993</v>
      </c>
      <c r="B1347" t="s">
        <v>250</v>
      </c>
      <c r="C1347" t="s">
        <v>14</v>
      </c>
      <c r="D1347">
        <v>3</v>
      </c>
      <c r="E1347">
        <v>0</v>
      </c>
      <c r="F1347">
        <v>2</v>
      </c>
      <c r="G1347">
        <f>IF(Table3[[#This Row],[Service_Window]]="Lunch",1,0)</f>
        <v>0</v>
      </c>
    </row>
    <row r="1348" spans="1:7" x14ac:dyDescent="0.2">
      <c r="A1348">
        <v>45993</v>
      </c>
      <c r="B1348" t="s">
        <v>250</v>
      </c>
      <c r="C1348" t="s">
        <v>14</v>
      </c>
      <c r="D1348">
        <v>4</v>
      </c>
      <c r="E1348">
        <v>0</v>
      </c>
      <c r="F1348">
        <v>2</v>
      </c>
      <c r="G1348">
        <f>IF(Table3[[#This Row],[Service_Window]]="Lunch",1,0)</f>
        <v>0</v>
      </c>
    </row>
    <row r="1349" spans="1:7" x14ac:dyDescent="0.2">
      <c r="A1349">
        <v>45993</v>
      </c>
      <c r="B1349" t="s">
        <v>250</v>
      </c>
      <c r="C1349" t="s">
        <v>14</v>
      </c>
      <c r="D1349">
        <v>2</v>
      </c>
      <c r="E1349">
        <v>0</v>
      </c>
      <c r="F1349">
        <v>2</v>
      </c>
      <c r="G1349">
        <f>IF(Table3[[#This Row],[Service_Window]]="Lunch",1,0)</f>
        <v>0</v>
      </c>
    </row>
    <row r="1350" spans="1:7" x14ac:dyDescent="0.2">
      <c r="A1350">
        <v>45993</v>
      </c>
      <c r="B1350" t="s">
        <v>250</v>
      </c>
      <c r="C1350" t="s">
        <v>14</v>
      </c>
      <c r="D1350">
        <v>4</v>
      </c>
      <c r="E1350">
        <v>0</v>
      </c>
      <c r="F1350">
        <v>2</v>
      </c>
      <c r="G1350">
        <f>IF(Table3[[#This Row],[Service_Window]]="Lunch",1,0)</f>
        <v>0</v>
      </c>
    </row>
    <row r="1351" spans="1:7" x14ac:dyDescent="0.2">
      <c r="A1351">
        <v>45993</v>
      </c>
      <c r="B1351" t="s">
        <v>250</v>
      </c>
      <c r="C1351" t="s">
        <v>14</v>
      </c>
      <c r="D1351">
        <v>3</v>
      </c>
      <c r="E1351">
        <v>0</v>
      </c>
      <c r="F1351">
        <v>2</v>
      </c>
      <c r="G1351">
        <f>IF(Table3[[#This Row],[Service_Window]]="Lunch",1,0)</f>
        <v>0</v>
      </c>
    </row>
    <row r="1352" spans="1:7" x14ac:dyDescent="0.2">
      <c r="A1352">
        <v>45993</v>
      </c>
      <c r="B1352" t="s">
        <v>250</v>
      </c>
      <c r="C1352" t="s">
        <v>14</v>
      </c>
      <c r="D1352">
        <v>2</v>
      </c>
      <c r="E1352">
        <v>0</v>
      </c>
      <c r="F1352">
        <v>2</v>
      </c>
      <c r="G1352">
        <f>IF(Table3[[#This Row],[Service_Window]]="Lunch",1,0)</f>
        <v>0</v>
      </c>
    </row>
    <row r="1353" spans="1:7" x14ac:dyDescent="0.2">
      <c r="A1353">
        <v>45993</v>
      </c>
      <c r="B1353" t="s">
        <v>250</v>
      </c>
      <c r="C1353" t="s">
        <v>14</v>
      </c>
      <c r="D1353">
        <v>6</v>
      </c>
      <c r="E1353">
        <v>0</v>
      </c>
      <c r="F1353">
        <v>2</v>
      </c>
      <c r="G1353">
        <f>IF(Table3[[#This Row],[Service_Window]]="Lunch",1,0)</f>
        <v>0</v>
      </c>
    </row>
    <row r="1354" spans="1:7" x14ac:dyDescent="0.2">
      <c r="A1354">
        <v>45993</v>
      </c>
      <c r="B1354" t="s">
        <v>250</v>
      </c>
      <c r="C1354" t="s">
        <v>14</v>
      </c>
      <c r="D1354">
        <v>3</v>
      </c>
      <c r="E1354">
        <v>0</v>
      </c>
      <c r="F1354">
        <v>2</v>
      </c>
      <c r="G1354">
        <f>IF(Table3[[#This Row],[Service_Window]]="Lunch",1,0)</f>
        <v>0</v>
      </c>
    </row>
    <row r="1355" spans="1:7" x14ac:dyDescent="0.2">
      <c r="A1355">
        <v>45993</v>
      </c>
      <c r="B1355" t="s">
        <v>250</v>
      </c>
      <c r="C1355" t="s">
        <v>14</v>
      </c>
      <c r="D1355">
        <v>6</v>
      </c>
      <c r="E1355">
        <v>0</v>
      </c>
      <c r="F1355">
        <v>2</v>
      </c>
      <c r="G1355">
        <f>IF(Table3[[#This Row],[Service_Window]]="Lunch",1,0)</f>
        <v>0</v>
      </c>
    </row>
    <row r="1356" spans="1:7" x14ac:dyDescent="0.2">
      <c r="A1356">
        <v>45993</v>
      </c>
      <c r="B1356" t="s">
        <v>250</v>
      </c>
      <c r="C1356" t="s">
        <v>14</v>
      </c>
      <c r="D1356">
        <v>2</v>
      </c>
      <c r="E1356">
        <v>0</v>
      </c>
      <c r="F1356">
        <v>2</v>
      </c>
      <c r="G1356">
        <f>IF(Table3[[#This Row],[Service_Window]]="Lunch",1,0)</f>
        <v>0</v>
      </c>
    </row>
    <row r="1357" spans="1:7" x14ac:dyDescent="0.2">
      <c r="A1357">
        <v>45993</v>
      </c>
      <c r="B1357" t="s">
        <v>250</v>
      </c>
      <c r="C1357" t="s">
        <v>14</v>
      </c>
      <c r="D1357">
        <v>3</v>
      </c>
      <c r="E1357">
        <v>0</v>
      </c>
      <c r="F1357">
        <v>2</v>
      </c>
      <c r="G1357">
        <f>IF(Table3[[#This Row],[Service_Window]]="Lunch",1,0)</f>
        <v>0</v>
      </c>
    </row>
    <row r="1358" spans="1:7" x14ac:dyDescent="0.2">
      <c r="A1358">
        <v>45993</v>
      </c>
      <c r="B1358" t="s">
        <v>250</v>
      </c>
      <c r="C1358" t="s">
        <v>14</v>
      </c>
      <c r="D1358">
        <v>1</v>
      </c>
      <c r="E1358">
        <v>0</v>
      </c>
      <c r="F1358">
        <v>2</v>
      </c>
      <c r="G1358">
        <f>IF(Table3[[#This Row],[Service_Window]]="Lunch",1,0)</f>
        <v>0</v>
      </c>
    </row>
    <row r="1359" spans="1:7" x14ac:dyDescent="0.2">
      <c r="A1359">
        <v>45993</v>
      </c>
      <c r="B1359" t="s">
        <v>250</v>
      </c>
      <c r="C1359" t="s">
        <v>14</v>
      </c>
      <c r="D1359">
        <v>1</v>
      </c>
      <c r="E1359">
        <v>0</v>
      </c>
      <c r="F1359">
        <v>2</v>
      </c>
      <c r="G1359">
        <f>IF(Table3[[#This Row],[Service_Window]]="Lunch",1,0)</f>
        <v>0</v>
      </c>
    </row>
    <row r="1360" spans="1:7" x14ac:dyDescent="0.2">
      <c r="A1360">
        <v>45993</v>
      </c>
      <c r="B1360" t="s">
        <v>250</v>
      </c>
      <c r="C1360" t="s">
        <v>14</v>
      </c>
      <c r="D1360">
        <v>2</v>
      </c>
      <c r="E1360">
        <v>0</v>
      </c>
      <c r="F1360">
        <v>2</v>
      </c>
      <c r="G1360">
        <f>IF(Table3[[#This Row],[Service_Window]]="Lunch",1,0)</f>
        <v>0</v>
      </c>
    </row>
    <row r="1361" spans="1:7" x14ac:dyDescent="0.2">
      <c r="A1361">
        <v>45993</v>
      </c>
      <c r="B1361" t="s">
        <v>250</v>
      </c>
      <c r="C1361" t="s">
        <v>14</v>
      </c>
      <c r="D1361">
        <v>2</v>
      </c>
      <c r="E1361">
        <v>0</v>
      </c>
      <c r="F1361">
        <v>2</v>
      </c>
      <c r="G1361">
        <f>IF(Table3[[#This Row],[Service_Window]]="Lunch",1,0)</f>
        <v>0</v>
      </c>
    </row>
    <row r="1362" spans="1:7" x14ac:dyDescent="0.2">
      <c r="A1362">
        <v>45993</v>
      </c>
      <c r="B1362" t="s">
        <v>250</v>
      </c>
      <c r="C1362" t="s">
        <v>43</v>
      </c>
      <c r="D1362">
        <v>1</v>
      </c>
      <c r="E1362">
        <v>0</v>
      </c>
      <c r="F1362">
        <v>2</v>
      </c>
      <c r="G1362">
        <f>IF(Table3[[#This Row],[Service_Window]]="Lunch",1,0)</f>
        <v>1</v>
      </c>
    </row>
    <row r="1363" spans="1:7" x14ac:dyDescent="0.2">
      <c r="A1363">
        <v>45993</v>
      </c>
      <c r="B1363" t="s">
        <v>250</v>
      </c>
      <c r="C1363" t="s">
        <v>43</v>
      </c>
      <c r="D1363">
        <v>2</v>
      </c>
      <c r="E1363">
        <v>0</v>
      </c>
      <c r="F1363">
        <v>2</v>
      </c>
      <c r="G1363">
        <f>IF(Table3[[#This Row],[Service_Window]]="Lunch",1,0)</f>
        <v>1</v>
      </c>
    </row>
    <row r="1364" spans="1:7" x14ac:dyDescent="0.2">
      <c r="A1364">
        <v>45993</v>
      </c>
      <c r="B1364" t="s">
        <v>250</v>
      </c>
      <c r="C1364" t="s">
        <v>43</v>
      </c>
      <c r="D1364">
        <v>5</v>
      </c>
      <c r="E1364">
        <v>0</v>
      </c>
      <c r="F1364">
        <v>2</v>
      </c>
      <c r="G1364">
        <f>IF(Table3[[#This Row],[Service_Window]]="Lunch",1,0)</f>
        <v>1</v>
      </c>
    </row>
    <row r="1365" spans="1:7" x14ac:dyDescent="0.2">
      <c r="A1365">
        <v>45993</v>
      </c>
      <c r="B1365" t="s">
        <v>250</v>
      </c>
      <c r="C1365" t="s">
        <v>43</v>
      </c>
      <c r="D1365">
        <v>3</v>
      </c>
      <c r="E1365">
        <v>0</v>
      </c>
      <c r="F1365">
        <v>2</v>
      </c>
      <c r="G1365">
        <f>IF(Table3[[#This Row],[Service_Window]]="Lunch",1,0)</f>
        <v>1</v>
      </c>
    </row>
    <row r="1366" spans="1:7" x14ac:dyDescent="0.2">
      <c r="A1366">
        <v>45993</v>
      </c>
      <c r="B1366" t="s">
        <v>250</v>
      </c>
      <c r="C1366" t="s">
        <v>43</v>
      </c>
      <c r="D1366">
        <v>2</v>
      </c>
      <c r="E1366">
        <v>0</v>
      </c>
      <c r="F1366">
        <v>2</v>
      </c>
      <c r="G1366">
        <f>IF(Table3[[#This Row],[Service_Window]]="Lunch",1,0)</f>
        <v>1</v>
      </c>
    </row>
    <row r="1367" spans="1:7" x14ac:dyDescent="0.2">
      <c r="A1367">
        <v>45994</v>
      </c>
      <c r="B1367" t="s">
        <v>13</v>
      </c>
      <c r="C1367" t="s">
        <v>14</v>
      </c>
      <c r="D1367">
        <v>2</v>
      </c>
      <c r="E1367">
        <v>0</v>
      </c>
      <c r="F1367">
        <v>3</v>
      </c>
      <c r="G1367">
        <f>IF(Table3[[#This Row],[Service_Window]]="Lunch",1,0)</f>
        <v>0</v>
      </c>
    </row>
    <row r="1368" spans="1:7" x14ac:dyDescent="0.2">
      <c r="A1368">
        <v>45994</v>
      </c>
      <c r="B1368" t="s">
        <v>13</v>
      </c>
      <c r="C1368" t="s">
        <v>14</v>
      </c>
      <c r="D1368">
        <v>3</v>
      </c>
      <c r="E1368">
        <v>0</v>
      </c>
      <c r="F1368">
        <v>3</v>
      </c>
      <c r="G1368">
        <f>IF(Table3[[#This Row],[Service_Window]]="Lunch",1,0)</f>
        <v>0</v>
      </c>
    </row>
    <row r="1369" spans="1:7" x14ac:dyDescent="0.2">
      <c r="A1369">
        <v>45994</v>
      </c>
      <c r="B1369" t="s">
        <v>13</v>
      </c>
      <c r="C1369" t="s">
        <v>14</v>
      </c>
      <c r="D1369">
        <v>2</v>
      </c>
      <c r="E1369">
        <v>0</v>
      </c>
      <c r="F1369">
        <v>3</v>
      </c>
      <c r="G1369">
        <f>IF(Table3[[#This Row],[Service_Window]]="Lunch",1,0)</f>
        <v>0</v>
      </c>
    </row>
    <row r="1370" spans="1:7" x14ac:dyDescent="0.2">
      <c r="A1370">
        <v>45994</v>
      </c>
      <c r="B1370" t="s">
        <v>13</v>
      </c>
      <c r="C1370" t="s">
        <v>14</v>
      </c>
      <c r="D1370">
        <v>3</v>
      </c>
      <c r="E1370">
        <v>0</v>
      </c>
      <c r="F1370">
        <v>3</v>
      </c>
      <c r="G1370">
        <f>IF(Table3[[#This Row],[Service_Window]]="Lunch",1,0)</f>
        <v>0</v>
      </c>
    </row>
    <row r="1371" spans="1:7" x14ac:dyDescent="0.2">
      <c r="A1371">
        <v>45994</v>
      </c>
      <c r="B1371" t="s">
        <v>13</v>
      </c>
      <c r="C1371" t="s">
        <v>14</v>
      </c>
      <c r="D1371">
        <v>6</v>
      </c>
      <c r="E1371">
        <v>0</v>
      </c>
      <c r="F1371">
        <v>3</v>
      </c>
      <c r="G1371">
        <f>IF(Table3[[#This Row],[Service_Window]]="Lunch",1,0)</f>
        <v>0</v>
      </c>
    </row>
    <row r="1372" spans="1:7" x14ac:dyDescent="0.2">
      <c r="A1372">
        <v>45994</v>
      </c>
      <c r="B1372" t="s">
        <v>13</v>
      </c>
      <c r="C1372" t="s">
        <v>14</v>
      </c>
      <c r="D1372">
        <v>6</v>
      </c>
      <c r="E1372">
        <v>0</v>
      </c>
      <c r="F1372">
        <v>3</v>
      </c>
      <c r="G1372">
        <f>IF(Table3[[#This Row],[Service_Window]]="Lunch",1,0)</f>
        <v>0</v>
      </c>
    </row>
    <row r="1373" spans="1:7" x14ac:dyDescent="0.2">
      <c r="A1373">
        <v>45994</v>
      </c>
      <c r="B1373" t="s">
        <v>13</v>
      </c>
      <c r="C1373" t="s">
        <v>14</v>
      </c>
      <c r="D1373">
        <v>2</v>
      </c>
      <c r="E1373">
        <v>0</v>
      </c>
      <c r="F1373">
        <v>3</v>
      </c>
      <c r="G1373">
        <f>IF(Table3[[#This Row],[Service_Window]]="Lunch",1,0)</f>
        <v>0</v>
      </c>
    </row>
    <row r="1374" spans="1:7" x14ac:dyDescent="0.2">
      <c r="A1374">
        <v>45994</v>
      </c>
      <c r="B1374" t="s">
        <v>13</v>
      </c>
      <c r="C1374" t="s">
        <v>14</v>
      </c>
      <c r="D1374">
        <v>3</v>
      </c>
      <c r="E1374">
        <v>0</v>
      </c>
      <c r="F1374">
        <v>3</v>
      </c>
      <c r="G1374">
        <f>IF(Table3[[#This Row],[Service_Window]]="Lunch",1,0)</f>
        <v>0</v>
      </c>
    </row>
    <row r="1375" spans="1:7" x14ac:dyDescent="0.2">
      <c r="A1375">
        <v>45994</v>
      </c>
      <c r="B1375" t="s">
        <v>13</v>
      </c>
      <c r="C1375" t="s">
        <v>14</v>
      </c>
      <c r="D1375">
        <v>2</v>
      </c>
      <c r="E1375">
        <v>0</v>
      </c>
      <c r="F1375">
        <v>3</v>
      </c>
      <c r="G1375">
        <f>IF(Table3[[#This Row],[Service_Window]]="Lunch",1,0)</f>
        <v>0</v>
      </c>
    </row>
    <row r="1376" spans="1:7" x14ac:dyDescent="0.2">
      <c r="A1376">
        <v>45994</v>
      </c>
      <c r="B1376" t="s">
        <v>13</v>
      </c>
      <c r="C1376" t="s">
        <v>43</v>
      </c>
      <c r="D1376">
        <v>2</v>
      </c>
      <c r="E1376">
        <v>1</v>
      </c>
      <c r="F1376">
        <v>3</v>
      </c>
      <c r="G1376">
        <f>IF(Table3[[#This Row],[Service_Window]]="Lunch",1,0)</f>
        <v>1</v>
      </c>
    </row>
    <row r="1377" spans="1:7" x14ac:dyDescent="0.2">
      <c r="A1377">
        <v>45994</v>
      </c>
      <c r="B1377" t="s">
        <v>13</v>
      </c>
      <c r="C1377" t="s">
        <v>43</v>
      </c>
      <c r="D1377">
        <v>5</v>
      </c>
      <c r="E1377">
        <v>0</v>
      </c>
      <c r="F1377">
        <v>3</v>
      </c>
      <c r="G1377">
        <f>IF(Table3[[#This Row],[Service_Window]]="Lunch",1,0)</f>
        <v>1</v>
      </c>
    </row>
    <row r="1378" spans="1:7" x14ac:dyDescent="0.2">
      <c r="A1378">
        <v>45994</v>
      </c>
      <c r="B1378" t="s">
        <v>13</v>
      </c>
      <c r="C1378" t="s">
        <v>43</v>
      </c>
      <c r="D1378">
        <v>3</v>
      </c>
      <c r="E1378">
        <v>1</v>
      </c>
      <c r="F1378">
        <v>3</v>
      </c>
      <c r="G1378">
        <f>IF(Table3[[#This Row],[Service_Window]]="Lunch",1,0)</f>
        <v>1</v>
      </c>
    </row>
    <row r="1379" spans="1:7" x14ac:dyDescent="0.2">
      <c r="A1379">
        <v>45994</v>
      </c>
      <c r="B1379" t="s">
        <v>13</v>
      </c>
      <c r="C1379" t="s">
        <v>43</v>
      </c>
      <c r="D1379">
        <v>4</v>
      </c>
      <c r="E1379">
        <v>1</v>
      </c>
      <c r="F1379">
        <v>3</v>
      </c>
      <c r="G1379">
        <f>IF(Table3[[#This Row],[Service_Window]]="Lunch",1,0)</f>
        <v>1</v>
      </c>
    </row>
    <row r="1380" spans="1:7" x14ac:dyDescent="0.2">
      <c r="A1380">
        <v>45994</v>
      </c>
      <c r="B1380" t="s">
        <v>13</v>
      </c>
      <c r="C1380" t="s">
        <v>43</v>
      </c>
      <c r="D1380">
        <v>4</v>
      </c>
      <c r="E1380">
        <v>1</v>
      </c>
      <c r="F1380">
        <v>3</v>
      </c>
      <c r="G1380">
        <f>IF(Table3[[#This Row],[Service_Window]]="Lunch",1,0)</f>
        <v>1</v>
      </c>
    </row>
    <row r="1381" spans="1:7" x14ac:dyDescent="0.2">
      <c r="A1381">
        <v>45994</v>
      </c>
      <c r="B1381" t="s">
        <v>13</v>
      </c>
      <c r="C1381" t="s">
        <v>43</v>
      </c>
      <c r="D1381">
        <v>2</v>
      </c>
      <c r="E1381">
        <v>0</v>
      </c>
      <c r="F1381">
        <v>3</v>
      </c>
      <c r="G1381">
        <f>IF(Table3[[#This Row],[Service_Window]]="Lunch",1,0)</f>
        <v>1</v>
      </c>
    </row>
    <row r="1382" spans="1:7" x14ac:dyDescent="0.2">
      <c r="A1382">
        <v>45994</v>
      </c>
      <c r="B1382" t="s">
        <v>13</v>
      </c>
      <c r="C1382" t="s">
        <v>43</v>
      </c>
      <c r="D1382">
        <v>6</v>
      </c>
      <c r="E1382">
        <v>0</v>
      </c>
      <c r="F1382">
        <v>3</v>
      </c>
      <c r="G1382">
        <f>IF(Table3[[#This Row],[Service_Window]]="Lunch",1,0)</f>
        <v>1</v>
      </c>
    </row>
    <row r="1383" spans="1:7" x14ac:dyDescent="0.2">
      <c r="A1383">
        <v>45994</v>
      </c>
      <c r="B1383" t="s">
        <v>13</v>
      </c>
      <c r="C1383" t="s">
        <v>43</v>
      </c>
      <c r="D1383">
        <v>1</v>
      </c>
      <c r="E1383">
        <v>0</v>
      </c>
      <c r="F1383">
        <v>3</v>
      </c>
      <c r="G1383">
        <f>IF(Table3[[#This Row],[Service_Window]]="Lunch",1,0)</f>
        <v>1</v>
      </c>
    </row>
    <row r="1384" spans="1:7" x14ac:dyDescent="0.2">
      <c r="A1384">
        <v>45994</v>
      </c>
      <c r="B1384" t="s">
        <v>13</v>
      </c>
      <c r="C1384" t="s">
        <v>43</v>
      </c>
      <c r="D1384">
        <v>2</v>
      </c>
      <c r="E1384">
        <v>1</v>
      </c>
      <c r="F1384">
        <v>3</v>
      </c>
      <c r="G1384">
        <f>IF(Table3[[#This Row],[Service_Window]]="Lunch",1,0)</f>
        <v>1</v>
      </c>
    </row>
    <row r="1385" spans="1:7" x14ac:dyDescent="0.2">
      <c r="A1385">
        <v>45995</v>
      </c>
      <c r="B1385" t="s">
        <v>62</v>
      </c>
      <c r="C1385" t="s">
        <v>14</v>
      </c>
      <c r="D1385">
        <v>4</v>
      </c>
      <c r="E1385">
        <v>0</v>
      </c>
      <c r="F1385">
        <v>4</v>
      </c>
      <c r="G1385">
        <f>IF(Table3[[#This Row],[Service_Window]]="Lunch",1,0)</f>
        <v>0</v>
      </c>
    </row>
    <row r="1386" spans="1:7" x14ac:dyDescent="0.2">
      <c r="A1386">
        <v>45995</v>
      </c>
      <c r="B1386" t="s">
        <v>62</v>
      </c>
      <c r="C1386" t="s">
        <v>14</v>
      </c>
      <c r="D1386">
        <v>2</v>
      </c>
      <c r="E1386">
        <v>0</v>
      </c>
      <c r="F1386">
        <v>4</v>
      </c>
      <c r="G1386">
        <f>IF(Table3[[#This Row],[Service_Window]]="Lunch",1,0)</f>
        <v>0</v>
      </c>
    </row>
    <row r="1387" spans="1:7" x14ac:dyDescent="0.2">
      <c r="A1387">
        <v>45995</v>
      </c>
      <c r="B1387" t="s">
        <v>62</v>
      </c>
      <c r="C1387" t="s">
        <v>14</v>
      </c>
      <c r="D1387">
        <v>5</v>
      </c>
      <c r="E1387">
        <v>0</v>
      </c>
      <c r="F1387">
        <v>4</v>
      </c>
      <c r="G1387">
        <f>IF(Table3[[#This Row],[Service_Window]]="Lunch",1,0)</f>
        <v>0</v>
      </c>
    </row>
    <row r="1388" spans="1:7" x14ac:dyDescent="0.2">
      <c r="A1388">
        <v>45995</v>
      </c>
      <c r="B1388" t="s">
        <v>62</v>
      </c>
      <c r="C1388" t="s">
        <v>14</v>
      </c>
      <c r="D1388">
        <v>3</v>
      </c>
      <c r="E1388">
        <v>0</v>
      </c>
      <c r="F1388">
        <v>4</v>
      </c>
      <c r="G1388">
        <f>IF(Table3[[#This Row],[Service_Window]]="Lunch",1,0)</f>
        <v>0</v>
      </c>
    </row>
    <row r="1389" spans="1:7" x14ac:dyDescent="0.2">
      <c r="A1389">
        <v>45995</v>
      </c>
      <c r="B1389" t="s">
        <v>62</v>
      </c>
      <c r="C1389" t="s">
        <v>14</v>
      </c>
      <c r="D1389">
        <v>2</v>
      </c>
      <c r="E1389">
        <v>0</v>
      </c>
      <c r="F1389">
        <v>4</v>
      </c>
      <c r="G1389">
        <f>IF(Table3[[#This Row],[Service_Window]]="Lunch",1,0)</f>
        <v>0</v>
      </c>
    </row>
    <row r="1390" spans="1:7" x14ac:dyDescent="0.2">
      <c r="A1390">
        <v>45995</v>
      </c>
      <c r="B1390" t="s">
        <v>62</v>
      </c>
      <c r="C1390" t="s">
        <v>14</v>
      </c>
      <c r="D1390">
        <v>4</v>
      </c>
      <c r="E1390">
        <v>0</v>
      </c>
      <c r="F1390">
        <v>4</v>
      </c>
      <c r="G1390">
        <f>IF(Table3[[#This Row],[Service_Window]]="Lunch",1,0)</f>
        <v>0</v>
      </c>
    </row>
    <row r="1391" spans="1:7" x14ac:dyDescent="0.2">
      <c r="A1391">
        <v>45995</v>
      </c>
      <c r="B1391" t="s">
        <v>62</v>
      </c>
      <c r="C1391" t="s">
        <v>14</v>
      </c>
      <c r="D1391">
        <v>3</v>
      </c>
      <c r="E1391">
        <v>0</v>
      </c>
      <c r="F1391">
        <v>4</v>
      </c>
      <c r="G1391">
        <f>IF(Table3[[#This Row],[Service_Window]]="Lunch",1,0)</f>
        <v>0</v>
      </c>
    </row>
    <row r="1392" spans="1:7" x14ac:dyDescent="0.2">
      <c r="A1392">
        <v>45995</v>
      </c>
      <c r="B1392" t="s">
        <v>62</v>
      </c>
      <c r="C1392" t="s">
        <v>14</v>
      </c>
      <c r="D1392">
        <v>1</v>
      </c>
      <c r="E1392">
        <v>0</v>
      </c>
      <c r="F1392">
        <v>4</v>
      </c>
      <c r="G1392">
        <f>IF(Table3[[#This Row],[Service_Window]]="Lunch",1,0)</f>
        <v>0</v>
      </c>
    </row>
    <row r="1393" spans="1:7" x14ac:dyDescent="0.2">
      <c r="A1393">
        <v>45995</v>
      </c>
      <c r="B1393" t="s">
        <v>62</v>
      </c>
      <c r="C1393" t="s">
        <v>14</v>
      </c>
      <c r="D1393">
        <v>4</v>
      </c>
      <c r="E1393">
        <v>0</v>
      </c>
      <c r="F1393">
        <v>4</v>
      </c>
      <c r="G1393">
        <f>IF(Table3[[#This Row],[Service_Window]]="Lunch",1,0)</f>
        <v>0</v>
      </c>
    </row>
    <row r="1394" spans="1:7" x14ac:dyDescent="0.2">
      <c r="A1394">
        <v>45995</v>
      </c>
      <c r="B1394" t="s">
        <v>62</v>
      </c>
      <c r="C1394" t="s">
        <v>14</v>
      </c>
      <c r="D1394">
        <v>3</v>
      </c>
      <c r="E1394">
        <v>0</v>
      </c>
      <c r="F1394">
        <v>4</v>
      </c>
      <c r="G1394">
        <f>IF(Table3[[#This Row],[Service_Window]]="Lunch",1,0)</f>
        <v>0</v>
      </c>
    </row>
    <row r="1395" spans="1:7" x14ac:dyDescent="0.2">
      <c r="A1395">
        <v>45995</v>
      </c>
      <c r="B1395" t="s">
        <v>62</v>
      </c>
      <c r="C1395" t="s">
        <v>14</v>
      </c>
      <c r="D1395">
        <v>3</v>
      </c>
      <c r="E1395">
        <v>0</v>
      </c>
      <c r="F1395">
        <v>4</v>
      </c>
      <c r="G1395">
        <f>IF(Table3[[#This Row],[Service_Window]]="Lunch",1,0)</f>
        <v>0</v>
      </c>
    </row>
    <row r="1396" spans="1:7" x14ac:dyDescent="0.2">
      <c r="A1396">
        <v>45995</v>
      </c>
      <c r="B1396" t="s">
        <v>62</v>
      </c>
      <c r="C1396" t="s">
        <v>43</v>
      </c>
      <c r="D1396">
        <v>3</v>
      </c>
      <c r="E1396">
        <v>0</v>
      </c>
      <c r="F1396">
        <v>4</v>
      </c>
      <c r="G1396">
        <f>IF(Table3[[#This Row],[Service_Window]]="Lunch",1,0)</f>
        <v>1</v>
      </c>
    </row>
    <row r="1397" spans="1:7" x14ac:dyDescent="0.2">
      <c r="A1397">
        <v>45995</v>
      </c>
      <c r="B1397" t="s">
        <v>62</v>
      </c>
      <c r="C1397" t="s">
        <v>43</v>
      </c>
      <c r="D1397">
        <v>3</v>
      </c>
      <c r="E1397">
        <v>1</v>
      </c>
      <c r="F1397">
        <v>4</v>
      </c>
      <c r="G1397">
        <f>IF(Table3[[#This Row],[Service_Window]]="Lunch",1,0)</f>
        <v>1</v>
      </c>
    </row>
    <row r="1398" spans="1:7" x14ac:dyDescent="0.2">
      <c r="A1398">
        <v>45995</v>
      </c>
      <c r="B1398" t="s">
        <v>62</v>
      </c>
      <c r="C1398" t="s">
        <v>43</v>
      </c>
      <c r="D1398">
        <v>4</v>
      </c>
      <c r="E1398">
        <v>1</v>
      </c>
      <c r="F1398">
        <v>4</v>
      </c>
      <c r="G1398">
        <f>IF(Table3[[#This Row],[Service_Window]]="Lunch",1,0)</f>
        <v>1</v>
      </c>
    </row>
    <row r="1399" spans="1:7" x14ac:dyDescent="0.2">
      <c r="A1399">
        <v>45995</v>
      </c>
      <c r="B1399" t="s">
        <v>62</v>
      </c>
      <c r="C1399" t="s">
        <v>43</v>
      </c>
      <c r="D1399">
        <v>1</v>
      </c>
      <c r="E1399">
        <v>0</v>
      </c>
      <c r="F1399">
        <v>4</v>
      </c>
      <c r="G1399">
        <f>IF(Table3[[#This Row],[Service_Window]]="Lunch",1,0)</f>
        <v>1</v>
      </c>
    </row>
    <row r="1400" spans="1:7" x14ac:dyDescent="0.2">
      <c r="A1400">
        <v>45995</v>
      </c>
      <c r="B1400" t="s">
        <v>62</v>
      </c>
      <c r="C1400" t="s">
        <v>43</v>
      </c>
      <c r="D1400">
        <v>3</v>
      </c>
      <c r="E1400">
        <v>1</v>
      </c>
      <c r="F1400">
        <v>4</v>
      </c>
      <c r="G1400">
        <f>IF(Table3[[#This Row],[Service_Window]]="Lunch",1,0)</f>
        <v>1</v>
      </c>
    </row>
    <row r="1401" spans="1:7" x14ac:dyDescent="0.2">
      <c r="A1401">
        <v>45995</v>
      </c>
      <c r="B1401" t="s">
        <v>62</v>
      </c>
      <c r="C1401" t="s">
        <v>43</v>
      </c>
      <c r="D1401">
        <v>8</v>
      </c>
      <c r="E1401">
        <v>1</v>
      </c>
      <c r="F1401">
        <v>4</v>
      </c>
      <c r="G1401">
        <f>IF(Table3[[#This Row],[Service_Window]]="Lunch",1,0)</f>
        <v>1</v>
      </c>
    </row>
    <row r="1402" spans="1:7" x14ac:dyDescent="0.2">
      <c r="A1402">
        <v>45995</v>
      </c>
      <c r="B1402" t="s">
        <v>62</v>
      </c>
      <c r="C1402" t="s">
        <v>43</v>
      </c>
      <c r="D1402">
        <v>4</v>
      </c>
      <c r="E1402">
        <v>0</v>
      </c>
      <c r="F1402">
        <v>4</v>
      </c>
      <c r="G1402">
        <f>IF(Table3[[#This Row],[Service_Window]]="Lunch",1,0)</f>
        <v>1</v>
      </c>
    </row>
    <row r="1403" spans="1:7" x14ac:dyDescent="0.2">
      <c r="A1403">
        <v>45995</v>
      </c>
      <c r="B1403" t="s">
        <v>62</v>
      </c>
      <c r="C1403" t="s">
        <v>43</v>
      </c>
      <c r="D1403">
        <v>1</v>
      </c>
      <c r="E1403">
        <v>0</v>
      </c>
      <c r="F1403">
        <v>4</v>
      </c>
      <c r="G1403">
        <f>IF(Table3[[#This Row],[Service_Window]]="Lunch",1,0)</f>
        <v>1</v>
      </c>
    </row>
    <row r="1404" spans="1:7" x14ac:dyDescent="0.2">
      <c r="A1404">
        <v>45995</v>
      </c>
      <c r="B1404" t="s">
        <v>62</v>
      </c>
      <c r="C1404" t="s">
        <v>43</v>
      </c>
      <c r="D1404">
        <v>4</v>
      </c>
      <c r="E1404">
        <v>1</v>
      </c>
      <c r="F1404">
        <v>4</v>
      </c>
      <c r="G1404">
        <f>IF(Table3[[#This Row],[Service_Window]]="Lunch",1,0)</f>
        <v>1</v>
      </c>
    </row>
    <row r="1405" spans="1:7" x14ac:dyDescent="0.2">
      <c r="A1405">
        <v>45996</v>
      </c>
      <c r="B1405" t="s">
        <v>96</v>
      </c>
      <c r="C1405" t="s">
        <v>14</v>
      </c>
      <c r="D1405">
        <v>3</v>
      </c>
      <c r="E1405">
        <v>0</v>
      </c>
      <c r="F1405">
        <v>5</v>
      </c>
      <c r="G1405">
        <f>IF(Table3[[#This Row],[Service_Window]]="Lunch",1,0)</f>
        <v>0</v>
      </c>
    </row>
    <row r="1406" spans="1:7" x14ac:dyDescent="0.2">
      <c r="A1406">
        <v>45996</v>
      </c>
      <c r="B1406" t="s">
        <v>96</v>
      </c>
      <c r="C1406" t="s">
        <v>14</v>
      </c>
      <c r="D1406">
        <v>4</v>
      </c>
      <c r="E1406">
        <v>0</v>
      </c>
      <c r="F1406">
        <v>5</v>
      </c>
      <c r="G1406">
        <f>IF(Table3[[#This Row],[Service_Window]]="Lunch",1,0)</f>
        <v>0</v>
      </c>
    </row>
    <row r="1407" spans="1:7" x14ac:dyDescent="0.2">
      <c r="A1407">
        <v>45996</v>
      </c>
      <c r="B1407" t="s">
        <v>96</v>
      </c>
      <c r="C1407" t="s">
        <v>14</v>
      </c>
      <c r="D1407">
        <v>4</v>
      </c>
      <c r="E1407">
        <v>0</v>
      </c>
      <c r="F1407">
        <v>5</v>
      </c>
      <c r="G1407">
        <f>IF(Table3[[#This Row],[Service_Window]]="Lunch",1,0)</f>
        <v>0</v>
      </c>
    </row>
    <row r="1408" spans="1:7" x14ac:dyDescent="0.2">
      <c r="A1408">
        <v>45996</v>
      </c>
      <c r="B1408" t="s">
        <v>96</v>
      </c>
      <c r="C1408" t="s">
        <v>14</v>
      </c>
      <c r="D1408">
        <v>2</v>
      </c>
      <c r="E1408">
        <v>0</v>
      </c>
      <c r="F1408">
        <v>5</v>
      </c>
      <c r="G1408">
        <f>IF(Table3[[#This Row],[Service_Window]]="Lunch",1,0)</f>
        <v>0</v>
      </c>
    </row>
    <row r="1409" spans="1:7" x14ac:dyDescent="0.2">
      <c r="A1409">
        <v>45996</v>
      </c>
      <c r="B1409" t="s">
        <v>96</v>
      </c>
      <c r="C1409" t="s">
        <v>14</v>
      </c>
      <c r="D1409">
        <v>5</v>
      </c>
      <c r="E1409">
        <v>0</v>
      </c>
      <c r="F1409">
        <v>5</v>
      </c>
      <c r="G1409">
        <f>IF(Table3[[#This Row],[Service_Window]]="Lunch",1,0)</f>
        <v>0</v>
      </c>
    </row>
    <row r="1410" spans="1:7" x14ac:dyDescent="0.2">
      <c r="A1410">
        <v>45996</v>
      </c>
      <c r="B1410" t="s">
        <v>96</v>
      </c>
      <c r="C1410" t="s">
        <v>43</v>
      </c>
      <c r="D1410">
        <v>5</v>
      </c>
      <c r="E1410">
        <v>1</v>
      </c>
      <c r="F1410">
        <v>5</v>
      </c>
      <c r="G1410">
        <f>IF(Table3[[#This Row],[Service_Window]]="Lunch",1,0)</f>
        <v>1</v>
      </c>
    </row>
    <row r="1411" spans="1:7" x14ac:dyDescent="0.2">
      <c r="A1411">
        <v>45996</v>
      </c>
      <c r="B1411" t="s">
        <v>96</v>
      </c>
      <c r="C1411" t="s">
        <v>43</v>
      </c>
      <c r="D1411">
        <v>1</v>
      </c>
      <c r="E1411">
        <v>1</v>
      </c>
      <c r="F1411">
        <v>5</v>
      </c>
      <c r="G1411">
        <f>IF(Table3[[#This Row],[Service_Window]]="Lunch",1,0)</f>
        <v>1</v>
      </c>
    </row>
    <row r="1412" spans="1:7" x14ac:dyDescent="0.2">
      <c r="A1412">
        <v>45996</v>
      </c>
      <c r="B1412" t="s">
        <v>96</v>
      </c>
      <c r="C1412" t="s">
        <v>43</v>
      </c>
      <c r="D1412">
        <v>4</v>
      </c>
      <c r="E1412">
        <v>0</v>
      </c>
      <c r="F1412">
        <v>5</v>
      </c>
      <c r="G1412">
        <f>IF(Table3[[#This Row],[Service_Window]]="Lunch",1,0)</f>
        <v>1</v>
      </c>
    </row>
    <row r="1413" spans="1:7" x14ac:dyDescent="0.2">
      <c r="A1413">
        <v>45996</v>
      </c>
      <c r="B1413" t="s">
        <v>96</v>
      </c>
      <c r="C1413" t="s">
        <v>43</v>
      </c>
      <c r="D1413">
        <v>5</v>
      </c>
      <c r="E1413">
        <v>1</v>
      </c>
      <c r="F1413">
        <v>5</v>
      </c>
      <c r="G1413">
        <f>IF(Table3[[#This Row],[Service_Window]]="Lunch",1,0)</f>
        <v>1</v>
      </c>
    </row>
    <row r="1414" spans="1:7" x14ac:dyDescent="0.2">
      <c r="A1414">
        <v>45996</v>
      </c>
      <c r="B1414" t="s">
        <v>96</v>
      </c>
      <c r="C1414" t="s">
        <v>43</v>
      </c>
      <c r="D1414">
        <v>1</v>
      </c>
      <c r="E1414">
        <v>1</v>
      </c>
      <c r="F1414">
        <v>5</v>
      </c>
      <c r="G1414">
        <f>IF(Table3[[#This Row],[Service_Window]]="Lunch",1,0)</f>
        <v>1</v>
      </c>
    </row>
    <row r="1415" spans="1:7" x14ac:dyDescent="0.2">
      <c r="A1415">
        <v>45996</v>
      </c>
      <c r="B1415" t="s">
        <v>96</v>
      </c>
      <c r="C1415" t="s">
        <v>43</v>
      </c>
      <c r="D1415">
        <v>1</v>
      </c>
      <c r="E1415">
        <v>1</v>
      </c>
      <c r="F1415">
        <v>5</v>
      </c>
      <c r="G1415">
        <f>IF(Table3[[#This Row],[Service_Window]]="Lunch",1,0)</f>
        <v>1</v>
      </c>
    </row>
    <row r="1416" spans="1:7" x14ac:dyDescent="0.2">
      <c r="A1416">
        <v>45996</v>
      </c>
      <c r="B1416" t="s">
        <v>96</v>
      </c>
      <c r="C1416" t="s">
        <v>43</v>
      </c>
      <c r="D1416">
        <v>4</v>
      </c>
      <c r="E1416">
        <v>0</v>
      </c>
      <c r="F1416">
        <v>5</v>
      </c>
      <c r="G1416">
        <f>IF(Table3[[#This Row],[Service_Window]]="Lunch",1,0)</f>
        <v>1</v>
      </c>
    </row>
    <row r="1417" spans="1:7" x14ac:dyDescent="0.2">
      <c r="A1417">
        <v>45996</v>
      </c>
      <c r="B1417" t="s">
        <v>96</v>
      </c>
      <c r="C1417" t="s">
        <v>43</v>
      </c>
      <c r="D1417">
        <v>3</v>
      </c>
      <c r="E1417">
        <v>0</v>
      </c>
      <c r="F1417">
        <v>5</v>
      </c>
      <c r="G1417">
        <f>IF(Table3[[#This Row],[Service_Window]]="Lunch",1,0)</f>
        <v>1</v>
      </c>
    </row>
    <row r="1418" spans="1:7" x14ac:dyDescent="0.2">
      <c r="A1418">
        <v>45996</v>
      </c>
      <c r="B1418" t="s">
        <v>96</v>
      </c>
      <c r="C1418" t="s">
        <v>43</v>
      </c>
      <c r="D1418">
        <v>1</v>
      </c>
      <c r="E1418">
        <v>0</v>
      </c>
      <c r="F1418">
        <v>5</v>
      </c>
      <c r="G1418">
        <f>IF(Table3[[#This Row],[Service_Window]]="Lunch",1,0)</f>
        <v>1</v>
      </c>
    </row>
    <row r="1419" spans="1:7" x14ac:dyDescent="0.2">
      <c r="A1419">
        <v>45996</v>
      </c>
      <c r="B1419" t="s">
        <v>96</v>
      </c>
      <c r="C1419" t="s">
        <v>43</v>
      </c>
      <c r="D1419">
        <v>3</v>
      </c>
      <c r="E1419">
        <v>0</v>
      </c>
      <c r="F1419">
        <v>5</v>
      </c>
      <c r="G1419">
        <f>IF(Table3[[#This Row],[Service_Window]]="Lunch",1,0)</f>
        <v>1</v>
      </c>
    </row>
    <row r="1420" spans="1:7" x14ac:dyDescent="0.2">
      <c r="A1420">
        <v>45996</v>
      </c>
      <c r="B1420" t="s">
        <v>96</v>
      </c>
      <c r="C1420" t="s">
        <v>43</v>
      </c>
      <c r="D1420">
        <v>2</v>
      </c>
      <c r="E1420">
        <v>0</v>
      </c>
      <c r="F1420">
        <v>5</v>
      </c>
      <c r="G1420">
        <f>IF(Table3[[#This Row],[Service_Window]]="Lunch",1,0)</f>
        <v>1</v>
      </c>
    </row>
    <row r="1421" spans="1:7" x14ac:dyDescent="0.2">
      <c r="A1421">
        <v>45996</v>
      </c>
      <c r="B1421" t="s">
        <v>96</v>
      </c>
      <c r="C1421" t="s">
        <v>43</v>
      </c>
      <c r="D1421">
        <v>7</v>
      </c>
      <c r="E1421">
        <v>0</v>
      </c>
      <c r="F1421">
        <v>5</v>
      </c>
      <c r="G1421">
        <f>IF(Table3[[#This Row],[Service_Window]]="Lunch",1,0)</f>
        <v>1</v>
      </c>
    </row>
    <row r="1422" spans="1:7" x14ac:dyDescent="0.2">
      <c r="A1422">
        <v>45996</v>
      </c>
      <c r="B1422" t="s">
        <v>96</v>
      </c>
      <c r="C1422" t="s">
        <v>43</v>
      </c>
      <c r="D1422">
        <v>3</v>
      </c>
      <c r="E1422">
        <v>0</v>
      </c>
      <c r="F1422">
        <v>5</v>
      </c>
      <c r="G1422">
        <f>IF(Table3[[#This Row],[Service_Window]]="Lunch",1,0)</f>
        <v>1</v>
      </c>
    </row>
    <row r="1423" spans="1:7" x14ac:dyDescent="0.2">
      <c r="A1423">
        <v>45996</v>
      </c>
      <c r="B1423" t="s">
        <v>96</v>
      </c>
      <c r="C1423" t="s">
        <v>43</v>
      </c>
      <c r="D1423">
        <v>5</v>
      </c>
      <c r="E1423">
        <v>1</v>
      </c>
      <c r="F1423">
        <v>5</v>
      </c>
      <c r="G1423">
        <f>IF(Table3[[#This Row],[Service_Window]]="Lunch",1,0)</f>
        <v>1</v>
      </c>
    </row>
    <row r="1424" spans="1:7" x14ac:dyDescent="0.2">
      <c r="A1424">
        <v>45997</v>
      </c>
      <c r="B1424" t="s">
        <v>127</v>
      </c>
      <c r="C1424" t="s">
        <v>14</v>
      </c>
      <c r="D1424">
        <v>4</v>
      </c>
      <c r="E1424">
        <v>0</v>
      </c>
      <c r="F1424">
        <v>6</v>
      </c>
      <c r="G1424">
        <f>IF(Table3[[#This Row],[Service_Window]]="Lunch",1,0)</f>
        <v>0</v>
      </c>
    </row>
    <row r="1425" spans="1:7" x14ac:dyDescent="0.2">
      <c r="A1425">
        <v>45997</v>
      </c>
      <c r="B1425" t="s">
        <v>127</v>
      </c>
      <c r="C1425" t="s">
        <v>14</v>
      </c>
      <c r="D1425">
        <v>6</v>
      </c>
      <c r="E1425">
        <v>0</v>
      </c>
      <c r="F1425">
        <v>6</v>
      </c>
      <c r="G1425">
        <f>IF(Table3[[#This Row],[Service_Window]]="Lunch",1,0)</f>
        <v>0</v>
      </c>
    </row>
    <row r="1426" spans="1:7" x14ac:dyDescent="0.2">
      <c r="A1426">
        <v>45997</v>
      </c>
      <c r="B1426" t="s">
        <v>127</v>
      </c>
      <c r="C1426" t="s">
        <v>14</v>
      </c>
      <c r="D1426">
        <v>3</v>
      </c>
      <c r="E1426">
        <v>0</v>
      </c>
      <c r="F1426">
        <v>6</v>
      </c>
      <c r="G1426">
        <f>IF(Table3[[#This Row],[Service_Window]]="Lunch",1,0)</f>
        <v>0</v>
      </c>
    </row>
    <row r="1427" spans="1:7" x14ac:dyDescent="0.2">
      <c r="A1427">
        <v>45997</v>
      </c>
      <c r="B1427" t="s">
        <v>127</v>
      </c>
      <c r="C1427" t="s">
        <v>14</v>
      </c>
      <c r="D1427">
        <v>4</v>
      </c>
      <c r="E1427">
        <v>0</v>
      </c>
      <c r="F1427">
        <v>6</v>
      </c>
      <c r="G1427">
        <f>IF(Table3[[#This Row],[Service_Window]]="Lunch",1,0)</f>
        <v>0</v>
      </c>
    </row>
    <row r="1428" spans="1:7" x14ac:dyDescent="0.2">
      <c r="A1428">
        <v>45997</v>
      </c>
      <c r="B1428" t="s">
        <v>127</v>
      </c>
      <c r="C1428" t="s">
        <v>14</v>
      </c>
      <c r="D1428">
        <v>4</v>
      </c>
      <c r="E1428">
        <v>0</v>
      </c>
      <c r="F1428">
        <v>6</v>
      </c>
      <c r="G1428">
        <f>IF(Table3[[#This Row],[Service_Window]]="Lunch",1,0)</f>
        <v>0</v>
      </c>
    </row>
    <row r="1429" spans="1:7" x14ac:dyDescent="0.2">
      <c r="A1429">
        <v>45997</v>
      </c>
      <c r="B1429" t="s">
        <v>127</v>
      </c>
      <c r="C1429" t="s">
        <v>14</v>
      </c>
      <c r="D1429">
        <v>3</v>
      </c>
      <c r="E1429">
        <v>0</v>
      </c>
      <c r="F1429">
        <v>6</v>
      </c>
      <c r="G1429">
        <f>IF(Table3[[#This Row],[Service_Window]]="Lunch",1,0)</f>
        <v>0</v>
      </c>
    </row>
    <row r="1430" spans="1:7" x14ac:dyDescent="0.2">
      <c r="A1430">
        <v>45997</v>
      </c>
      <c r="B1430" t="s">
        <v>127</v>
      </c>
      <c r="C1430" t="s">
        <v>14</v>
      </c>
      <c r="D1430">
        <v>4</v>
      </c>
      <c r="E1430">
        <v>0</v>
      </c>
      <c r="F1430">
        <v>6</v>
      </c>
      <c r="G1430">
        <f>IF(Table3[[#This Row],[Service_Window]]="Lunch",1,0)</f>
        <v>0</v>
      </c>
    </row>
    <row r="1431" spans="1:7" x14ac:dyDescent="0.2">
      <c r="A1431">
        <v>45997</v>
      </c>
      <c r="B1431" t="s">
        <v>127</v>
      </c>
      <c r="C1431" t="s">
        <v>14</v>
      </c>
      <c r="D1431">
        <v>2</v>
      </c>
      <c r="E1431">
        <v>0</v>
      </c>
      <c r="F1431">
        <v>6</v>
      </c>
      <c r="G1431">
        <f>IF(Table3[[#This Row],[Service_Window]]="Lunch",1,0)</f>
        <v>0</v>
      </c>
    </row>
    <row r="1432" spans="1:7" x14ac:dyDescent="0.2">
      <c r="A1432">
        <v>45997</v>
      </c>
      <c r="B1432" t="s">
        <v>127</v>
      </c>
      <c r="C1432" t="s">
        <v>14</v>
      </c>
      <c r="D1432">
        <v>4</v>
      </c>
      <c r="E1432">
        <v>0</v>
      </c>
      <c r="F1432">
        <v>6</v>
      </c>
      <c r="G1432">
        <f>IF(Table3[[#This Row],[Service_Window]]="Lunch",1,0)</f>
        <v>0</v>
      </c>
    </row>
    <row r="1433" spans="1:7" x14ac:dyDescent="0.2">
      <c r="A1433">
        <v>45997</v>
      </c>
      <c r="B1433" t="s">
        <v>127</v>
      </c>
      <c r="C1433" t="s">
        <v>14</v>
      </c>
      <c r="D1433">
        <v>2</v>
      </c>
      <c r="E1433">
        <v>0</v>
      </c>
      <c r="F1433">
        <v>6</v>
      </c>
      <c r="G1433">
        <f>IF(Table3[[#This Row],[Service_Window]]="Lunch",1,0)</f>
        <v>0</v>
      </c>
    </row>
    <row r="1434" spans="1:7" x14ac:dyDescent="0.2">
      <c r="A1434">
        <v>45997</v>
      </c>
      <c r="B1434" t="s">
        <v>127</v>
      </c>
      <c r="C1434" t="s">
        <v>14</v>
      </c>
      <c r="D1434">
        <v>4</v>
      </c>
      <c r="E1434">
        <v>0</v>
      </c>
      <c r="F1434">
        <v>6</v>
      </c>
      <c r="G1434">
        <f>IF(Table3[[#This Row],[Service_Window]]="Lunch",1,0)</f>
        <v>0</v>
      </c>
    </row>
    <row r="1435" spans="1:7" x14ac:dyDescent="0.2">
      <c r="A1435">
        <v>45997</v>
      </c>
      <c r="B1435" t="s">
        <v>127</v>
      </c>
      <c r="C1435" t="s">
        <v>14</v>
      </c>
      <c r="D1435">
        <v>2</v>
      </c>
      <c r="E1435">
        <v>0</v>
      </c>
      <c r="F1435">
        <v>6</v>
      </c>
      <c r="G1435">
        <f>IF(Table3[[#This Row],[Service_Window]]="Lunch",1,0)</f>
        <v>0</v>
      </c>
    </row>
    <row r="1436" spans="1:7" x14ac:dyDescent="0.2">
      <c r="A1436">
        <v>45997</v>
      </c>
      <c r="B1436" t="s">
        <v>127</v>
      </c>
      <c r="C1436" t="s">
        <v>14</v>
      </c>
      <c r="D1436">
        <v>2</v>
      </c>
      <c r="E1436">
        <v>0</v>
      </c>
      <c r="F1436">
        <v>6</v>
      </c>
      <c r="G1436">
        <f>IF(Table3[[#This Row],[Service_Window]]="Lunch",1,0)</f>
        <v>0</v>
      </c>
    </row>
    <row r="1437" spans="1:7" x14ac:dyDescent="0.2">
      <c r="A1437">
        <v>45997</v>
      </c>
      <c r="B1437" t="s">
        <v>127</v>
      </c>
      <c r="C1437" t="s">
        <v>14</v>
      </c>
      <c r="D1437">
        <v>3</v>
      </c>
      <c r="E1437">
        <v>0</v>
      </c>
      <c r="F1437">
        <v>6</v>
      </c>
      <c r="G1437">
        <f>IF(Table3[[#This Row],[Service_Window]]="Lunch",1,0)</f>
        <v>0</v>
      </c>
    </row>
    <row r="1438" spans="1:7" x14ac:dyDescent="0.2">
      <c r="A1438">
        <v>45997</v>
      </c>
      <c r="B1438" t="s">
        <v>127</v>
      </c>
      <c r="C1438" t="s">
        <v>14</v>
      </c>
      <c r="D1438">
        <v>1</v>
      </c>
      <c r="E1438">
        <v>0</v>
      </c>
      <c r="F1438">
        <v>6</v>
      </c>
      <c r="G1438">
        <f>IF(Table3[[#This Row],[Service_Window]]="Lunch",1,0)</f>
        <v>0</v>
      </c>
    </row>
    <row r="1439" spans="1:7" x14ac:dyDescent="0.2">
      <c r="A1439">
        <v>45997</v>
      </c>
      <c r="B1439" t="s">
        <v>127</v>
      </c>
      <c r="C1439" t="s">
        <v>14</v>
      </c>
      <c r="D1439">
        <v>3</v>
      </c>
      <c r="E1439">
        <v>0</v>
      </c>
      <c r="F1439">
        <v>6</v>
      </c>
      <c r="G1439">
        <f>IF(Table3[[#This Row],[Service_Window]]="Lunch",1,0)</f>
        <v>0</v>
      </c>
    </row>
    <row r="1440" spans="1:7" x14ac:dyDescent="0.2">
      <c r="A1440">
        <v>45997</v>
      </c>
      <c r="B1440" t="s">
        <v>127</v>
      </c>
      <c r="C1440" t="s">
        <v>14</v>
      </c>
      <c r="D1440">
        <v>4</v>
      </c>
      <c r="E1440">
        <v>0</v>
      </c>
      <c r="F1440">
        <v>6</v>
      </c>
      <c r="G1440">
        <f>IF(Table3[[#This Row],[Service_Window]]="Lunch",1,0)</f>
        <v>0</v>
      </c>
    </row>
    <row r="1441" spans="1:7" x14ac:dyDescent="0.2">
      <c r="A1441">
        <v>45997</v>
      </c>
      <c r="B1441" t="s">
        <v>127</v>
      </c>
      <c r="C1441" t="s">
        <v>43</v>
      </c>
      <c r="D1441">
        <v>4</v>
      </c>
      <c r="E1441">
        <v>0</v>
      </c>
      <c r="F1441">
        <v>6</v>
      </c>
      <c r="G1441">
        <f>IF(Table3[[#This Row],[Service_Window]]="Lunch",1,0)</f>
        <v>1</v>
      </c>
    </row>
    <row r="1442" spans="1:7" x14ac:dyDescent="0.2">
      <c r="A1442">
        <v>45997</v>
      </c>
      <c r="B1442" t="s">
        <v>127</v>
      </c>
      <c r="C1442" t="s">
        <v>43</v>
      </c>
      <c r="D1442">
        <v>5</v>
      </c>
      <c r="E1442">
        <v>0</v>
      </c>
      <c r="F1442">
        <v>6</v>
      </c>
      <c r="G1442">
        <f>IF(Table3[[#This Row],[Service_Window]]="Lunch",1,0)</f>
        <v>1</v>
      </c>
    </row>
    <row r="1443" spans="1:7" x14ac:dyDescent="0.2">
      <c r="A1443">
        <v>45998</v>
      </c>
      <c r="B1443" t="s">
        <v>171</v>
      </c>
      <c r="C1443" t="s">
        <v>14</v>
      </c>
      <c r="D1443">
        <v>2</v>
      </c>
      <c r="E1443">
        <v>0</v>
      </c>
      <c r="F1443">
        <v>7</v>
      </c>
      <c r="G1443">
        <f>IF(Table3[[#This Row],[Service_Window]]="Lunch",1,0)</f>
        <v>0</v>
      </c>
    </row>
    <row r="1444" spans="1:7" x14ac:dyDescent="0.2">
      <c r="A1444">
        <v>45998</v>
      </c>
      <c r="B1444" t="s">
        <v>171</v>
      </c>
      <c r="C1444" t="s">
        <v>14</v>
      </c>
      <c r="D1444">
        <v>3</v>
      </c>
      <c r="E1444">
        <v>0</v>
      </c>
      <c r="F1444">
        <v>7</v>
      </c>
      <c r="G1444">
        <f>IF(Table3[[#This Row],[Service_Window]]="Lunch",1,0)</f>
        <v>0</v>
      </c>
    </row>
    <row r="1445" spans="1:7" x14ac:dyDescent="0.2">
      <c r="A1445">
        <v>45998</v>
      </c>
      <c r="B1445" t="s">
        <v>171</v>
      </c>
      <c r="C1445" t="s">
        <v>14</v>
      </c>
      <c r="D1445">
        <v>6</v>
      </c>
      <c r="E1445">
        <v>0</v>
      </c>
      <c r="F1445">
        <v>7</v>
      </c>
      <c r="G1445">
        <f>IF(Table3[[#This Row],[Service_Window]]="Lunch",1,0)</f>
        <v>0</v>
      </c>
    </row>
    <row r="1446" spans="1:7" x14ac:dyDescent="0.2">
      <c r="A1446">
        <v>45998</v>
      </c>
      <c r="B1446" t="s">
        <v>171</v>
      </c>
      <c r="C1446" t="s">
        <v>14</v>
      </c>
      <c r="D1446">
        <v>4</v>
      </c>
      <c r="E1446">
        <v>0</v>
      </c>
      <c r="F1446">
        <v>7</v>
      </c>
      <c r="G1446">
        <f>IF(Table3[[#This Row],[Service_Window]]="Lunch",1,0)</f>
        <v>0</v>
      </c>
    </row>
    <row r="1447" spans="1:7" x14ac:dyDescent="0.2">
      <c r="A1447">
        <v>45998</v>
      </c>
      <c r="B1447" t="s">
        <v>171</v>
      </c>
      <c r="C1447" t="s">
        <v>14</v>
      </c>
      <c r="D1447">
        <v>4</v>
      </c>
      <c r="E1447">
        <v>0</v>
      </c>
      <c r="F1447">
        <v>7</v>
      </c>
      <c r="G1447">
        <f>IF(Table3[[#This Row],[Service_Window]]="Lunch",1,0)</f>
        <v>0</v>
      </c>
    </row>
    <row r="1448" spans="1:7" x14ac:dyDescent="0.2">
      <c r="A1448">
        <v>45998</v>
      </c>
      <c r="B1448" t="s">
        <v>171</v>
      </c>
      <c r="C1448" t="s">
        <v>14</v>
      </c>
      <c r="D1448">
        <v>5</v>
      </c>
      <c r="E1448">
        <v>0</v>
      </c>
      <c r="F1448">
        <v>7</v>
      </c>
      <c r="G1448">
        <f>IF(Table3[[#This Row],[Service_Window]]="Lunch",1,0)</f>
        <v>0</v>
      </c>
    </row>
    <row r="1449" spans="1:7" x14ac:dyDescent="0.2">
      <c r="A1449">
        <v>45998</v>
      </c>
      <c r="B1449" t="s">
        <v>171</v>
      </c>
      <c r="C1449" t="s">
        <v>14</v>
      </c>
      <c r="D1449">
        <v>4</v>
      </c>
      <c r="E1449">
        <v>0</v>
      </c>
      <c r="F1449">
        <v>7</v>
      </c>
      <c r="G1449">
        <f>IF(Table3[[#This Row],[Service_Window]]="Lunch",1,0)</f>
        <v>0</v>
      </c>
    </row>
    <row r="1450" spans="1:7" x14ac:dyDescent="0.2">
      <c r="A1450">
        <v>45998</v>
      </c>
      <c r="B1450" t="s">
        <v>171</v>
      </c>
      <c r="C1450" t="s">
        <v>14</v>
      </c>
      <c r="D1450">
        <v>3</v>
      </c>
      <c r="E1450">
        <v>0</v>
      </c>
      <c r="F1450">
        <v>7</v>
      </c>
      <c r="G1450">
        <f>IF(Table3[[#This Row],[Service_Window]]="Lunch",1,0)</f>
        <v>0</v>
      </c>
    </row>
    <row r="1451" spans="1:7" x14ac:dyDescent="0.2">
      <c r="A1451">
        <v>45998</v>
      </c>
      <c r="B1451" t="s">
        <v>171</v>
      </c>
      <c r="C1451" t="s">
        <v>14</v>
      </c>
      <c r="D1451">
        <v>3</v>
      </c>
      <c r="E1451">
        <v>0</v>
      </c>
      <c r="F1451">
        <v>7</v>
      </c>
      <c r="G1451">
        <f>IF(Table3[[#This Row],[Service_Window]]="Lunch",1,0)</f>
        <v>0</v>
      </c>
    </row>
    <row r="1452" spans="1:7" x14ac:dyDescent="0.2">
      <c r="A1452">
        <v>45998</v>
      </c>
      <c r="B1452" t="s">
        <v>171</v>
      </c>
      <c r="C1452" t="s">
        <v>14</v>
      </c>
      <c r="D1452">
        <v>2</v>
      </c>
      <c r="E1452">
        <v>0</v>
      </c>
      <c r="F1452">
        <v>7</v>
      </c>
      <c r="G1452">
        <f>IF(Table3[[#This Row],[Service_Window]]="Lunch",1,0)</f>
        <v>0</v>
      </c>
    </row>
    <row r="1453" spans="1:7" x14ac:dyDescent="0.2">
      <c r="A1453">
        <v>45998</v>
      </c>
      <c r="B1453" t="s">
        <v>171</v>
      </c>
      <c r="C1453" t="s">
        <v>14</v>
      </c>
      <c r="D1453">
        <v>3</v>
      </c>
      <c r="E1453">
        <v>0</v>
      </c>
      <c r="F1453">
        <v>7</v>
      </c>
      <c r="G1453">
        <f>IF(Table3[[#This Row],[Service_Window]]="Lunch",1,0)</f>
        <v>0</v>
      </c>
    </row>
    <row r="1454" spans="1:7" x14ac:dyDescent="0.2">
      <c r="A1454">
        <v>45998</v>
      </c>
      <c r="B1454" t="s">
        <v>171</v>
      </c>
      <c r="C1454" t="s">
        <v>14</v>
      </c>
      <c r="D1454">
        <v>2</v>
      </c>
      <c r="E1454">
        <v>0</v>
      </c>
      <c r="F1454">
        <v>7</v>
      </c>
      <c r="G1454">
        <f>IF(Table3[[#This Row],[Service_Window]]="Lunch",1,0)</f>
        <v>0</v>
      </c>
    </row>
    <row r="1455" spans="1:7" x14ac:dyDescent="0.2">
      <c r="A1455">
        <v>45998</v>
      </c>
      <c r="B1455" t="s">
        <v>171</v>
      </c>
      <c r="C1455" t="s">
        <v>14</v>
      </c>
      <c r="D1455">
        <v>3</v>
      </c>
      <c r="E1455">
        <v>0</v>
      </c>
      <c r="F1455">
        <v>7</v>
      </c>
      <c r="G1455">
        <f>IF(Table3[[#This Row],[Service_Window]]="Lunch",1,0)</f>
        <v>0</v>
      </c>
    </row>
    <row r="1456" spans="1:7" x14ac:dyDescent="0.2">
      <c r="A1456">
        <v>45998</v>
      </c>
      <c r="B1456" t="s">
        <v>171</v>
      </c>
      <c r="C1456" t="s">
        <v>14</v>
      </c>
      <c r="D1456">
        <v>2</v>
      </c>
      <c r="E1456">
        <v>0</v>
      </c>
      <c r="F1456">
        <v>7</v>
      </c>
      <c r="G1456">
        <f>IF(Table3[[#This Row],[Service_Window]]="Lunch",1,0)</f>
        <v>0</v>
      </c>
    </row>
    <row r="1457" spans="1:7" x14ac:dyDescent="0.2">
      <c r="A1457">
        <v>45998</v>
      </c>
      <c r="B1457" t="s">
        <v>171</v>
      </c>
      <c r="C1457" t="s">
        <v>14</v>
      </c>
      <c r="D1457">
        <v>2</v>
      </c>
      <c r="E1457">
        <v>0</v>
      </c>
      <c r="F1457">
        <v>7</v>
      </c>
      <c r="G1457">
        <f>IF(Table3[[#This Row],[Service_Window]]="Lunch",1,0)</f>
        <v>0</v>
      </c>
    </row>
    <row r="1458" spans="1:7" x14ac:dyDescent="0.2">
      <c r="A1458">
        <v>45998</v>
      </c>
      <c r="B1458" t="s">
        <v>171</v>
      </c>
      <c r="C1458" t="s">
        <v>14</v>
      </c>
      <c r="D1458">
        <v>2</v>
      </c>
      <c r="E1458">
        <v>0</v>
      </c>
      <c r="F1458">
        <v>7</v>
      </c>
      <c r="G1458">
        <f>IF(Table3[[#This Row],[Service_Window]]="Lunch",1,0)</f>
        <v>0</v>
      </c>
    </row>
    <row r="1459" spans="1:7" x14ac:dyDescent="0.2">
      <c r="A1459">
        <v>45998</v>
      </c>
      <c r="B1459" t="s">
        <v>171</v>
      </c>
      <c r="C1459" t="s">
        <v>14</v>
      </c>
      <c r="D1459">
        <v>4</v>
      </c>
      <c r="E1459">
        <v>0</v>
      </c>
      <c r="F1459">
        <v>7</v>
      </c>
      <c r="G1459">
        <f>IF(Table3[[#This Row],[Service_Window]]="Lunch",1,0)</f>
        <v>0</v>
      </c>
    </row>
    <row r="1460" spans="1:7" x14ac:dyDescent="0.2">
      <c r="A1460">
        <v>45998</v>
      </c>
      <c r="B1460" t="s">
        <v>171</v>
      </c>
      <c r="C1460" t="s">
        <v>43</v>
      </c>
      <c r="D1460">
        <v>3</v>
      </c>
      <c r="E1460">
        <v>0</v>
      </c>
      <c r="F1460">
        <v>7</v>
      </c>
      <c r="G1460">
        <f>IF(Table3[[#This Row],[Service_Window]]="Lunch",1,0)</f>
        <v>1</v>
      </c>
    </row>
    <row r="1461" spans="1:7" x14ac:dyDescent="0.2">
      <c r="A1461">
        <v>45998</v>
      </c>
      <c r="B1461" t="s">
        <v>171</v>
      </c>
      <c r="C1461" t="s">
        <v>43</v>
      </c>
      <c r="D1461">
        <v>2</v>
      </c>
      <c r="E1461">
        <v>0</v>
      </c>
      <c r="F1461">
        <v>7</v>
      </c>
      <c r="G1461">
        <f>IF(Table3[[#This Row],[Service_Window]]="Lunch",1,0)</f>
        <v>1</v>
      </c>
    </row>
    <row r="1462" spans="1:7" x14ac:dyDescent="0.2">
      <c r="A1462">
        <v>45999</v>
      </c>
      <c r="B1462" t="s">
        <v>213</v>
      </c>
      <c r="C1462" t="s">
        <v>14</v>
      </c>
      <c r="D1462">
        <v>3</v>
      </c>
      <c r="E1462">
        <v>0</v>
      </c>
      <c r="F1462">
        <v>1</v>
      </c>
      <c r="G1462">
        <f>IF(Table3[[#This Row],[Service_Window]]="Lunch",1,0)</f>
        <v>0</v>
      </c>
    </row>
    <row r="1463" spans="1:7" x14ac:dyDescent="0.2">
      <c r="A1463">
        <v>45999</v>
      </c>
      <c r="B1463" t="s">
        <v>213</v>
      </c>
      <c r="C1463" t="s">
        <v>14</v>
      </c>
      <c r="D1463">
        <v>1</v>
      </c>
      <c r="E1463">
        <v>0</v>
      </c>
      <c r="F1463">
        <v>1</v>
      </c>
      <c r="G1463">
        <f>IF(Table3[[#This Row],[Service_Window]]="Lunch",1,0)</f>
        <v>0</v>
      </c>
    </row>
    <row r="1464" spans="1:7" x14ac:dyDescent="0.2">
      <c r="A1464">
        <v>45999</v>
      </c>
      <c r="B1464" t="s">
        <v>213</v>
      </c>
      <c r="C1464" t="s">
        <v>14</v>
      </c>
      <c r="D1464">
        <v>4</v>
      </c>
      <c r="E1464">
        <v>0</v>
      </c>
      <c r="F1464">
        <v>1</v>
      </c>
      <c r="G1464">
        <f>IF(Table3[[#This Row],[Service_Window]]="Lunch",1,0)</f>
        <v>0</v>
      </c>
    </row>
    <row r="1465" spans="1:7" x14ac:dyDescent="0.2">
      <c r="A1465">
        <v>45999</v>
      </c>
      <c r="B1465" t="s">
        <v>213</v>
      </c>
      <c r="C1465" t="s">
        <v>14</v>
      </c>
      <c r="D1465">
        <v>4</v>
      </c>
      <c r="E1465">
        <v>0</v>
      </c>
      <c r="F1465">
        <v>1</v>
      </c>
      <c r="G1465">
        <f>IF(Table3[[#This Row],[Service_Window]]="Lunch",1,0)</f>
        <v>0</v>
      </c>
    </row>
    <row r="1466" spans="1:7" x14ac:dyDescent="0.2">
      <c r="A1466">
        <v>45999</v>
      </c>
      <c r="B1466" t="s">
        <v>213</v>
      </c>
      <c r="C1466" t="s">
        <v>14</v>
      </c>
      <c r="D1466">
        <v>3</v>
      </c>
      <c r="E1466">
        <v>0</v>
      </c>
      <c r="F1466">
        <v>1</v>
      </c>
      <c r="G1466">
        <f>IF(Table3[[#This Row],[Service_Window]]="Lunch",1,0)</f>
        <v>0</v>
      </c>
    </row>
    <row r="1467" spans="1:7" x14ac:dyDescent="0.2">
      <c r="A1467">
        <v>45999</v>
      </c>
      <c r="B1467" t="s">
        <v>213</v>
      </c>
      <c r="C1467" t="s">
        <v>14</v>
      </c>
      <c r="D1467">
        <v>4</v>
      </c>
      <c r="E1467">
        <v>0</v>
      </c>
      <c r="F1467">
        <v>1</v>
      </c>
      <c r="G1467">
        <f>IF(Table3[[#This Row],[Service_Window]]="Lunch",1,0)</f>
        <v>0</v>
      </c>
    </row>
    <row r="1468" spans="1:7" x14ac:dyDescent="0.2">
      <c r="A1468">
        <v>45999</v>
      </c>
      <c r="B1468" t="s">
        <v>213</v>
      </c>
      <c r="C1468" t="s">
        <v>14</v>
      </c>
      <c r="D1468">
        <v>1</v>
      </c>
      <c r="E1468">
        <v>0</v>
      </c>
      <c r="F1468">
        <v>1</v>
      </c>
      <c r="G1468">
        <f>IF(Table3[[#This Row],[Service_Window]]="Lunch",1,0)</f>
        <v>0</v>
      </c>
    </row>
    <row r="1469" spans="1:7" x14ac:dyDescent="0.2">
      <c r="A1469">
        <v>45999</v>
      </c>
      <c r="B1469" t="s">
        <v>213</v>
      </c>
      <c r="C1469" t="s">
        <v>14</v>
      </c>
      <c r="D1469">
        <v>4</v>
      </c>
      <c r="E1469">
        <v>0</v>
      </c>
      <c r="F1469">
        <v>1</v>
      </c>
      <c r="G1469">
        <f>IF(Table3[[#This Row],[Service_Window]]="Lunch",1,0)</f>
        <v>0</v>
      </c>
    </row>
    <row r="1470" spans="1:7" x14ac:dyDescent="0.2">
      <c r="A1470">
        <v>45999</v>
      </c>
      <c r="B1470" t="s">
        <v>213</v>
      </c>
      <c r="C1470" t="s">
        <v>14</v>
      </c>
      <c r="D1470">
        <v>1</v>
      </c>
      <c r="E1470">
        <v>0</v>
      </c>
      <c r="F1470">
        <v>1</v>
      </c>
      <c r="G1470">
        <f>IF(Table3[[#This Row],[Service_Window]]="Lunch",1,0)</f>
        <v>0</v>
      </c>
    </row>
    <row r="1471" spans="1:7" x14ac:dyDescent="0.2">
      <c r="A1471">
        <v>45999</v>
      </c>
      <c r="B1471" t="s">
        <v>213</v>
      </c>
      <c r="C1471" t="s">
        <v>14</v>
      </c>
      <c r="D1471">
        <v>3</v>
      </c>
      <c r="E1471">
        <v>0</v>
      </c>
      <c r="F1471">
        <v>1</v>
      </c>
      <c r="G1471">
        <f>IF(Table3[[#This Row],[Service_Window]]="Lunch",1,0)</f>
        <v>0</v>
      </c>
    </row>
    <row r="1472" spans="1:7" x14ac:dyDescent="0.2">
      <c r="A1472">
        <v>45999</v>
      </c>
      <c r="B1472" t="s">
        <v>213</v>
      </c>
      <c r="C1472" t="s">
        <v>14</v>
      </c>
      <c r="D1472">
        <v>5</v>
      </c>
      <c r="E1472">
        <v>0</v>
      </c>
      <c r="F1472">
        <v>1</v>
      </c>
      <c r="G1472">
        <f>IF(Table3[[#This Row],[Service_Window]]="Lunch",1,0)</f>
        <v>0</v>
      </c>
    </row>
    <row r="1473" spans="1:7" x14ac:dyDescent="0.2">
      <c r="A1473">
        <v>45999</v>
      </c>
      <c r="B1473" t="s">
        <v>213</v>
      </c>
      <c r="C1473" t="s">
        <v>14</v>
      </c>
      <c r="D1473">
        <v>4</v>
      </c>
      <c r="E1473">
        <v>0</v>
      </c>
      <c r="F1473">
        <v>1</v>
      </c>
      <c r="G1473">
        <f>IF(Table3[[#This Row],[Service_Window]]="Lunch",1,0)</f>
        <v>0</v>
      </c>
    </row>
    <row r="1474" spans="1:7" x14ac:dyDescent="0.2">
      <c r="A1474">
        <v>45999</v>
      </c>
      <c r="B1474" t="s">
        <v>213</v>
      </c>
      <c r="C1474" t="s">
        <v>43</v>
      </c>
      <c r="D1474">
        <v>3</v>
      </c>
      <c r="E1474">
        <v>0</v>
      </c>
      <c r="F1474">
        <v>1</v>
      </c>
      <c r="G1474">
        <f>IF(Table3[[#This Row],[Service_Window]]="Lunch",1,0)</f>
        <v>1</v>
      </c>
    </row>
    <row r="1475" spans="1:7" x14ac:dyDescent="0.2">
      <c r="A1475">
        <v>45999</v>
      </c>
      <c r="B1475" t="s">
        <v>213</v>
      </c>
      <c r="C1475" t="s">
        <v>43</v>
      </c>
      <c r="D1475">
        <v>4</v>
      </c>
      <c r="E1475">
        <v>0</v>
      </c>
      <c r="F1475">
        <v>1</v>
      </c>
      <c r="G1475">
        <f>IF(Table3[[#This Row],[Service_Window]]="Lunch",1,0)</f>
        <v>1</v>
      </c>
    </row>
    <row r="1476" spans="1:7" x14ac:dyDescent="0.2">
      <c r="A1476">
        <v>45999</v>
      </c>
      <c r="B1476" t="s">
        <v>213</v>
      </c>
      <c r="C1476" t="s">
        <v>43</v>
      </c>
      <c r="D1476">
        <v>2</v>
      </c>
      <c r="E1476">
        <v>0</v>
      </c>
      <c r="F1476">
        <v>1</v>
      </c>
      <c r="G1476">
        <f>IF(Table3[[#This Row],[Service_Window]]="Lunch",1,0)</f>
        <v>1</v>
      </c>
    </row>
    <row r="1477" spans="1:7" x14ac:dyDescent="0.2">
      <c r="A1477">
        <v>45999</v>
      </c>
      <c r="B1477" t="s">
        <v>213</v>
      </c>
      <c r="C1477" t="s">
        <v>43</v>
      </c>
      <c r="D1477">
        <v>1</v>
      </c>
      <c r="E1477">
        <v>0</v>
      </c>
      <c r="F1477">
        <v>1</v>
      </c>
      <c r="G1477">
        <f>IF(Table3[[#This Row],[Service_Window]]="Lunch",1,0)</f>
        <v>1</v>
      </c>
    </row>
    <row r="1478" spans="1:7" x14ac:dyDescent="0.2">
      <c r="A1478">
        <v>45999</v>
      </c>
      <c r="B1478" t="s">
        <v>213</v>
      </c>
      <c r="C1478" t="s">
        <v>43</v>
      </c>
      <c r="D1478">
        <v>2</v>
      </c>
      <c r="E1478">
        <v>0</v>
      </c>
      <c r="F1478">
        <v>1</v>
      </c>
      <c r="G1478">
        <f>IF(Table3[[#This Row],[Service_Window]]="Lunch",1,0)</f>
        <v>1</v>
      </c>
    </row>
    <row r="1479" spans="1:7" x14ac:dyDescent="0.2">
      <c r="A1479">
        <v>45999</v>
      </c>
      <c r="B1479" t="s">
        <v>213</v>
      </c>
      <c r="C1479" t="s">
        <v>43</v>
      </c>
      <c r="D1479">
        <v>2</v>
      </c>
      <c r="E1479">
        <v>0</v>
      </c>
      <c r="F1479">
        <v>1</v>
      </c>
      <c r="G1479">
        <f>IF(Table3[[#This Row],[Service_Window]]="Lunch",1,0)</f>
        <v>1</v>
      </c>
    </row>
    <row r="1480" spans="1:7" x14ac:dyDescent="0.2">
      <c r="A1480">
        <v>45999</v>
      </c>
      <c r="B1480" t="s">
        <v>213</v>
      </c>
      <c r="C1480" t="s">
        <v>43</v>
      </c>
      <c r="D1480">
        <v>1</v>
      </c>
      <c r="E1480">
        <v>0</v>
      </c>
      <c r="F1480">
        <v>1</v>
      </c>
      <c r="G1480">
        <f>IF(Table3[[#This Row],[Service_Window]]="Lunch",1,0)</f>
        <v>1</v>
      </c>
    </row>
    <row r="1481" spans="1:7" x14ac:dyDescent="0.2">
      <c r="A1481">
        <v>45999</v>
      </c>
      <c r="B1481" t="s">
        <v>213</v>
      </c>
      <c r="C1481" t="s">
        <v>43</v>
      </c>
      <c r="D1481">
        <v>2</v>
      </c>
      <c r="E1481">
        <v>0</v>
      </c>
      <c r="F1481">
        <v>1</v>
      </c>
      <c r="G1481">
        <f>IF(Table3[[#This Row],[Service_Window]]="Lunch",1,0)</f>
        <v>1</v>
      </c>
    </row>
    <row r="1482" spans="1:7" x14ac:dyDescent="0.2">
      <c r="A1482">
        <v>46000</v>
      </c>
      <c r="B1482" t="s">
        <v>250</v>
      </c>
      <c r="C1482" t="s">
        <v>14</v>
      </c>
      <c r="D1482">
        <v>3</v>
      </c>
      <c r="E1482">
        <v>0</v>
      </c>
      <c r="F1482">
        <v>2</v>
      </c>
      <c r="G1482">
        <f>IF(Table3[[#This Row],[Service_Window]]="Lunch",1,0)</f>
        <v>0</v>
      </c>
    </row>
    <row r="1483" spans="1:7" x14ac:dyDescent="0.2">
      <c r="A1483">
        <v>46000</v>
      </c>
      <c r="B1483" t="s">
        <v>250</v>
      </c>
      <c r="C1483" t="s">
        <v>14</v>
      </c>
      <c r="D1483">
        <v>2</v>
      </c>
      <c r="E1483">
        <v>0</v>
      </c>
      <c r="F1483">
        <v>2</v>
      </c>
      <c r="G1483">
        <f>IF(Table3[[#This Row],[Service_Window]]="Lunch",1,0)</f>
        <v>0</v>
      </c>
    </row>
    <row r="1484" spans="1:7" x14ac:dyDescent="0.2">
      <c r="A1484">
        <v>46000</v>
      </c>
      <c r="B1484" t="s">
        <v>250</v>
      </c>
      <c r="C1484" t="s">
        <v>14</v>
      </c>
      <c r="D1484">
        <v>4</v>
      </c>
      <c r="E1484">
        <v>0</v>
      </c>
      <c r="F1484">
        <v>2</v>
      </c>
      <c r="G1484">
        <f>IF(Table3[[#This Row],[Service_Window]]="Lunch",1,0)</f>
        <v>0</v>
      </c>
    </row>
    <row r="1485" spans="1:7" x14ac:dyDescent="0.2">
      <c r="A1485">
        <v>46000</v>
      </c>
      <c r="B1485" t="s">
        <v>250</v>
      </c>
      <c r="C1485" t="s">
        <v>14</v>
      </c>
      <c r="D1485">
        <v>3</v>
      </c>
      <c r="E1485">
        <v>0</v>
      </c>
      <c r="F1485">
        <v>2</v>
      </c>
      <c r="G1485">
        <f>IF(Table3[[#This Row],[Service_Window]]="Lunch",1,0)</f>
        <v>0</v>
      </c>
    </row>
    <row r="1486" spans="1:7" x14ac:dyDescent="0.2">
      <c r="A1486">
        <v>46000</v>
      </c>
      <c r="B1486" t="s">
        <v>250</v>
      </c>
      <c r="C1486" t="s">
        <v>14</v>
      </c>
      <c r="D1486">
        <v>4</v>
      </c>
      <c r="E1486">
        <v>0</v>
      </c>
      <c r="F1486">
        <v>2</v>
      </c>
      <c r="G1486">
        <f>IF(Table3[[#This Row],[Service_Window]]="Lunch",1,0)</f>
        <v>0</v>
      </c>
    </row>
    <row r="1487" spans="1:7" x14ac:dyDescent="0.2">
      <c r="A1487">
        <v>46000</v>
      </c>
      <c r="B1487" t="s">
        <v>250</v>
      </c>
      <c r="C1487" t="s">
        <v>14</v>
      </c>
      <c r="D1487">
        <v>1</v>
      </c>
      <c r="E1487">
        <v>0</v>
      </c>
      <c r="F1487">
        <v>2</v>
      </c>
      <c r="G1487">
        <f>IF(Table3[[#This Row],[Service_Window]]="Lunch",1,0)</f>
        <v>0</v>
      </c>
    </row>
    <row r="1488" spans="1:7" x14ac:dyDescent="0.2">
      <c r="A1488">
        <v>46000</v>
      </c>
      <c r="B1488" t="s">
        <v>250</v>
      </c>
      <c r="C1488" t="s">
        <v>14</v>
      </c>
      <c r="D1488">
        <v>5</v>
      </c>
      <c r="E1488">
        <v>0</v>
      </c>
      <c r="F1488">
        <v>2</v>
      </c>
      <c r="G1488">
        <f>IF(Table3[[#This Row],[Service_Window]]="Lunch",1,0)</f>
        <v>0</v>
      </c>
    </row>
    <row r="1489" spans="1:7" x14ac:dyDescent="0.2">
      <c r="A1489">
        <v>46000</v>
      </c>
      <c r="B1489" t="s">
        <v>250</v>
      </c>
      <c r="C1489" t="s">
        <v>14</v>
      </c>
      <c r="D1489">
        <v>2</v>
      </c>
      <c r="E1489">
        <v>0</v>
      </c>
      <c r="F1489">
        <v>2</v>
      </c>
      <c r="G1489">
        <f>IF(Table3[[#This Row],[Service_Window]]="Lunch",1,0)</f>
        <v>0</v>
      </c>
    </row>
    <row r="1490" spans="1:7" x14ac:dyDescent="0.2">
      <c r="A1490">
        <v>46000</v>
      </c>
      <c r="B1490" t="s">
        <v>250</v>
      </c>
      <c r="C1490" t="s">
        <v>14</v>
      </c>
      <c r="D1490">
        <v>4</v>
      </c>
      <c r="E1490">
        <v>0</v>
      </c>
      <c r="F1490">
        <v>2</v>
      </c>
      <c r="G1490">
        <f>IF(Table3[[#This Row],[Service_Window]]="Lunch",1,0)</f>
        <v>0</v>
      </c>
    </row>
    <row r="1491" spans="1:7" x14ac:dyDescent="0.2">
      <c r="A1491">
        <v>46000</v>
      </c>
      <c r="B1491" t="s">
        <v>250</v>
      </c>
      <c r="C1491" t="s">
        <v>14</v>
      </c>
      <c r="D1491">
        <v>1</v>
      </c>
      <c r="E1491">
        <v>0</v>
      </c>
      <c r="F1491">
        <v>2</v>
      </c>
      <c r="G1491">
        <f>IF(Table3[[#This Row],[Service_Window]]="Lunch",1,0)</f>
        <v>0</v>
      </c>
    </row>
    <row r="1492" spans="1:7" x14ac:dyDescent="0.2">
      <c r="A1492">
        <v>46000</v>
      </c>
      <c r="B1492" t="s">
        <v>250</v>
      </c>
      <c r="C1492" t="s">
        <v>14</v>
      </c>
      <c r="D1492">
        <v>2</v>
      </c>
      <c r="E1492">
        <v>0</v>
      </c>
      <c r="F1492">
        <v>2</v>
      </c>
      <c r="G1492">
        <f>IF(Table3[[#This Row],[Service_Window]]="Lunch",1,0)</f>
        <v>0</v>
      </c>
    </row>
    <row r="1493" spans="1:7" x14ac:dyDescent="0.2">
      <c r="A1493">
        <v>46000</v>
      </c>
      <c r="B1493" t="s">
        <v>250</v>
      </c>
      <c r="C1493" t="s">
        <v>14</v>
      </c>
      <c r="D1493">
        <v>1</v>
      </c>
      <c r="E1493">
        <v>0</v>
      </c>
      <c r="F1493">
        <v>2</v>
      </c>
      <c r="G1493">
        <f>IF(Table3[[#This Row],[Service_Window]]="Lunch",1,0)</f>
        <v>0</v>
      </c>
    </row>
    <row r="1494" spans="1:7" x14ac:dyDescent="0.2">
      <c r="A1494">
        <v>46000</v>
      </c>
      <c r="B1494" t="s">
        <v>250</v>
      </c>
      <c r="C1494" t="s">
        <v>14</v>
      </c>
      <c r="D1494">
        <v>4</v>
      </c>
      <c r="E1494">
        <v>0</v>
      </c>
      <c r="F1494">
        <v>2</v>
      </c>
      <c r="G1494">
        <f>IF(Table3[[#This Row],[Service_Window]]="Lunch",1,0)</f>
        <v>0</v>
      </c>
    </row>
    <row r="1495" spans="1:7" x14ac:dyDescent="0.2">
      <c r="A1495">
        <v>46000</v>
      </c>
      <c r="B1495" t="s">
        <v>250</v>
      </c>
      <c r="C1495" t="s">
        <v>14</v>
      </c>
      <c r="D1495">
        <v>4</v>
      </c>
      <c r="E1495">
        <v>0</v>
      </c>
      <c r="F1495">
        <v>2</v>
      </c>
      <c r="G1495">
        <f>IF(Table3[[#This Row],[Service_Window]]="Lunch",1,0)</f>
        <v>0</v>
      </c>
    </row>
    <row r="1496" spans="1:7" x14ac:dyDescent="0.2">
      <c r="A1496">
        <v>46000</v>
      </c>
      <c r="B1496" t="s">
        <v>250</v>
      </c>
      <c r="C1496" t="s">
        <v>43</v>
      </c>
      <c r="D1496">
        <v>1</v>
      </c>
      <c r="E1496">
        <v>0</v>
      </c>
      <c r="F1496">
        <v>2</v>
      </c>
      <c r="G1496">
        <f>IF(Table3[[#This Row],[Service_Window]]="Lunch",1,0)</f>
        <v>1</v>
      </c>
    </row>
    <row r="1497" spans="1:7" x14ac:dyDescent="0.2">
      <c r="A1497">
        <v>46000</v>
      </c>
      <c r="B1497" t="s">
        <v>250</v>
      </c>
      <c r="C1497" t="s">
        <v>43</v>
      </c>
      <c r="D1497">
        <v>4</v>
      </c>
      <c r="E1497">
        <v>0</v>
      </c>
      <c r="F1497">
        <v>2</v>
      </c>
      <c r="G1497">
        <f>IF(Table3[[#This Row],[Service_Window]]="Lunch",1,0)</f>
        <v>1</v>
      </c>
    </row>
    <row r="1498" spans="1:7" x14ac:dyDescent="0.2">
      <c r="A1498">
        <v>46000</v>
      </c>
      <c r="B1498" t="s">
        <v>250</v>
      </c>
      <c r="C1498" t="s">
        <v>43</v>
      </c>
      <c r="D1498">
        <v>3</v>
      </c>
      <c r="E1498">
        <v>0</v>
      </c>
      <c r="F1498">
        <v>2</v>
      </c>
      <c r="G1498">
        <f>IF(Table3[[#This Row],[Service_Window]]="Lunch",1,0)</f>
        <v>1</v>
      </c>
    </row>
    <row r="1499" spans="1:7" x14ac:dyDescent="0.2">
      <c r="A1499">
        <v>46000</v>
      </c>
      <c r="B1499" t="s">
        <v>250</v>
      </c>
      <c r="C1499" t="s">
        <v>43</v>
      </c>
      <c r="D1499">
        <v>2</v>
      </c>
      <c r="E1499">
        <v>0</v>
      </c>
      <c r="F1499">
        <v>2</v>
      </c>
      <c r="G1499">
        <f>IF(Table3[[#This Row],[Service_Window]]="Lunch",1,0)</f>
        <v>1</v>
      </c>
    </row>
    <row r="1500" spans="1:7" x14ac:dyDescent="0.2">
      <c r="A1500">
        <v>46000</v>
      </c>
      <c r="B1500" t="s">
        <v>250</v>
      </c>
      <c r="C1500" t="s">
        <v>43</v>
      </c>
      <c r="D1500">
        <v>4</v>
      </c>
      <c r="E1500">
        <v>0</v>
      </c>
      <c r="F1500">
        <v>2</v>
      </c>
      <c r="G1500">
        <f>IF(Table3[[#This Row],[Service_Window]]="Lunch",1,0)</f>
        <v>1</v>
      </c>
    </row>
    <row r="1501" spans="1:7" x14ac:dyDescent="0.2">
      <c r="A1501">
        <v>46000</v>
      </c>
      <c r="B1501" t="s">
        <v>250</v>
      </c>
      <c r="C1501" t="s">
        <v>43</v>
      </c>
      <c r="D1501">
        <v>1</v>
      </c>
      <c r="E1501">
        <v>0</v>
      </c>
      <c r="F1501">
        <v>2</v>
      </c>
      <c r="G1501">
        <f>IF(Table3[[#This Row],[Service_Window]]="Lunch",1,0)</f>
        <v>1</v>
      </c>
    </row>
    <row r="1502" spans="1:7" x14ac:dyDescent="0.2">
      <c r="A1502">
        <v>46000</v>
      </c>
      <c r="B1502" t="s">
        <v>250</v>
      </c>
      <c r="C1502" t="s">
        <v>43</v>
      </c>
      <c r="D1502">
        <v>1</v>
      </c>
      <c r="E1502">
        <v>0</v>
      </c>
      <c r="F1502">
        <v>2</v>
      </c>
      <c r="G1502">
        <f>IF(Table3[[#This Row],[Service_Window]]="Lunch",1,0)</f>
        <v>1</v>
      </c>
    </row>
    <row r="1503" spans="1:7" x14ac:dyDescent="0.2">
      <c r="A1503">
        <v>46000</v>
      </c>
      <c r="B1503" t="s">
        <v>250</v>
      </c>
      <c r="C1503" t="s">
        <v>43</v>
      </c>
      <c r="D1503">
        <v>4</v>
      </c>
      <c r="E1503">
        <v>0</v>
      </c>
      <c r="F1503">
        <v>2</v>
      </c>
      <c r="G1503">
        <f>IF(Table3[[#This Row],[Service_Window]]="Lunch",1,0)</f>
        <v>1</v>
      </c>
    </row>
    <row r="1504" spans="1:7" x14ac:dyDescent="0.2">
      <c r="A1504">
        <v>46001</v>
      </c>
      <c r="B1504" t="s">
        <v>13</v>
      </c>
      <c r="C1504" t="s">
        <v>14</v>
      </c>
      <c r="D1504">
        <v>2</v>
      </c>
      <c r="E1504">
        <v>0</v>
      </c>
      <c r="F1504">
        <v>3</v>
      </c>
      <c r="G1504">
        <f>IF(Table3[[#This Row],[Service_Window]]="Lunch",1,0)</f>
        <v>0</v>
      </c>
    </row>
    <row r="1505" spans="1:7" x14ac:dyDescent="0.2">
      <c r="A1505">
        <v>46001</v>
      </c>
      <c r="B1505" t="s">
        <v>13</v>
      </c>
      <c r="C1505" t="s">
        <v>14</v>
      </c>
      <c r="D1505">
        <v>4</v>
      </c>
      <c r="E1505">
        <v>0</v>
      </c>
      <c r="F1505">
        <v>3</v>
      </c>
      <c r="G1505">
        <f>IF(Table3[[#This Row],[Service_Window]]="Lunch",1,0)</f>
        <v>0</v>
      </c>
    </row>
    <row r="1506" spans="1:7" x14ac:dyDescent="0.2">
      <c r="A1506">
        <v>46001</v>
      </c>
      <c r="B1506" t="s">
        <v>13</v>
      </c>
      <c r="C1506" t="s">
        <v>14</v>
      </c>
      <c r="D1506">
        <v>2</v>
      </c>
      <c r="E1506">
        <v>0</v>
      </c>
      <c r="F1506">
        <v>3</v>
      </c>
      <c r="G1506">
        <f>IF(Table3[[#This Row],[Service_Window]]="Lunch",1,0)</f>
        <v>0</v>
      </c>
    </row>
    <row r="1507" spans="1:7" x14ac:dyDescent="0.2">
      <c r="A1507">
        <v>46001</v>
      </c>
      <c r="B1507" t="s">
        <v>13</v>
      </c>
      <c r="C1507" t="s">
        <v>43</v>
      </c>
      <c r="D1507">
        <v>3</v>
      </c>
      <c r="E1507">
        <v>1</v>
      </c>
      <c r="F1507">
        <v>3</v>
      </c>
      <c r="G1507">
        <f>IF(Table3[[#This Row],[Service_Window]]="Lunch",1,0)</f>
        <v>1</v>
      </c>
    </row>
    <row r="1508" spans="1:7" x14ac:dyDescent="0.2">
      <c r="A1508">
        <v>46001</v>
      </c>
      <c r="B1508" t="s">
        <v>13</v>
      </c>
      <c r="C1508" t="s">
        <v>43</v>
      </c>
      <c r="D1508">
        <v>2</v>
      </c>
      <c r="E1508">
        <v>1</v>
      </c>
      <c r="F1508">
        <v>3</v>
      </c>
      <c r="G1508">
        <f>IF(Table3[[#This Row],[Service_Window]]="Lunch",1,0)</f>
        <v>1</v>
      </c>
    </row>
    <row r="1509" spans="1:7" x14ac:dyDescent="0.2">
      <c r="A1509">
        <v>46001</v>
      </c>
      <c r="B1509" t="s">
        <v>13</v>
      </c>
      <c r="C1509" t="s">
        <v>43</v>
      </c>
      <c r="D1509">
        <v>3</v>
      </c>
      <c r="E1509">
        <v>1</v>
      </c>
      <c r="F1509">
        <v>3</v>
      </c>
      <c r="G1509">
        <f>IF(Table3[[#This Row],[Service_Window]]="Lunch",1,0)</f>
        <v>1</v>
      </c>
    </row>
    <row r="1510" spans="1:7" x14ac:dyDescent="0.2">
      <c r="A1510">
        <v>46001</v>
      </c>
      <c r="B1510" t="s">
        <v>13</v>
      </c>
      <c r="C1510" t="s">
        <v>43</v>
      </c>
      <c r="D1510">
        <v>2</v>
      </c>
      <c r="E1510">
        <v>1</v>
      </c>
      <c r="F1510">
        <v>3</v>
      </c>
      <c r="G1510">
        <f>IF(Table3[[#This Row],[Service_Window]]="Lunch",1,0)</f>
        <v>1</v>
      </c>
    </row>
    <row r="1511" spans="1:7" x14ac:dyDescent="0.2">
      <c r="A1511">
        <v>46001</v>
      </c>
      <c r="B1511" t="s">
        <v>13</v>
      </c>
      <c r="C1511" t="s">
        <v>43</v>
      </c>
      <c r="D1511">
        <v>1</v>
      </c>
      <c r="E1511">
        <v>1</v>
      </c>
      <c r="F1511">
        <v>3</v>
      </c>
      <c r="G1511">
        <f>IF(Table3[[#This Row],[Service_Window]]="Lunch",1,0)</f>
        <v>1</v>
      </c>
    </row>
    <row r="1512" spans="1:7" x14ac:dyDescent="0.2">
      <c r="A1512">
        <v>46001</v>
      </c>
      <c r="B1512" t="s">
        <v>13</v>
      </c>
      <c r="C1512" t="s">
        <v>43</v>
      </c>
      <c r="D1512">
        <v>2</v>
      </c>
      <c r="E1512">
        <v>0</v>
      </c>
      <c r="F1512">
        <v>3</v>
      </c>
      <c r="G1512">
        <f>IF(Table3[[#This Row],[Service_Window]]="Lunch",1,0)</f>
        <v>1</v>
      </c>
    </row>
    <row r="1513" spans="1:7" x14ac:dyDescent="0.2">
      <c r="A1513">
        <v>46001</v>
      </c>
      <c r="B1513" t="s">
        <v>13</v>
      </c>
      <c r="C1513" t="s">
        <v>43</v>
      </c>
      <c r="D1513">
        <v>4</v>
      </c>
      <c r="E1513">
        <v>1</v>
      </c>
      <c r="F1513">
        <v>3</v>
      </c>
      <c r="G1513">
        <f>IF(Table3[[#This Row],[Service_Window]]="Lunch",1,0)</f>
        <v>1</v>
      </c>
    </row>
    <row r="1514" spans="1:7" x14ac:dyDescent="0.2">
      <c r="A1514">
        <v>46001</v>
      </c>
      <c r="B1514" t="s">
        <v>13</v>
      </c>
      <c r="C1514" t="s">
        <v>43</v>
      </c>
      <c r="D1514">
        <v>4</v>
      </c>
      <c r="E1514">
        <v>1</v>
      </c>
      <c r="F1514">
        <v>3</v>
      </c>
      <c r="G1514">
        <f>IF(Table3[[#This Row],[Service_Window]]="Lunch",1,0)</f>
        <v>1</v>
      </c>
    </row>
    <row r="1515" spans="1:7" x14ac:dyDescent="0.2">
      <c r="A1515">
        <v>46001</v>
      </c>
      <c r="B1515" t="s">
        <v>13</v>
      </c>
      <c r="C1515" t="s">
        <v>43</v>
      </c>
      <c r="D1515">
        <v>5</v>
      </c>
      <c r="E1515">
        <v>0</v>
      </c>
      <c r="F1515">
        <v>3</v>
      </c>
      <c r="G1515">
        <f>IF(Table3[[#This Row],[Service_Window]]="Lunch",1,0)</f>
        <v>1</v>
      </c>
    </row>
    <row r="1516" spans="1:7" x14ac:dyDescent="0.2">
      <c r="A1516">
        <v>46001</v>
      </c>
      <c r="B1516" t="s">
        <v>13</v>
      </c>
      <c r="C1516" t="s">
        <v>43</v>
      </c>
      <c r="D1516">
        <v>6</v>
      </c>
      <c r="E1516">
        <v>1</v>
      </c>
      <c r="F1516">
        <v>3</v>
      </c>
      <c r="G1516">
        <f>IF(Table3[[#This Row],[Service_Window]]="Lunch",1,0)</f>
        <v>1</v>
      </c>
    </row>
    <row r="1517" spans="1:7" x14ac:dyDescent="0.2">
      <c r="A1517">
        <v>46001</v>
      </c>
      <c r="B1517" t="s">
        <v>13</v>
      </c>
      <c r="C1517" t="s">
        <v>43</v>
      </c>
      <c r="D1517">
        <v>1</v>
      </c>
      <c r="E1517">
        <v>0</v>
      </c>
      <c r="F1517">
        <v>3</v>
      </c>
      <c r="G1517">
        <f>IF(Table3[[#This Row],[Service_Window]]="Lunch",1,0)</f>
        <v>1</v>
      </c>
    </row>
    <row r="1518" spans="1:7" x14ac:dyDescent="0.2">
      <c r="A1518">
        <v>46001</v>
      </c>
      <c r="B1518" t="s">
        <v>13</v>
      </c>
      <c r="C1518" t="s">
        <v>43</v>
      </c>
      <c r="D1518">
        <v>6</v>
      </c>
      <c r="E1518">
        <v>1</v>
      </c>
      <c r="F1518">
        <v>3</v>
      </c>
      <c r="G1518">
        <f>IF(Table3[[#This Row],[Service_Window]]="Lunch",1,0)</f>
        <v>1</v>
      </c>
    </row>
    <row r="1519" spans="1:7" x14ac:dyDescent="0.2">
      <c r="A1519">
        <v>46001</v>
      </c>
      <c r="B1519" t="s">
        <v>13</v>
      </c>
      <c r="C1519" t="s">
        <v>43</v>
      </c>
      <c r="D1519">
        <v>3</v>
      </c>
      <c r="E1519">
        <v>1</v>
      </c>
      <c r="F1519">
        <v>3</v>
      </c>
      <c r="G1519">
        <f>IF(Table3[[#This Row],[Service_Window]]="Lunch",1,0)</f>
        <v>1</v>
      </c>
    </row>
    <row r="1520" spans="1:7" x14ac:dyDescent="0.2">
      <c r="A1520">
        <v>46002</v>
      </c>
      <c r="B1520" t="s">
        <v>62</v>
      </c>
      <c r="C1520" t="s">
        <v>14</v>
      </c>
      <c r="D1520">
        <v>2</v>
      </c>
      <c r="E1520">
        <v>0</v>
      </c>
      <c r="F1520">
        <v>4</v>
      </c>
      <c r="G1520">
        <f>IF(Table3[[#This Row],[Service_Window]]="Lunch",1,0)</f>
        <v>0</v>
      </c>
    </row>
    <row r="1521" spans="1:7" x14ac:dyDescent="0.2">
      <c r="A1521">
        <v>46002</v>
      </c>
      <c r="B1521" t="s">
        <v>62</v>
      </c>
      <c r="C1521" t="s">
        <v>14</v>
      </c>
      <c r="D1521">
        <v>4</v>
      </c>
      <c r="E1521">
        <v>0</v>
      </c>
      <c r="F1521">
        <v>4</v>
      </c>
      <c r="G1521">
        <f>IF(Table3[[#This Row],[Service_Window]]="Lunch",1,0)</f>
        <v>0</v>
      </c>
    </row>
    <row r="1522" spans="1:7" x14ac:dyDescent="0.2">
      <c r="A1522">
        <v>46002</v>
      </c>
      <c r="B1522" t="s">
        <v>62</v>
      </c>
      <c r="C1522" t="s">
        <v>14</v>
      </c>
      <c r="D1522">
        <v>2</v>
      </c>
      <c r="E1522">
        <v>0</v>
      </c>
      <c r="F1522">
        <v>4</v>
      </c>
      <c r="G1522">
        <f>IF(Table3[[#This Row],[Service_Window]]="Lunch",1,0)</f>
        <v>0</v>
      </c>
    </row>
    <row r="1523" spans="1:7" x14ac:dyDescent="0.2">
      <c r="A1523">
        <v>46002</v>
      </c>
      <c r="B1523" t="s">
        <v>62</v>
      </c>
      <c r="C1523" t="s">
        <v>14</v>
      </c>
      <c r="D1523">
        <v>3</v>
      </c>
      <c r="E1523">
        <v>0</v>
      </c>
      <c r="F1523">
        <v>4</v>
      </c>
      <c r="G1523">
        <f>IF(Table3[[#This Row],[Service_Window]]="Lunch",1,0)</f>
        <v>0</v>
      </c>
    </row>
    <row r="1524" spans="1:7" x14ac:dyDescent="0.2">
      <c r="A1524">
        <v>46002</v>
      </c>
      <c r="B1524" t="s">
        <v>62</v>
      </c>
      <c r="C1524" t="s">
        <v>14</v>
      </c>
      <c r="D1524">
        <v>3</v>
      </c>
      <c r="E1524">
        <v>0</v>
      </c>
      <c r="F1524">
        <v>4</v>
      </c>
      <c r="G1524">
        <f>IF(Table3[[#This Row],[Service_Window]]="Lunch",1,0)</f>
        <v>0</v>
      </c>
    </row>
    <row r="1525" spans="1:7" x14ac:dyDescent="0.2">
      <c r="A1525">
        <v>46002</v>
      </c>
      <c r="B1525" t="s">
        <v>62</v>
      </c>
      <c r="C1525" t="s">
        <v>14</v>
      </c>
      <c r="D1525">
        <v>6</v>
      </c>
      <c r="E1525">
        <v>0</v>
      </c>
      <c r="F1525">
        <v>4</v>
      </c>
      <c r="G1525">
        <f>IF(Table3[[#This Row],[Service_Window]]="Lunch",1,0)</f>
        <v>0</v>
      </c>
    </row>
    <row r="1526" spans="1:7" x14ac:dyDescent="0.2">
      <c r="A1526">
        <v>46002</v>
      </c>
      <c r="B1526" t="s">
        <v>62</v>
      </c>
      <c r="C1526" t="s">
        <v>14</v>
      </c>
      <c r="D1526">
        <v>3</v>
      </c>
      <c r="E1526">
        <v>0</v>
      </c>
      <c r="F1526">
        <v>4</v>
      </c>
      <c r="G1526">
        <f>IF(Table3[[#This Row],[Service_Window]]="Lunch",1,0)</f>
        <v>0</v>
      </c>
    </row>
    <row r="1527" spans="1:7" x14ac:dyDescent="0.2">
      <c r="A1527">
        <v>46002</v>
      </c>
      <c r="B1527" t="s">
        <v>62</v>
      </c>
      <c r="C1527" t="s">
        <v>14</v>
      </c>
      <c r="D1527">
        <v>7</v>
      </c>
      <c r="E1527">
        <v>0</v>
      </c>
      <c r="F1527">
        <v>4</v>
      </c>
      <c r="G1527">
        <f>IF(Table3[[#This Row],[Service_Window]]="Lunch",1,0)</f>
        <v>0</v>
      </c>
    </row>
    <row r="1528" spans="1:7" x14ac:dyDescent="0.2">
      <c r="A1528">
        <v>46002</v>
      </c>
      <c r="B1528" t="s">
        <v>62</v>
      </c>
      <c r="C1528" t="s">
        <v>14</v>
      </c>
      <c r="D1528">
        <v>2</v>
      </c>
      <c r="E1528">
        <v>0</v>
      </c>
      <c r="F1528">
        <v>4</v>
      </c>
      <c r="G1528">
        <f>IF(Table3[[#This Row],[Service_Window]]="Lunch",1,0)</f>
        <v>0</v>
      </c>
    </row>
    <row r="1529" spans="1:7" x14ac:dyDescent="0.2">
      <c r="A1529">
        <v>46002</v>
      </c>
      <c r="B1529" t="s">
        <v>62</v>
      </c>
      <c r="C1529" t="s">
        <v>14</v>
      </c>
      <c r="D1529">
        <v>3</v>
      </c>
      <c r="E1529">
        <v>0</v>
      </c>
      <c r="F1529">
        <v>4</v>
      </c>
      <c r="G1529">
        <f>IF(Table3[[#This Row],[Service_Window]]="Lunch",1,0)</f>
        <v>0</v>
      </c>
    </row>
    <row r="1530" spans="1:7" x14ac:dyDescent="0.2">
      <c r="A1530">
        <v>46002</v>
      </c>
      <c r="B1530" t="s">
        <v>62</v>
      </c>
      <c r="C1530" t="s">
        <v>14</v>
      </c>
      <c r="D1530">
        <v>2</v>
      </c>
      <c r="E1530">
        <v>0</v>
      </c>
      <c r="F1530">
        <v>4</v>
      </c>
      <c r="G1530">
        <f>IF(Table3[[#This Row],[Service_Window]]="Lunch",1,0)</f>
        <v>0</v>
      </c>
    </row>
    <row r="1531" spans="1:7" x14ac:dyDescent="0.2">
      <c r="A1531">
        <v>46002</v>
      </c>
      <c r="B1531" t="s">
        <v>62</v>
      </c>
      <c r="C1531" t="s">
        <v>14</v>
      </c>
      <c r="D1531">
        <v>1</v>
      </c>
      <c r="E1531">
        <v>0</v>
      </c>
      <c r="F1531">
        <v>4</v>
      </c>
      <c r="G1531">
        <f>IF(Table3[[#This Row],[Service_Window]]="Lunch",1,0)</f>
        <v>0</v>
      </c>
    </row>
    <row r="1532" spans="1:7" x14ac:dyDescent="0.2">
      <c r="A1532">
        <v>46002</v>
      </c>
      <c r="B1532" t="s">
        <v>62</v>
      </c>
      <c r="C1532" t="s">
        <v>43</v>
      </c>
      <c r="D1532">
        <v>7</v>
      </c>
      <c r="E1532">
        <v>0</v>
      </c>
      <c r="F1532">
        <v>4</v>
      </c>
      <c r="G1532">
        <f>IF(Table3[[#This Row],[Service_Window]]="Lunch",1,0)</f>
        <v>1</v>
      </c>
    </row>
    <row r="1533" spans="1:7" x14ac:dyDescent="0.2">
      <c r="A1533">
        <v>46002</v>
      </c>
      <c r="B1533" t="s">
        <v>62</v>
      </c>
      <c r="C1533" t="s">
        <v>43</v>
      </c>
      <c r="D1533">
        <v>4</v>
      </c>
      <c r="E1533">
        <v>1</v>
      </c>
      <c r="F1533">
        <v>4</v>
      </c>
      <c r="G1533">
        <f>IF(Table3[[#This Row],[Service_Window]]="Lunch",1,0)</f>
        <v>1</v>
      </c>
    </row>
    <row r="1534" spans="1:7" x14ac:dyDescent="0.2">
      <c r="A1534">
        <v>46002</v>
      </c>
      <c r="B1534" t="s">
        <v>62</v>
      </c>
      <c r="C1534" t="s">
        <v>43</v>
      </c>
      <c r="D1534">
        <v>2</v>
      </c>
      <c r="E1534">
        <v>0</v>
      </c>
      <c r="F1534">
        <v>4</v>
      </c>
      <c r="G1534">
        <f>IF(Table3[[#This Row],[Service_Window]]="Lunch",1,0)</f>
        <v>1</v>
      </c>
    </row>
    <row r="1535" spans="1:7" x14ac:dyDescent="0.2">
      <c r="A1535">
        <v>46002</v>
      </c>
      <c r="B1535" t="s">
        <v>62</v>
      </c>
      <c r="C1535" t="s">
        <v>43</v>
      </c>
      <c r="D1535">
        <v>4</v>
      </c>
      <c r="E1535">
        <v>1</v>
      </c>
      <c r="F1535">
        <v>4</v>
      </c>
      <c r="G1535">
        <f>IF(Table3[[#This Row],[Service_Window]]="Lunch",1,0)</f>
        <v>1</v>
      </c>
    </row>
    <row r="1536" spans="1:7" x14ac:dyDescent="0.2">
      <c r="A1536">
        <v>46002</v>
      </c>
      <c r="B1536" t="s">
        <v>62</v>
      </c>
      <c r="C1536" t="s">
        <v>43</v>
      </c>
      <c r="D1536">
        <v>2</v>
      </c>
      <c r="E1536">
        <v>0</v>
      </c>
      <c r="F1536">
        <v>4</v>
      </c>
      <c r="G1536">
        <f>IF(Table3[[#This Row],[Service_Window]]="Lunch",1,0)</f>
        <v>1</v>
      </c>
    </row>
    <row r="1537" spans="1:7" x14ac:dyDescent="0.2">
      <c r="A1537">
        <v>46002</v>
      </c>
      <c r="B1537" t="s">
        <v>62</v>
      </c>
      <c r="C1537" t="s">
        <v>43</v>
      </c>
      <c r="D1537">
        <v>1</v>
      </c>
      <c r="E1537">
        <v>1</v>
      </c>
      <c r="F1537">
        <v>4</v>
      </c>
      <c r="G1537">
        <f>IF(Table3[[#This Row],[Service_Window]]="Lunch",1,0)</f>
        <v>1</v>
      </c>
    </row>
    <row r="1538" spans="1:7" x14ac:dyDescent="0.2">
      <c r="A1538">
        <v>46002</v>
      </c>
      <c r="B1538" t="s">
        <v>62</v>
      </c>
      <c r="C1538" t="s">
        <v>43</v>
      </c>
      <c r="D1538">
        <v>2</v>
      </c>
      <c r="E1538">
        <v>1</v>
      </c>
      <c r="F1538">
        <v>4</v>
      </c>
      <c r="G1538">
        <f>IF(Table3[[#This Row],[Service_Window]]="Lunch",1,0)</f>
        <v>1</v>
      </c>
    </row>
    <row r="1539" spans="1:7" x14ac:dyDescent="0.2">
      <c r="A1539">
        <v>46002</v>
      </c>
      <c r="B1539" t="s">
        <v>62</v>
      </c>
      <c r="C1539" t="s">
        <v>43</v>
      </c>
      <c r="D1539">
        <v>7</v>
      </c>
      <c r="E1539">
        <v>1</v>
      </c>
      <c r="F1539">
        <v>4</v>
      </c>
      <c r="G1539">
        <f>IF(Table3[[#This Row],[Service_Window]]="Lunch",1,0)</f>
        <v>1</v>
      </c>
    </row>
    <row r="1540" spans="1:7" x14ac:dyDescent="0.2">
      <c r="A1540">
        <v>46002</v>
      </c>
      <c r="B1540" t="s">
        <v>62</v>
      </c>
      <c r="C1540" t="s">
        <v>43</v>
      </c>
      <c r="D1540">
        <v>3</v>
      </c>
      <c r="E1540">
        <v>1</v>
      </c>
      <c r="F1540">
        <v>4</v>
      </c>
      <c r="G1540">
        <f>IF(Table3[[#This Row],[Service_Window]]="Lunch",1,0)</f>
        <v>1</v>
      </c>
    </row>
    <row r="1541" spans="1:7" x14ac:dyDescent="0.2">
      <c r="A1541">
        <v>46003</v>
      </c>
      <c r="B1541" t="s">
        <v>96</v>
      </c>
      <c r="C1541" t="s">
        <v>14</v>
      </c>
      <c r="D1541">
        <v>3</v>
      </c>
      <c r="E1541">
        <v>0</v>
      </c>
      <c r="F1541">
        <v>5</v>
      </c>
      <c r="G1541">
        <f>IF(Table3[[#This Row],[Service_Window]]="Lunch",1,0)</f>
        <v>0</v>
      </c>
    </row>
    <row r="1542" spans="1:7" x14ac:dyDescent="0.2">
      <c r="A1542">
        <v>46003</v>
      </c>
      <c r="B1542" t="s">
        <v>96</v>
      </c>
      <c r="C1542" t="s">
        <v>14</v>
      </c>
      <c r="D1542">
        <v>3</v>
      </c>
      <c r="E1542">
        <v>0</v>
      </c>
      <c r="F1542">
        <v>5</v>
      </c>
      <c r="G1542">
        <f>IF(Table3[[#This Row],[Service_Window]]="Lunch",1,0)</f>
        <v>0</v>
      </c>
    </row>
    <row r="1543" spans="1:7" x14ac:dyDescent="0.2">
      <c r="A1543">
        <v>46003</v>
      </c>
      <c r="B1543" t="s">
        <v>96</v>
      </c>
      <c r="C1543" t="s">
        <v>14</v>
      </c>
      <c r="D1543">
        <v>2</v>
      </c>
      <c r="E1543">
        <v>0</v>
      </c>
      <c r="F1543">
        <v>5</v>
      </c>
      <c r="G1543">
        <f>IF(Table3[[#This Row],[Service_Window]]="Lunch",1,0)</f>
        <v>0</v>
      </c>
    </row>
    <row r="1544" spans="1:7" x14ac:dyDescent="0.2">
      <c r="A1544">
        <v>46003</v>
      </c>
      <c r="B1544" t="s">
        <v>96</v>
      </c>
      <c r="C1544" t="s">
        <v>14</v>
      </c>
      <c r="D1544">
        <v>6</v>
      </c>
      <c r="E1544">
        <v>0</v>
      </c>
      <c r="F1544">
        <v>5</v>
      </c>
      <c r="G1544">
        <f>IF(Table3[[#This Row],[Service_Window]]="Lunch",1,0)</f>
        <v>0</v>
      </c>
    </row>
    <row r="1545" spans="1:7" x14ac:dyDescent="0.2">
      <c r="A1545">
        <v>46003</v>
      </c>
      <c r="B1545" t="s">
        <v>96</v>
      </c>
      <c r="C1545" t="s">
        <v>14</v>
      </c>
      <c r="D1545">
        <v>6</v>
      </c>
      <c r="E1545">
        <v>0</v>
      </c>
      <c r="F1545">
        <v>5</v>
      </c>
      <c r="G1545">
        <f>IF(Table3[[#This Row],[Service_Window]]="Lunch",1,0)</f>
        <v>0</v>
      </c>
    </row>
    <row r="1546" spans="1:7" x14ac:dyDescent="0.2">
      <c r="A1546">
        <v>46003</v>
      </c>
      <c r="B1546" t="s">
        <v>96</v>
      </c>
      <c r="C1546" t="s">
        <v>14</v>
      </c>
      <c r="D1546">
        <v>2</v>
      </c>
      <c r="E1546">
        <v>0</v>
      </c>
      <c r="F1546">
        <v>5</v>
      </c>
      <c r="G1546">
        <f>IF(Table3[[#This Row],[Service_Window]]="Lunch",1,0)</f>
        <v>0</v>
      </c>
    </row>
    <row r="1547" spans="1:7" x14ac:dyDescent="0.2">
      <c r="A1547">
        <v>46003</v>
      </c>
      <c r="B1547" t="s">
        <v>96</v>
      </c>
      <c r="C1547" t="s">
        <v>14</v>
      </c>
      <c r="D1547">
        <v>3</v>
      </c>
      <c r="E1547">
        <v>0</v>
      </c>
      <c r="F1547">
        <v>5</v>
      </c>
      <c r="G1547">
        <f>IF(Table3[[#This Row],[Service_Window]]="Lunch",1,0)</f>
        <v>0</v>
      </c>
    </row>
    <row r="1548" spans="1:7" x14ac:dyDescent="0.2">
      <c r="A1548">
        <v>46003</v>
      </c>
      <c r="B1548" t="s">
        <v>96</v>
      </c>
      <c r="C1548" t="s">
        <v>14</v>
      </c>
      <c r="D1548">
        <v>2</v>
      </c>
      <c r="E1548">
        <v>0</v>
      </c>
      <c r="F1548">
        <v>5</v>
      </c>
      <c r="G1548">
        <f>IF(Table3[[#This Row],[Service_Window]]="Lunch",1,0)</f>
        <v>0</v>
      </c>
    </row>
    <row r="1549" spans="1:7" x14ac:dyDescent="0.2">
      <c r="A1549">
        <v>46003</v>
      </c>
      <c r="B1549" t="s">
        <v>96</v>
      </c>
      <c r="C1549" t="s">
        <v>14</v>
      </c>
      <c r="D1549">
        <v>3</v>
      </c>
      <c r="E1549">
        <v>0</v>
      </c>
      <c r="F1549">
        <v>5</v>
      </c>
      <c r="G1549">
        <f>IF(Table3[[#This Row],[Service_Window]]="Lunch",1,0)</f>
        <v>0</v>
      </c>
    </row>
    <row r="1550" spans="1:7" x14ac:dyDescent="0.2">
      <c r="A1550">
        <v>46003</v>
      </c>
      <c r="B1550" t="s">
        <v>96</v>
      </c>
      <c r="C1550" t="s">
        <v>14</v>
      </c>
      <c r="D1550">
        <v>1</v>
      </c>
      <c r="E1550">
        <v>0</v>
      </c>
      <c r="F1550">
        <v>5</v>
      </c>
      <c r="G1550">
        <f>IF(Table3[[#This Row],[Service_Window]]="Lunch",1,0)</f>
        <v>0</v>
      </c>
    </row>
    <row r="1551" spans="1:7" x14ac:dyDescent="0.2">
      <c r="A1551">
        <v>46003</v>
      </c>
      <c r="B1551" t="s">
        <v>96</v>
      </c>
      <c r="C1551" t="s">
        <v>14</v>
      </c>
      <c r="D1551">
        <v>1</v>
      </c>
      <c r="E1551">
        <v>0</v>
      </c>
      <c r="F1551">
        <v>5</v>
      </c>
      <c r="G1551">
        <f>IF(Table3[[#This Row],[Service_Window]]="Lunch",1,0)</f>
        <v>0</v>
      </c>
    </row>
    <row r="1552" spans="1:7" x14ac:dyDescent="0.2">
      <c r="A1552">
        <v>46003</v>
      </c>
      <c r="B1552" t="s">
        <v>96</v>
      </c>
      <c r="C1552" t="s">
        <v>14</v>
      </c>
      <c r="D1552">
        <v>2</v>
      </c>
      <c r="E1552">
        <v>0</v>
      </c>
      <c r="F1552">
        <v>5</v>
      </c>
      <c r="G1552">
        <f>IF(Table3[[#This Row],[Service_Window]]="Lunch",1,0)</f>
        <v>0</v>
      </c>
    </row>
    <row r="1553" spans="1:7" x14ac:dyDescent="0.2">
      <c r="A1553">
        <v>46003</v>
      </c>
      <c r="B1553" t="s">
        <v>96</v>
      </c>
      <c r="C1553" t="s">
        <v>14</v>
      </c>
      <c r="D1553">
        <v>1</v>
      </c>
      <c r="E1553">
        <v>0</v>
      </c>
      <c r="F1553">
        <v>5</v>
      </c>
      <c r="G1553">
        <f>IF(Table3[[#This Row],[Service_Window]]="Lunch",1,0)</f>
        <v>0</v>
      </c>
    </row>
    <row r="1554" spans="1:7" x14ac:dyDescent="0.2">
      <c r="A1554">
        <v>46003</v>
      </c>
      <c r="B1554" t="s">
        <v>96</v>
      </c>
      <c r="C1554" t="s">
        <v>14</v>
      </c>
      <c r="D1554">
        <v>4</v>
      </c>
      <c r="E1554">
        <v>0</v>
      </c>
      <c r="F1554">
        <v>5</v>
      </c>
      <c r="G1554">
        <f>IF(Table3[[#This Row],[Service_Window]]="Lunch",1,0)</f>
        <v>0</v>
      </c>
    </row>
    <row r="1555" spans="1:7" x14ac:dyDescent="0.2">
      <c r="A1555">
        <v>46003</v>
      </c>
      <c r="B1555" t="s">
        <v>96</v>
      </c>
      <c r="C1555" t="s">
        <v>14</v>
      </c>
      <c r="D1555">
        <v>3</v>
      </c>
      <c r="E1555">
        <v>0</v>
      </c>
      <c r="F1555">
        <v>5</v>
      </c>
      <c r="G1555">
        <f>IF(Table3[[#This Row],[Service_Window]]="Lunch",1,0)</f>
        <v>0</v>
      </c>
    </row>
    <row r="1556" spans="1:7" x14ac:dyDescent="0.2">
      <c r="A1556">
        <v>46003</v>
      </c>
      <c r="B1556" t="s">
        <v>96</v>
      </c>
      <c r="C1556" t="s">
        <v>43</v>
      </c>
      <c r="D1556">
        <v>2</v>
      </c>
      <c r="E1556">
        <v>0</v>
      </c>
      <c r="F1556">
        <v>5</v>
      </c>
      <c r="G1556">
        <f>IF(Table3[[#This Row],[Service_Window]]="Lunch",1,0)</f>
        <v>1</v>
      </c>
    </row>
    <row r="1557" spans="1:7" x14ac:dyDescent="0.2">
      <c r="A1557">
        <v>46003</v>
      </c>
      <c r="B1557" t="s">
        <v>96</v>
      </c>
      <c r="C1557" t="s">
        <v>43</v>
      </c>
      <c r="D1557">
        <v>1</v>
      </c>
      <c r="E1557">
        <v>1</v>
      </c>
      <c r="F1557">
        <v>5</v>
      </c>
      <c r="G1557">
        <f>IF(Table3[[#This Row],[Service_Window]]="Lunch",1,0)</f>
        <v>1</v>
      </c>
    </row>
    <row r="1558" spans="1:7" x14ac:dyDescent="0.2">
      <c r="A1558">
        <v>46003</v>
      </c>
      <c r="B1558" t="s">
        <v>96</v>
      </c>
      <c r="C1558" t="s">
        <v>43</v>
      </c>
      <c r="D1558">
        <v>3</v>
      </c>
      <c r="E1558">
        <v>1</v>
      </c>
      <c r="F1558">
        <v>5</v>
      </c>
      <c r="G1558">
        <f>IF(Table3[[#This Row],[Service_Window]]="Lunch",1,0)</f>
        <v>1</v>
      </c>
    </row>
    <row r="1559" spans="1:7" x14ac:dyDescent="0.2">
      <c r="A1559">
        <v>46003</v>
      </c>
      <c r="B1559" t="s">
        <v>96</v>
      </c>
      <c r="C1559" t="s">
        <v>43</v>
      </c>
      <c r="D1559">
        <v>3</v>
      </c>
      <c r="E1559">
        <v>0</v>
      </c>
      <c r="F1559">
        <v>5</v>
      </c>
      <c r="G1559">
        <f>IF(Table3[[#This Row],[Service_Window]]="Lunch",1,0)</f>
        <v>1</v>
      </c>
    </row>
    <row r="1560" spans="1:7" x14ac:dyDescent="0.2">
      <c r="A1560">
        <v>46003</v>
      </c>
      <c r="B1560" t="s">
        <v>96</v>
      </c>
      <c r="C1560" t="s">
        <v>43</v>
      </c>
      <c r="D1560">
        <v>2</v>
      </c>
      <c r="E1560">
        <v>1</v>
      </c>
      <c r="F1560">
        <v>5</v>
      </c>
      <c r="G1560">
        <f>IF(Table3[[#This Row],[Service_Window]]="Lunch",1,0)</f>
        <v>1</v>
      </c>
    </row>
    <row r="1561" spans="1:7" x14ac:dyDescent="0.2">
      <c r="A1561">
        <v>46003</v>
      </c>
      <c r="B1561" t="s">
        <v>96</v>
      </c>
      <c r="C1561" t="s">
        <v>43</v>
      </c>
      <c r="D1561">
        <v>3</v>
      </c>
      <c r="E1561">
        <v>1</v>
      </c>
      <c r="F1561">
        <v>5</v>
      </c>
      <c r="G1561">
        <f>IF(Table3[[#This Row],[Service_Window]]="Lunch",1,0)</f>
        <v>1</v>
      </c>
    </row>
    <row r="1562" spans="1:7" x14ac:dyDescent="0.2">
      <c r="A1562">
        <v>46003</v>
      </c>
      <c r="B1562" t="s">
        <v>96</v>
      </c>
      <c r="C1562" t="s">
        <v>43</v>
      </c>
      <c r="D1562">
        <v>2</v>
      </c>
      <c r="E1562">
        <v>0</v>
      </c>
      <c r="F1562">
        <v>5</v>
      </c>
      <c r="G1562">
        <f>IF(Table3[[#This Row],[Service_Window]]="Lunch",1,0)</f>
        <v>1</v>
      </c>
    </row>
    <row r="1563" spans="1:7" x14ac:dyDescent="0.2">
      <c r="A1563">
        <v>46003</v>
      </c>
      <c r="B1563" t="s">
        <v>96</v>
      </c>
      <c r="C1563" t="s">
        <v>43</v>
      </c>
      <c r="D1563">
        <v>3</v>
      </c>
      <c r="E1563">
        <v>1</v>
      </c>
      <c r="F1563">
        <v>5</v>
      </c>
      <c r="G1563">
        <f>IF(Table3[[#This Row],[Service_Window]]="Lunch",1,0)</f>
        <v>1</v>
      </c>
    </row>
    <row r="1564" spans="1:7" x14ac:dyDescent="0.2">
      <c r="A1564">
        <v>46003</v>
      </c>
      <c r="B1564" t="s">
        <v>96</v>
      </c>
      <c r="C1564" t="s">
        <v>43</v>
      </c>
      <c r="D1564">
        <v>2</v>
      </c>
      <c r="E1564">
        <v>0</v>
      </c>
      <c r="F1564">
        <v>5</v>
      </c>
      <c r="G1564">
        <f>IF(Table3[[#This Row],[Service_Window]]="Lunch",1,0)</f>
        <v>1</v>
      </c>
    </row>
    <row r="1565" spans="1:7" x14ac:dyDescent="0.2">
      <c r="A1565">
        <v>46004</v>
      </c>
      <c r="B1565" t="s">
        <v>127</v>
      </c>
      <c r="C1565" t="s">
        <v>14</v>
      </c>
      <c r="D1565">
        <v>6</v>
      </c>
      <c r="E1565">
        <v>0</v>
      </c>
      <c r="F1565">
        <v>6</v>
      </c>
      <c r="G1565">
        <f>IF(Table3[[#This Row],[Service_Window]]="Lunch",1,0)</f>
        <v>0</v>
      </c>
    </row>
    <row r="1566" spans="1:7" x14ac:dyDescent="0.2">
      <c r="A1566">
        <v>46004</v>
      </c>
      <c r="B1566" t="s">
        <v>127</v>
      </c>
      <c r="C1566" t="s">
        <v>14</v>
      </c>
      <c r="D1566">
        <v>3</v>
      </c>
      <c r="E1566">
        <v>0</v>
      </c>
      <c r="F1566">
        <v>6</v>
      </c>
      <c r="G1566">
        <f>IF(Table3[[#This Row],[Service_Window]]="Lunch",1,0)</f>
        <v>0</v>
      </c>
    </row>
    <row r="1567" spans="1:7" x14ac:dyDescent="0.2">
      <c r="A1567">
        <v>46004</v>
      </c>
      <c r="B1567" t="s">
        <v>127</v>
      </c>
      <c r="C1567" t="s">
        <v>14</v>
      </c>
      <c r="D1567">
        <v>2</v>
      </c>
      <c r="E1567">
        <v>0</v>
      </c>
      <c r="F1567">
        <v>6</v>
      </c>
      <c r="G1567">
        <f>IF(Table3[[#This Row],[Service_Window]]="Lunch",1,0)</f>
        <v>0</v>
      </c>
    </row>
    <row r="1568" spans="1:7" x14ac:dyDescent="0.2">
      <c r="A1568">
        <v>46004</v>
      </c>
      <c r="B1568" t="s">
        <v>127</v>
      </c>
      <c r="C1568" t="s">
        <v>14</v>
      </c>
      <c r="D1568">
        <v>4</v>
      </c>
      <c r="E1568">
        <v>0</v>
      </c>
      <c r="F1568">
        <v>6</v>
      </c>
      <c r="G1568">
        <f>IF(Table3[[#This Row],[Service_Window]]="Lunch",1,0)</f>
        <v>0</v>
      </c>
    </row>
    <row r="1569" spans="1:7" x14ac:dyDescent="0.2">
      <c r="A1569">
        <v>46004</v>
      </c>
      <c r="B1569" t="s">
        <v>127</v>
      </c>
      <c r="C1569" t="s">
        <v>14</v>
      </c>
      <c r="D1569">
        <v>5</v>
      </c>
      <c r="E1569">
        <v>0</v>
      </c>
      <c r="F1569">
        <v>6</v>
      </c>
      <c r="G1569">
        <f>IF(Table3[[#This Row],[Service_Window]]="Lunch",1,0)</f>
        <v>0</v>
      </c>
    </row>
    <row r="1570" spans="1:7" x14ac:dyDescent="0.2">
      <c r="A1570">
        <v>46004</v>
      </c>
      <c r="B1570" t="s">
        <v>127</v>
      </c>
      <c r="C1570" t="s">
        <v>14</v>
      </c>
      <c r="D1570">
        <v>2</v>
      </c>
      <c r="E1570">
        <v>0</v>
      </c>
      <c r="F1570">
        <v>6</v>
      </c>
      <c r="G1570">
        <f>IF(Table3[[#This Row],[Service_Window]]="Lunch",1,0)</f>
        <v>0</v>
      </c>
    </row>
    <row r="1571" spans="1:7" x14ac:dyDescent="0.2">
      <c r="A1571">
        <v>46004</v>
      </c>
      <c r="B1571" t="s">
        <v>127</v>
      </c>
      <c r="C1571" t="s">
        <v>14</v>
      </c>
      <c r="D1571">
        <v>5</v>
      </c>
      <c r="E1571">
        <v>0</v>
      </c>
      <c r="F1571">
        <v>6</v>
      </c>
      <c r="G1571">
        <f>IF(Table3[[#This Row],[Service_Window]]="Lunch",1,0)</f>
        <v>0</v>
      </c>
    </row>
    <row r="1572" spans="1:7" x14ac:dyDescent="0.2">
      <c r="A1572">
        <v>46004</v>
      </c>
      <c r="B1572" t="s">
        <v>127</v>
      </c>
      <c r="C1572" t="s">
        <v>14</v>
      </c>
      <c r="D1572">
        <v>4</v>
      </c>
      <c r="E1572">
        <v>0</v>
      </c>
      <c r="F1572">
        <v>6</v>
      </c>
      <c r="G1572">
        <f>IF(Table3[[#This Row],[Service_Window]]="Lunch",1,0)</f>
        <v>0</v>
      </c>
    </row>
    <row r="1573" spans="1:7" x14ac:dyDescent="0.2">
      <c r="A1573">
        <v>46004</v>
      </c>
      <c r="B1573" t="s">
        <v>127</v>
      </c>
      <c r="C1573" t="s">
        <v>14</v>
      </c>
      <c r="D1573">
        <v>2</v>
      </c>
      <c r="E1573">
        <v>0</v>
      </c>
      <c r="F1573">
        <v>6</v>
      </c>
      <c r="G1573">
        <f>IF(Table3[[#This Row],[Service_Window]]="Lunch",1,0)</f>
        <v>0</v>
      </c>
    </row>
    <row r="1574" spans="1:7" x14ac:dyDescent="0.2">
      <c r="A1574">
        <v>46004</v>
      </c>
      <c r="B1574" t="s">
        <v>127</v>
      </c>
      <c r="C1574" t="s">
        <v>14</v>
      </c>
      <c r="D1574">
        <v>2</v>
      </c>
      <c r="E1574">
        <v>0</v>
      </c>
      <c r="F1574">
        <v>6</v>
      </c>
      <c r="G1574">
        <f>IF(Table3[[#This Row],[Service_Window]]="Lunch",1,0)</f>
        <v>0</v>
      </c>
    </row>
    <row r="1575" spans="1:7" x14ac:dyDescent="0.2">
      <c r="A1575">
        <v>46004</v>
      </c>
      <c r="B1575" t="s">
        <v>127</v>
      </c>
      <c r="C1575" t="s">
        <v>14</v>
      </c>
      <c r="D1575">
        <v>2</v>
      </c>
      <c r="E1575">
        <v>0</v>
      </c>
      <c r="F1575">
        <v>6</v>
      </c>
      <c r="G1575">
        <f>IF(Table3[[#This Row],[Service_Window]]="Lunch",1,0)</f>
        <v>0</v>
      </c>
    </row>
    <row r="1576" spans="1:7" x14ac:dyDescent="0.2">
      <c r="A1576">
        <v>46004</v>
      </c>
      <c r="B1576" t="s">
        <v>127</v>
      </c>
      <c r="C1576" t="s">
        <v>14</v>
      </c>
      <c r="D1576">
        <v>5</v>
      </c>
      <c r="E1576">
        <v>0</v>
      </c>
      <c r="F1576">
        <v>6</v>
      </c>
      <c r="G1576">
        <f>IF(Table3[[#This Row],[Service_Window]]="Lunch",1,0)</f>
        <v>0</v>
      </c>
    </row>
    <row r="1577" spans="1:7" x14ac:dyDescent="0.2">
      <c r="A1577">
        <v>46004</v>
      </c>
      <c r="B1577" t="s">
        <v>127</v>
      </c>
      <c r="C1577" t="s">
        <v>14</v>
      </c>
      <c r="D1577">
        <v>5</v>
      </c>
      <c r="E1577">
        <v>0</v>
      </c>
      <c r="F1577">
        <v>6</v>
      </c>
      <c r="G1577">
        <f>IF(Table3[[#This Row],[Service_Window]]="Lunch",1,0)</f>
        <v>0</v>
      </c>
    </row>
    <row r="1578" spans="1:7" x14ac:dyDescent="0.2">
      <c r="A1578">
        <v>46004</v>
      </c>
      <c r="B1578" t="s">
        <v>127</v>
      </c>
      <c r="C1578" t="s">
        <v>14</v>
      </c>
      <c r="D1578">
        <v>5</v>
      </c>
      <c r="E1578">
        <v>0</v>
      </c>
      <c r="F1578">
        <v>6</v>
      </c>
      <c r="G1578">
        <f>IF(Table3[[#This Row],[Service_Window]]="Lunch",1,0)</f>
        <v>0</v>
      </c>
    </row>
    <row r="1579" spans="1:7" x14ac:dyDescent="0.2">
      <c r="A1579">
        <v>46004</v>
      </c>
      <c r="B1579" t="s">
        <v>127</v>
      </c>
      <c r="C1579" t="s">
        <v>14</v>
      </c>
      <c r="D1579">
        <v>1</v>
      </c>
      <c r="E1579">
        <v>0</v>
      </c>
      <c r="F1579">
        <v>6</v>
      </c>
      <c r="G1579">
        <f>IF(Table3[[#This Row],[Service_Window]]="Lunch",1,0)</f>
        <v>0</v>
      </c>
    </row>
    <row r="1580" spans="1:7" x14ac:dyDescent="0.2">
      <c r="A1580">
        <v>46004</v>
      </c>
      <c r="B1580" t="s">
        <v>127</v>
      </c>
      <c r="C1580" t="s">
        <v>14</v>
      </c>
      <c r="D1580">
        <v>2</v>
      </c>
      <c r="E1580">
        <v>0</v>
      </c>
      <c r="F1580">
        <v>6</v>
      </c>
      <c r="G1580">
        <f>IF(Table3[[#This Row],[Service_Window]]="Lunch",1,0)</f>
        <v>0</v>
      </c>
    </row>
    <row r="1581" spans="1:7" x14ac:dyDescent="0.2">
      <c r="A1581">
        <v>46004</v>
      </c>
      <c r="B1581" t="s">
        <v>127</v>
      </c>
      <c r="C1581" t="s">
        <v>14</v>
      </c>
      <c r="D1581">
        <v>4</v>
      </c>
      <c r="E1581">
        <v>0</v>
      </c>
      <c r="F1581">
        <v>6</v>
      </c>
      <c r="G1581">
        <f>IF(Table3[[#This Row],[Service_Window]]="Lunch",1,0)</f>
        <v>0</v>
      </c>
    </row>
    <row r="1582" spans="1:7" x14ac:dyDescent="0.2">
      <c r="A1582">
        <v>46004</v>
      </c>
      <c r="B1582" t="s">
        <v>127</v>
      </c>
      <c r="C1582" t="s">
        <v>14</v>
      </c>
      <c r="D1582">
        <v>2</v>
      </c>
      <c r="E1582">
        <v>0</v>
      </c>
      <c r="F1582">
        <v>6</v>
      </c>
      <c r="G1582">
        <f>IF(Table3[[#This Row],[Service_Window]]="Lunch",1,0)</f>
        <v>0</v>
      </c>
    </row>
    <row r="1583" spans="1:7" x14ac:dyDescent="0.2">
      <c r="A1583">
        <v>46004</v>
      </c>
      <c r="B1583" t="s">
        <v>127</v>
      </c>
      <c r="C1583" t="s">
        <v>14</v>
      </c>
      <c r="D1583">
        <v>7</v>
      </c>
      <c r="E1583">
        <v>0</v>
      </c>
      <c r="F1583">
        <v>6</v>
      </c>
      <c r="G1583">
        <f>IF(Table3[[#This Row],[Service_Window]]="Lunch",1,0)</f>
        <v>0</v>
      </c>
    </row>
    <row r="1584" spans="1:7" x14ac:dyDescent="0.2">
      <c r="A1584">
        <v>46004</v>
      </c>
      <c r="B1584" t="s">
        <v>127</v>
      </c>
      <c r="C1584" t="s">
        <v>14</v>
      </c>
      <c r="D1584">
        <v>1</v>
      </c>
      <c r="E1584">
        <v>0</v>
      </c>
      <c r="F1584">
        <v>6</v>
      </c>
      <c r="G1584">
        <f>IF(Table3[[#This Row],[Service_Window]]="Lunch",1,0)</f>
        <v>0</v>
      </c>
    </row>
    <row r="1585" spans="1:7" x14ac:dyDescent="0.2">
      <c r="A1585">
        <v>46004</v>
      </c>
      <c r="B1585" t="s">
        <v>127</v>
      </c>
      <c r="C1585" t="s">
        <v>14</v>
      </c>
      <c r="D1585">
        <v>4</v>
      </c>
      <c r="E1585">
        <v>0</v>
      </c>
      <c r="F1585">
        <v>6</v>
      </c>
      <c r="G1585">
        <f>IF(Table3[[#This Row],[Service_Window]]="Lunch",1,0)</f>
        <v>0</v>
      </c>
    </row>
    <row r="1586" spans="1:7" x14ac:dyDescent="0.2">
      <c r="A1586">
        <v>46004</v>
      </c>
      <c r="B1586" t="s">
        <v>127</v>
      </c>
      <c r="C1586" t="s">
        <v>14</v>
      </c>
      <c r="D1586">
        <v>3</v>
      </c>
      <c r="E1586">
        <v>0</v>
      </c>
      <c r="F1586">
        <v>6</v>
      </c>
      <c r="G1586">
        <f>IF(Table3[[#This Row],[Service_Window]]="Lunch",1,0)</f>
        <v>0</v>
      </c>
    </row>
    <row r="1587" spans="1:7" x14ac:dyDescent="0.2">
      <c r="A1587">
        <v>46004</v>
      </c>
      <c r="B1587" t="s">
        <v>127</v>
      </c>
      <c r="C1587" t="s">
        <v>14</v>
      </c>
      <c r="D1587">
        <v>2</v>
      </c>
      <c r="E1587">
        <v>0</v>
      </c>
      <c r="F1587">
        <v>6</v>
      </c>
      <c r="G1587">
        <f>IF(Table3[[#This Row],[Service_Window]]="Lunch",1,0)</f>
        <v>0</v>
      </c>
    </row>
    <row r="1588" spans="1:7" x14ac:dyDescent="0.2">
      <c r="A1588">
        <v>46004</v>
      </c>
      <c r="B1588" t="s">
        <v>127</v>
      </c>
      <c r="C1588" t="s">
        <v>14</v>
      </c>
      <c r="D1588">
        <v>1</v>
      </c>
      <c r="E1588">
        <v>0</v>
      </c>
      <c r="F1588">
        <v>6</v>
      </c>
      <c r="G1588">
        <f>IF(Table3[[#This Row],[Service_Window]]="Lunch",1,0)</f>
        <v>0</v>
      </c>
    </row>
    <row r="1589" spans="1:7" x14ac:dyDescent="0.2">
      <c r="A1589">
        <v>46004</v>
      </c>
      <c r="B1589" t="s">
        <v>127</v>
      </c>
      <c r="C1589" t="s">
        <v>43</v>
      </c>
      <c r="D1589">
        <v>5</v>
      </c>
      <c r="E1589">
        <v>0</v>
      </c>
      <c r="F1589">
        <v>6</v>
      </c>
      <c r="G1589">
        <f>IF(Table3[[#This Row],[Service_Window]]="Lunch",1,0)</f>
        <v>1</v>
      </c>
    </row>
    <row r="1590" spans="1:7" x14ac:dyDescent="0.2">
      <c r="A1590">
        <v>46004</v>
      </c>
      <c r="B1590" t="s">
        <v>127</v>
      </c>
      <c r="C1590" t="s">
        <v>43</v>
      </c>
      <c r="D1590">
        <v>7</v>
      </c>
      <c r="E1590">
        <v>0</v>
      </c>
      <c r="F1590">
        <v>6</v>
      </c>
      <c r="G1590">
        <f>IF(Table3[[#This Row],[Service_Window]]="Lunch",1,0)</f>
        <v>1</v>
      </c>
    </row>
    <row r="1591" spans="1:7" x14ac:dyDescent="0.2">
      <c r="A1591">
        <v>46004</v>
      </c>
      <c r="B1591" t="s">
        <v>127</v>
      </c>
      <c r="C1591" t="s">
        <v>43</v>
      </c>
      <c r="D1591">
        <v>2</v>
      </c>
      <c r="E1591">
        <v>0</v>
      </c>
      <c r="F1591">
        <v>6</v>
      </c>
      <c r="G1591">
        <f>IF(Table3[[#This Row],[Service_Window]]="Lunch",1,0)</f>
        <v>1</v>
      </c>
    </row>
    <row r="1592" spans="1:7" x14ac:dyDescent="0.2">
      <c r="A1592">
        <v>46004</v>
      </c>
      <c r="B1592" t="s">
        <v>127</v>
      </c>
      <c r="C1592" t="s">
        <v>43</v>
      </c>
      <c r="D1592">
        <v>1</v>
      </c>
      <c r="E1592">
        <v>0</v>
      </c>
      <c r="F1592">
        <v>6</v>
      </c>
      <c r="G1592">
        <f>IF(Table3[[#This Row],[Service_Window]]="Lunch",1,0)</f>
        <v>1</v>
      </c>
    </row>
    <row r="1593" spans="1:7" x14ac:dyDescent="0.2">
      <c r="A1593">
        <v>46005</v>
      </c>
      <c r="B1593" t="s">
        <v>171</v>
      </c>
      <c r="C1593" t="s">
        <v>14</v>
      </c>
      <c r="D1593">
        <v>2</v>
      </c>
      <c r="E1593">
        <v>0</v>
      </c>
      <c r="F1593">
        <v>7</v>
      </c>
      <c r="G1593">
        <f>IF(Table3[[#This Row],[Service_Window]]="Lunch",1,0)</f>
        <v>0</v>
      </c>
    </row>
    <row r="1594" spans="1:7" x14ac:dyDescent="0.2">
      <c r="A1594">
        <v>46005</v>
      </c>
      <c r="B1594" t="s">
        <v>171</v>
      </c>
      <c r="C1594" t="s">
        <v>14</v>
      </c>
      <c r="D1594">
        <v>3</v>
      </c>
      <c r="E1594">
        <v>0</v>
      </c>
      <c r="F1594">
        <v>7</v>
      </c>
      <c r="G1594">
        <f>IF(Table3[[#This Row],[Service_Window]]="Lunch",1,0)</f>
        <v>0</v>
      </c>
    </row>
    <row r="1595" spans="1:7" x14ac:dyDescent="0.2">
      <c r="A1595">
        <v>46005</v>
      </c>
      <c r="B1595" t="s">
        <v>171</v>
      </c>
      <c r="C1595" t="s">
        <v>14</v>
      </c>
      <c r="D1595">
        <v>4</v>
      </c>
      <c r="E1595">
        <v>0</v>
      </c>
      <c r="F1595">
        <v>7</v>
      </c>
      <c r="G1595">
        <f>IF(Table3[[#This Row],[Service_Window]]="Lunch",1,0)</f>
        <v>0</v>
      </c>
    </row>
    <row r="1596" spans="1:7" x14ac:dyDescent="0.2">
      <c r="A1596">
        <v>46005</v>
      </c>
      <c r="B1596" t="s">
        <v>171</v>
      </c>
      <c r="C1596" t="s">
        <v>14</v>
      </c>
      <c r="D1596">
        <v>4</v>
      </c>
      <c r="E1596">
        <v>0</v>
      </c>
      <c r="F1596">
        <v>7</v>
      </c>
      <c r="G1596">
        <f>IF(Table3[[#This Row],[Service_Window]]="Lunch",1,0)</f>
        <v>0</v>
      </c>
    </row>
    <row r="1597" spans="1:7" x14ac:dyDescent="0.2">
      <c r="A1597">
        <v>46005</v>
      </c>
      <c r="B1597" t="s">
        <v>171</v>
      </c>
      <c r="C1597" t="s">
        <v>14</v>
      </c>
      <c r="D1597">
        <v>5</v>
      </c>
      <c r="E1597">
        <v>0</v>
      </c>
      <c r="F1597">
        <v>7</v>
      </c>
      <c r="G1597">
        <f>IF(Table3[[#This Row],[Service_Window]]="Lunch",1,0)</f>
        <v>0</v>
      </c>
    </row>
    <row r="1598" spans="1:7" x14ac:dyDescent="0.2">
      <c r="A1598">
        <v>46005</v>
      </c>
      <c r="B1598" t="s">
        <v>171</v>
      </c>
      <c r="C1598" t="s">
        <v>14</v>
      </c>
      <c r="D1598">
        <v>3</v>
      </c>
      <c r="E1598">
        <v>0</v>
      </c>
      <c r="F1598">
        <v>7</v>
      </c>
      <c r="G1598">
        <f>IF(Table3[[#This Row],[Service_Window]]="Lunch",1,0)</f>
        <v>0</v>
      </c>
    </row>
    <row r="1599" spans="1:7" x14ac:dyDescent="0.2">
      <c r="A1599">
        <v>46005</v>
      </c>
      <c r="B1599" t="s">
        <v>171</v>
      </c>
      <c r="C1599" t="s">
        <v>14</v>
      </c>
      <c r="D1599">
        <v>3</v>
      </c>
      <c r="E1599">
        <v>0</v>
      </c>
      <c r="F1599">
        <v>7</v>
      </c>
      <c r="G1599">
        <f>IF(Table3[[#This Row],[Service_Window]]="Lunch",1,0)</f>
        <v>0</v>
      </c>
    </row>
    <row r="1600" spans="1:7" x14ac:dyDescent="0.2">
      <c r="A1600">
        <v>46005</v>
      </c>
      <c r="B1600" t="s">
        <v>171</v>
      </c>
      <c r="C1600" t="s">
        <v>14</v>
      </c>
      <c r="D1600">
        <v>4</v>
      </c>
      <c r="E1600">
        <v>0</v>
      </c>
      <c r="F1600">
        <v>7</v>
      </c>
      <c r="G1600">
        <f>IF(Table3[[#This Row],[Service_Window]]="Lunch",1,0)</f>
        <v>0</v>
      </c>
    </row>
    <row r="1601" spans="1:7" x14ac:dyDescent="0.2">
      <c r="A1601">
        <v>46005</v>
      </c>
      <c r="B1601" t="s">
        <v>171</v>
      </c>
      <c r="C1601" t="s">
        <v>14</v>
      </c>
      <c r="D1601">
        <v>2</v>
      </c>
      <c r="E1601">
        <v>0</v>
      </c>
      <c r="F1601">
        <v>7</v>
      </c>
      <c r="G1601">
        <f>IF(Table3[[#This Row],[Service_Window]]="Lunch",1,0)</f>
        <v>0</v>
      </c>
    </row>
    <row r="1602" spans="1:7" x14ac:dyDescent="0.2">
      <c r="A1602">
        <v>46005</v>
      </c>
      <c r="B1602" t="s">
        <v>171</v>
      </c>
      <c r="C1602" t="s">
        <v>14</v>
      </c>
      <c r="D1602">
        <v>3</v>
      </c>
      <c r="E1602">
        <v>0</v>
      </c>
      <c r="F1602">
        <v>7</v>
      </c>
      <c r="G1602">
        <f>IF(Table3[[#This Row],[Service_Window]]="Lunch",1,0)</f>
        <v>0</v>
      </c>
    </row>
    <row r="1603" spans="1:7" x14ac:dyDescent="0.2">
      <c r="A1603">
        <v>46005</v>
      </c>
      <c r="B1603" t="s">
        <v>171</v>
      </c>
      <c r="C1603" t="s">
        <v>14</v>
      </c>
      <c r="D1603">
        <v>6</v>
      </c>
      <c r="E1603">
        <v>0</v>
      </c>
      <c r="F1603">
        <v>7</v>
      </c>
      <c r="G1603">
        <f>IF(Table3[[#This Row],[Service_Window]]="Lunch",1,0)</f>
        <v>0</v>
      </c>
    </row>
    <row r="1604" spans="1:7" x14ac:dyDescent="0.2">
      <c r="A1604">
        <v>46005</v>
      </c>
      <c r="B1604" t="s">
        <v>171</v>
      </c>
      <c r="C1604" t="s">
        <v>14</v>
      </c>
      <c r="D1604">
        <v>3</v>
      </c>
      <c r="E1604">
        <v>0</v>
      </c>
      <c r="F1604">
        <v>7</v>
      </c>
      <c r="G1604">
        <f>IF(Table3[[#This Row],[Service_Window]]="Lunch",1,0)</f>
        <v>0</v>
      </c>
    </row>
    <row r="1605" spans="1:7" x14ac:dyDescent="0.2">
      <c r="A1605">
        <v>46005</v>
      </c>
      <c r="B1605" t="s">
        <v>171</v>
      </c>
      <c r="C1605" t="s">
        <v>14</v>
      </c>
      <c r="D1605">
        <v>4</v>
      </c>
      <c r="E1605">
        <v>0</v>
      </c>
      <c r="F1605">
        <v>7</v>
      </c>
      <c r="G1605">
        <f>IF(Table3[[#This Row],[Service_Window]]="Lunch",1,0)</f>
        <v>0</v>
      </c>
    </row>
    <row r="1606" spans="1:7" x14ac:dyDescent="0.2">
      <c r="A1606">
        <v>46005</v>
      </c>
      <c r="B1606" t="s">
        <v>171</v>
      </c>
      <c r="C1606" t="s">
        <v>14</v>
      </c>
      <c r="D1606">
        <v>6</v>
      </c>
      <c r="E1606">
        <v>0</v>
      </c>
      <c r="F1606">
        <v>7</v>
      </c>
      <c r="G1606">
        <f>IF(Table3[[#This Row],[Service_Window]]="Lunch",1,0)</f>
        <v>0</v>
      </c>
    </row>
    <row r="1607" spans="1:7" x14ac:dyDescent="0.2">
      <c r="A1607">
        <v>46005</v>
      </c>
      <c r="B1607" t="s">
        <v>171</v>
      </c>
      <c r="C1607" t="s">
        <v>14</v>
      </c>
      <c r="D1607">
        <v>3</v>
      </c>
      <c r="E1607">
        <v>0</v>
      </c>
      <c r="F1607">
        <v>7</v>
      </c>
      <c r="G1607">
        <f>IF(Table3[[#This Row],[Service_Window]]="Lunch",1,0)</f>
        <v>0</v>
      </c>
    </row>
    <row r="1608" spans="1:7" x14ac:dyDescent="0.2">
      <c r="A1608">
        <v>46005</v>
      </c>
      <c r="B1608" t="s">
        <v>171</v>
      </c>
      <c r="C1608" t="s">
        <v>14</v>
      </c>
      <c r="D1608">
        <v>4</v>
      </c>
      <c r="E1608">
        <v>0</v>
      </c>
      <c r="F1608">
        <v>7</v>
      </c>
      <c r="G1608">
        <f>IF(Table3[[#This Row],[Service_Window]]="Lunch",1,0)</f>
        <v>0</v>
      </c>
    </row>
    <row r="1609" spans="1:7" x14ac:dyDescent="0.2">
      <c r="A1609">
        <v>46005</v>
      </c>
      <c r="B1609" t="s">
        <v>171</v>
      </c>
      <c r="C1609" t="s">
        <v>43</v>
      </c>
      <c r="D1609">
        <v>4</v>
      </c>
      <c r="E1609">
        <v>0</v>
      </c>
      <c r="F1609">
        <v>7</v>
      </c>
      <c r="G1609">
        <f>IF(Table3[[#This Row],[Service_Window]]="Lunch",1,0)</f>
        <v>1</v>
      </c>
    </row>
    <row r="1610" spans="1:7" x14ac:dyDescent="0.2">
      <c r="A1610">
        <v>46005</v>
      </c>
      <c r="B1610" t="s">
        <v>171</v>
      </c>
      <c r="C1610" t="s">
        <v>43</v>
      </c>
      <c r="D1610">
        <v>3</v>
      </c>
      <c r="E1610">
        <v>0</v>
      </c>
      <c r="F1610">
        <v>7</v>
      </c>
      <c r="G1610">
        <f>IF(Table3[[#This Row],[Service_Window]]="Lunch",1,0)</f>
        <v>1</v>
      </c>
    </row>
    <row r="1611" spans="1:7" x14ac:dyDescent="0.2">
      <c r="A1611">
        <v>46005</v>
      </c>
      <c r="B1611" t="s">
        <v>171</v>
      </c>
      <c r="C1611" t="s">
        <v>43</v>
      </c>
      <c r="D1611">
        <v>4</v>
      </c>
      <c r="E1611">
        <v>0</v>
      </c>
      <c r="F1611">
        <v>7</v>
      </c>
      <c r="G1611">
        <f>IF(Table3[[#This Row],[Service_Window]]="Lunch",1,0)</f>
        <v>1</v>
      </c>
    </row>
    <row r="1612" spans="1:7" x14ac:dyDescent="0.2">
      <c r="A1612">
        <v>46005</v>
      </c>
      <c r="B1612" t="s">
        <v>171</v>
      </c>
      <c r="C1612" t="s">
        <v>43</v>
      </c>
      <c r="D1612">
        <v>2</v>
      </c>
      <c r="E1612">
        <v>0</v>
      </c>
      <c r="F1612">
        <v>7</v>
      </c>
      <c r="G1612">
        <f>IF(Table3[[#This Row],[Service_Window]]="Lunch",1,0)</f>
        <v>1</v>
      </c>
    </row>
    <row r="1613" spans="1:7" x14ac:dyDescent="0.2">
      <c r="A1613">
        <v>46006</v>
      </c>
      <c r="B1613" t="s">
        <v>213</v>
      </c>
      <c r="C1613" t="s">
        <v>14</v>
      </c>
      <c r="D1613">
        <v>1</v>
      </c>
      <c r="E1613">
        <v>0</v>
      </c>
      <c r="F1613">
        <v>1</v>
      </c>
      <c r="G1613">
        <f>IF(Table3[[#This Row],[Service_Window]]="Lunch",1,0)</f>
        <v>0</v>
      </c>
    </row>
    <row r="1614" spans="1:7" x14ac:dyDescent="0.2">
      <c r="A1614">
        <v>46006</v>
      </c>
      <c r="B1614" t="s">
        <v>213</v>
      </c>
      <c r="C1614" t="s">
        <v>14</v>
      </c>
      <c r="D1614">
        <v>1</v>
      </c>
      <c r="E1614">
        <v>0</v>
      </c>
      <c r="F1614">
        <v>1</v>
      </c>
      <c r="G1614">
        <f>IF(Table3[[#This Row],[Service_Window]]="Lunch",1,0)</f>
        <v>0</v>
      </c>
    </row>
    <row r="1615" spans="1:7" x14ac:dyDescent="0.2">
      <c r="A1615">
        <v>46006</v>
      </c>
      <c r="B1615" t="s">
        <v>213</v>
      </c>
      <c r="C1615" t="s">
        <v>14</v>
      </c>
      <c r="D1615">
        <v>1</v>
      </c>
      <c r="E1615">
        <v>0</v>
      </c>
      <c r="F1615">
        <v>1</v>
      </c>
      <c r="G1615">
        <f>IF(Table3[[#This Row],[Service_Window]]="Lunch",1,0)</f>
        <v>0</v>
      </c>
    </row>
    <row r="1616" spans="1:7" x14ac:dyDescent="0.2">
      <c r="A1616">
        <v>46006</v>
      </c>
      <c r="B1616" t="s">
        <v>213</v>
      </c>
      <c r="C1616" t="s">
        <v>14</v>
      </c>
      <c r="D1616">
        <v>4</v>
      </c>
      <c r="E1616">
        <v>0</v>
      </c>
      <c r="F1616">
        <v>1</v>
      </c>
      <c r="G1616">
        <f>IF(Table3[[#This Row],[Service_Window]]="Lunch",1,0)</f>
        <v>0</v>
      </c>
    </row>
    <row r="1617" spans="1:7" x14ac:dyDescent="0.2">
      <c r="A1617">
        <v>46006</v>
      </c>
      <c r="B1617" t="s">
        <v>213</v>
      </c>
      <c r="C1617" t="s">
        <v>14</v>
      </c>
      <c r="D1617">
        <v>3</v>
      </c>
      <c r="E1617">
        <v>0</v>
      </c>
      <c r="F1617">
        <v>1</v>
      </c>
      <c r="G1617">
        <f>IF(Table3[[#This Row],[Service_Window]]="Lunch",1,0)</f>
        <v>0</v>
      </c>
    </row>
    <row r="1618" spans="1:7" x14ac:dyDescent="0.2">
      <c r="A1618">
        <v>46006</v>
      </c>
      <c r="B1618" t="s">
        <v>213</v>
      </c>
      <c r="C1618" t="s">
        <v>14</v>
      </c>
      <c r="D1618">
        <v>1</v>
      </c>
      <c r="E1618">
        <v>0</v>
      </c>
      <c r="F1618">
        <v>1</v>
      </c>
      <c r="G1618">
        <f>IF(Table3[[#This Row],[Service_Window]]="Lunch",1,0)</f>
        <v>0</v>
      </c>
    </row>
    <row r="1619" spans="1:7" x14ac:dyDescent="0.2">
      <c r="A1619">
        <v>46006</v>
      </c>
      <c r="B1619" t="s">
        <v>213</v>
      </c>
      <c r="C1619" t="s">
        <v>14</v>
      </c>
      <c r="D1619">
        <v>6</v>
      </c>
      <c r="E1619">
        <v>0</v>
      </c>
      <c r="F1619">
        <v>1</v>
      </c>
      <c r="G1619">
        <f>IF(Table3[[#This Row],[Service_Window]]="Lunch",1,0)</f>
        <v>0</v>
      </c>
    </row>
    <row r="1620" spans="1:7" x14ac:dyDescent="0.2">
      <c r="A1620">
        <v>46006</v>
      </c>
      <c r="B1620" t="s">
        <v>213</v>
      </c>
      <c r="C1620" t="s">
        <v>14</v>
      </c>
      <c r="D1620">
        <v>3</v>
      </c>
      <c r="E1620">
        <v>0</v>
      </c>
      <c r="F1620">
        <v>1</v>
      </c>
      <c r="G1620">
        <f>IF(Table3[[#This Row],[Service_Window]]="Lunch",1,0)</f>
        <v>0</v>
      </c>
    </row>
    <row r="1621" spans="1:7" x14ac:dyDescent="0.2">
      <c r="A1621">
        <v>46006</v>
      </c>
      <c r="B1621" t="s">
        <v>213</v>
      </c>
      <c r="C1621" t="s">
        <v>14</v>
      </c>
      <c r="D1621">
        <v>5</v>
      </c>
      <c r="E1621">
        <v>0</v>
      </c>
      <c r="F1621">
        <v>1</v>
      </c>
      <c r="G1621">
        <f>IF(Table3[[#This Row],[Service_Window]]="Lunch",1,0)</f>
        <v>0</v>
      </c>
    </row>
    <row r="1622" spans="1:7" x14ac:dyDescent="0.2">
      <c r="A1622">
        <v>46006</v>
      </c>
      <c r="B1622" t="s">
        <v>213</v>
      </c>
      <c r="C1622" t="s">
        <v>14</v>
      </c>
      <c r="D1622">
        <v>1</v>
      </c>
      <c r="E1622">
        <v>0</v>
      </c>
      <c r="F1622">
        <v>1</v>
      </c>
      <c r="G1622">
        <f>IF(Table3[[#This Row],[Service_Window]]="Lunch",1,0)</f>
        <v>0</v>
      </c>
    </row>
    <row r="1623" spans="1:7" x14ac:dyDescent="0.2">
      <c r="A1623">
        <v>46006</v>
      </c>
      <c r="B1623" t="s">
        <v>213</v>
      </c>
      <c r="C1623" t="s">
        <v>14</v>
      </c>
      <c r="D1623">
        <v>3</v>
      </c>
      <c r="E1623">
        <v>0</v>
      </c>
      <c r="F1623">
        <v>1</v>
      </c>
      <c r="G1623">
        <f>IF(Table3[[#This Row],[Service_Window]]="Lunch",1,0)</f>
        <v>0</v>
      </c>
    </row>
    <row r="1624" spans="1:7" x14ac:dyDescent="0.2">
      <c r="A1624">
        <v>46006</v>
      </c>
      <c r="B1624" t="s">
        <v>213</v>
      </c>
      <c r="C1624" t="s">
        <v>14</v>
      </c>
      <c r="D1624">
        <v>5</v>
      </c>
      <c r="E1624">
        <v>0</v>
      </c>
      <c r="F1624">
        <v>1</v>
      </c>
      <c r="G1624">
        <f>IF(Table3[[#This Row],[Service_Window]]="Lunch",1,0)</f>
        <v>0</v>
      </c>
    </row>
    <row r="1625" spans="1:7" x14ac:dyDescent="0.2">
      <c r="A1625">
        <v>46006</v>
      </c>
      <c r="B1625" t="s">
        <v>213</v>
      </c>
      <c r="C1625" t="s">
        <v>14</v>
      </c>
      <c r="D1625">
        <v>1</v>
      </c>
      <c r="E1625">
        <v>0</v>
      </c>
      <c r="F1625">
        <v>1</v>
      </c>
      <c r="G1625">
        <f>IF(Table3[[#This Row],[Service_Window]]="Lunch",1,0)</f>
        <v>0</v>
      </c>
    </row>
    <row r="1626" spans="1:7" x14ac:dyDescent="0.2">
      <c r="A1626">
        <v>46006</v>
      </c>
      <c r="B1626" t="s">
        <v>213</v>
      </c>
      <c r="C1626" t="s">
        <v>14</v>
      </c>
      <c r="D1626">
        <v>2</v>
      </c>
      <c r="E1626">
        <v>0</v>
      </c>
      <c r="F1626">
        <v>1</v>
      </c>
      <c r="G1626">
        <f>IF(Table3[[#This Row],[Service_Window]]="Lunch",1,0)</f>
        <v>0</v>
      </c>
    </row>
    <row r="1627" spans="1:7" x14ac:dyDescent="0.2">
      <c r="A1627">
        <v>46006</v>
      </c>
      <c r="B1627" t="s">
        <v>213</v>
      </c>
      <c r="C1627" t="s">
        <v>43</v>
      </c>
      <c r="D1627">
        <v>3</v>
      </c>
      <c r="E1627">
        <v>0</v>
      </c>
      <c r="F1627">
        <v>1</v>
      </c>
      <c r="G1627">
        <f>IF(Table3[[#This Row],[Service_Window]]="Lunch",1,0)</f>
        <v>1</v>
      </c>
    </row>
    <row r="1628" spans="1:7" x14ac:dyDescent="0.2">
      <c r="A1628">
        <v>46006</v>
      </c>
      <c r="B1628" t="s">
        <v>213</v>
      </c>
      <c r="C1628" t="s">
        <v>43</v>
      </c>
      <c r="D1628">
        <v>1</v>
      </c>
      <c r="E1628">
        <v>0</v>
      </c>
      <c r="F1628">
        <v>1</v>
      </c>
      <c r="G1628">
        <f>IF(Table3[[#This Row],[Service_Window]]="Lunch",1,0)</f>
        <v>1</v>
      </c>
    </row>
    <row r="1629" spans="1:7" x14ac:dyDescent="0.2">
      <c r="A1629">
        <v>46006</v>
      </c>
      <c r="B1629" t="s">
        <v>213</v>
      </c>
      <c r="C1629" t="s">
        <v>43</v>
      </c>
      <c r="D1629">
        <v>4</v>
      </c>
      <c r="E1629">
        <v>0</v>
      </c>
      <c r="F1629">
        <v>1</v>
      </c>
      <c r="G1629">
        <f>IF(Table3[[#This Row],[Service_Window]]="Lunch",1,0)</f>
        <v>1</v>
      </c>
    </row>
    <row r="1630" spans="1:7" x14ac:dyDescent="0.2">
      <c r="A1630">
        <v>46006</v>
      </c>
      <c r="B1630" t="s">
        <v>213</v>
      </c>
      <c r="C1630" t="s">
        <v>43</v>
      </c>
      <c r="D1630">
        <v>1</v>
      </c>
      <c r="E1630">
        <v>0</v>
      </c>
      <c r="F1630">
        <v>1</v>
      </c>
      <c r="G1630">
        <f>IF(Table3[[#This Row],[Service_Window]]="Lunch",1,0)</f>
        <v>1</v>
      </c>
    </row>
    <row r="1631" spans="1:7" x14ac:dyDescent="0.2">
      <c r="A1631">
        <v>46006</v>
      </c>
      <c r="B1631" t="s">
        <v>213</v>
      </c>
      <c r="C1631" t="s">
        <v>43</v>
      </c>
      <c r="D1631">
        <v>3</v>
      </c>
      <c r="E1631">
        <v>0</v>
      </c>
      <c r="F1631">
        <v>1</v>
      </c>
      <c r="G1631">
        <f>IF(Table3[[#This Row],[Service_Window]]="Lunch",1,0)</f>
        <v>1</v>
      </c>
    </row>
    <row r="1632" spans="1:7" x14ac:dyDescent="0.2">
      <c r="A1632">
        <v>46007</v>
      </c>
      <c r="B1632" t="s">
        <v>250</v>
      </c>
      <c r="C1632" t="s">
        <v>14</v>
      </c>
      <c r="D1632">
        <v>4</v>
      </c>
      <c r="E1632">
        <v>0</v>
      </c>
      <c r="F1632">
        <v>2</v>
      </c>
      <c r="G1632">
        <f>IF(Table3[[#This Row],[Service_Window]]="Lunch",1,0)</f>
        <v>0</v>
      </c>
    </row>
    <row r="1633" spans="1:7" x14ac:dyDescent="0.2">
      <c r="A1633">
        <v>46007</v>
      </c>
      <c r="B1633" t="s">
        <v>250</v>
      </c>
      <c r="C1633" t="s">
        <v>14</v>
      </c>
      <c r="D1633">
        <v>1</v>
      </c>
      <c r="E1633">
        <v>0</v>
      </c>
      <c r="F1633">
        <v>2</v>
      </c>
      <c r="G1633">
        <f>IF(Table3[[#This Row],[Service_Window]]="Lunch",1,0)</f>
        <v>0</v>
      </c>
    </row>
    <row r="1634" spans="1:7" x14ac:dyDescent="0.2">
      <c r="A1634">
        <v>46007</v>
      </c>
      <c r="B1634" t="s">
        <v>250</v>
      </c>
      <c r="C1634" t="s">
        <v>14</v>
      </c>
      <c r="D1634">
        <v>1</v>
      </c>
      <c r="E1634">
        <v>0</v>
      </c>
      <c r="F1634">
        <v>2</v>
      </c>
      <c r="G1634">
        <f>IF(Table3[[#This Row],[Service_Window]]="Lunch",1,0)</f>
        <v>0</v>
      </c>
    </row>
    <row r="1635" spans="1:7" x14ac:dyDescent="0.2">
      <c r="A1635">
        <v>46007</v>
      </c>
      <c r="B1635" t="s">
        <v>250</v>
      </c>
      <c r="C1635" t="s">
        <v>14</v>
      </c>
      <c r="D1635">
        <v>3</v>
      </c>
      <c r="E1635">
        <v>0</v>
      </c>
      <c r="F1635">
        <v>2</v>
      </c>
      <c r="G1635">
        <f>IF(Table3[[#This Row],[Service_Window]]="Lunch",1,0)</f>
        <v>0</v>
      </c>
    </row>
    <row r="1636" spans="1:7" x14ac:dyDescent="0.2">
      <c r="A1636">
        <v>46007</v>
      </c>
      <c r="B1636" t="s">
        <v>250</v>
      </c>
      <c r="C1636" t="s">
        <v>14</v>
      </c>
      <c r="D1636">
        <v>1</v>
      </c>
      <c r="E1636">
        <v>0</v>
      </c>
      <c r="F1636">
        <v>2</v>
      </c>
      <c r="G1636">
        <f>IF(Table3[[#This Row],[Service_Window]]="Lunch",1,0)</f>
        <v>0</v>
      </c>
    </row>
    <row r="1637" spans="1:7" x14ac:dyDescent="0.2">
      <c r="A1637">
        <v>46007</v>
      </c>
      <c r="B1637" t="s">
        <v>250</v>
      </c>
      <c r="C1637" t="s">
        <v>14</v>
      </c>
      <c r="D1637">
        <v>2</v>
      </c>
      <c r="E1637">
        <v>0</v>
      </c>
      <c r="F1637">
        <v>2</v>
      </c>
      <c r="G1637">
        <f>IF(Table3[[#This Row],[Service_Window]]="Lunch",1,0)</f>
        <v>0</v>
      </c>
    </row>
    <row r="1638" spans="1:7" x14ac:dyDescent="0.2">
      <c r="A1638">
        <v>46007</v>
      </c>
      <c r="B1638" t="s">
        <v>250</v>
      </c>
      <c r="C1638" t="s">
        <v>14</v>
      </c>
      <c r="D1638">
        <v>2</v>
      </c>
      <c r="E1638">
        <v>0</v>
      </c>
      <c r="F1638">
        <v>2</v>
      </c>
      <c r="G1638">
        <f>IF(Table3[[#This Row],[Service_Window]]="Lunch",1,0)</f>
        <v>0</v>
      </c>
    </row>
    <row r="1639" spans="1:7" x14ac:dyDescent="0.2">
      <c r="A1639">
        <v>46007</v>
      </c>
      <c r="B1639" t="s">
        <v>250</v>
      </c>
      <c r="C1639" t="s">
        <v>14</v>
      </c>
      <c r="D1639">
        <v>5</v>
      </c>
      <c r="E1639">
        <v>0</v>
      </c>
      <c r="F1639">
        <v>2</v>
      </c>
      <c r="G1639">
        <f>IF(Table3[[#This Row],[Service_Window]]="Lunch",1,0)</f>
        <v>0</v>
      </c>
    </row>
    <row r="1640" spans="1:7" x14ac:dyDescent="0.2">
      <c r="A1640">
        <v>46007</v>
      </c>
      <c r="B1640" t="s">
        <v>250</v>
      </c>
      <c r="C1640" t="s">
        <v>14</v>
      </c>
      <c r="D1640">
        <v>1</v>
      </c>
      <c r="E1640">
        <v>0</v>
      </c>
      <c r="F1640">
        <v>2</v>
      </c>
      <c r="G1640">
        <f>IF(Table3[[#This Row],[Service_Window]]="Lunch",1,0)</f>
        <v>0</v>
      </c>
    </row>
    <row r="1641" spans="1:7" x14ac:dyDescent="0.2">
      <c r="A1641">
        <v>46007</v>
      </c>
      <c r="B1641" t="s">
        <v>250</v>
      </c>
      <c r="C1641" t="s">
        <v>14</v>
      </c>
      <c r="D1641">
        <v>2</v>
      </c>
      <c r="E1641">
        <v>0</v>
      </c>
      <c r="F1641">
        <v>2</v>
      </c>
      <c r="G1641">
        <f>IF(Table3[[#This Row],[Service_Window]]="Lunch",1,0)</f>
        <v>0</v>
      </c>
    </row>
    <row r="1642" spans="1:7" x14ac:dyDescent="0.2">
      <c r="A1642">
        <v>46007</v>
      </c>
      <c r="B1642" t="s">
        <v>250</v>
      </c>
      <c r="C1642" t="s">
        <v>14</v>
      </c>
      <c r="D1642">
        <v>6</v>
      </c>
      <c r="E1642">
        <v>0</v>
      </c>
      <c r="F1642">
        <v>2</v>
      </c>
      <c r="G1642">
        <f>IF(Table3[[#This Row],[Service_Window]]="Lunch",1,0)</f>
        <v>0</v>
      </c>
    </row>
    <row r="1643" spans="1:7" x14ac:dyDescent="0.2">
      <c r="A1643">
        <v>46007</v>
      </c>
      <c r="B1643" t="s">
        <v>250</v>
      </c>
      <c r="C1643" t="s">
        <v>14</v>
      </c>
      <c r="D1643">
        <v>3</v>
      </c>
      <c r="E1643">
        <v>0</v>
      </c>
      <c r="F1643">
        <v>2</v>
      </c>
      <c r="G1643">
        <f>IF(Table3[[#This Row],[Service_Window]]="Lunch",1,0)</f>
        <v>0</v>
      </c>
    </row>
    <row r="1644" spans="1:7" x14ac:dyDescent="0.2">
      <c r="A1644">
        <v>46007</v>
      </c>
      <c r="B1644" t="s">
        <v>250</v>
      </c>
      <c r="C1644" t="s">
        <v>14</v>
      </c>
      <c r="D1644">
        <v>4</v>
      </c>
      <c r="E1644">
        <v>0</v>
      </c>
      <c r="F1644">
        <v>2</v>
      </c>
      <c r="G1644">
        <f>IF(Table3[[#This Row],[Service_Window]]="Lunch",1,0)</f>
        <v>0</v>
      </c>
    </row>
    <row r="1645" spans="1:7" x14ac:dyDescent="0.2">
      <c r="A1645">
        <v>46007</v>
      </c>
      <c r="B1645" t="s">
        <v>250</v>
      </c>
      <c r="C1645" t="s">
        <v>14</v>
      </c>
      <c r="D1645">
        <v>2</v>
      </c>
      <c r="E1645">
        <v>0</v>
      </c>
      <c r="F1645">
        <v>2</v>
      </c>
      <c r="G1645">
        <f>IF(Table3[[#This Row],[Service_Window]]="Lunch",1,0)</f>
        <v>0</v>
      </c>
    </row>
    <row r="1646" spans="1:7" x14ac:dyDescent="0.2">
      <c r="A1646">
        <v>46007</v>
      </c>
      <c r="B1646" t="s">
        <v>250</v>
      </c>
      <c r="C1646" t="s">
        <v>14</v>
      </c>
      <c r="D1646">
        <v>3</v>
      </c>
      <c r="E1646">
        <v>0</v>
      </c>
      <c r="F1646">
        <v>2</v>
      </c>
      <c r="G1646">
        <f>IF(Table3[[#This Row],[Service_Window]]="Lunch",1,0)</f>
        <v>0</v>
      </c>
    </row>
    <row r="1647" spans="1:7" x14ac:dyDescent="0.2">
      <c r="A1647">
        <v>46007</v>
      </c>
      <c r="B1647" t="s">
        <v>250</v>
      </c>
      <c r="C1647" t="s">
        <v>14</v>
      </c>
      <c r="D1647">
        <v>1</v>
      </c>
      <c r="E1647">
        <v>0</v>
      </c>
      <c r="F1647">
        <v>2</v>
      </c>
      <c r="G1647">
        <f>IF(Table3[[#This Row],[Service_Window]]="Lunch",1,0)</f>
        <v>0</v>
      </c>
    </row>
    <row r="1648" spans="1:7" x14ac:dyDescent="0.2">
      <c r="A1648">
        <v>46007</v>
      </c>
      <c r="B1648" t="s">
        <v>250</v>
      </c>
      <c r="C1648" t="s">
        <v>14</v>
      </c>
      <c r="D1648">
        <v>3</v>
      </c>
      <c r="E1648">
        <v>0</v>
      </c>
      <c r="F1648">
        <v>2</v>
      </c>
      <c r="G1648">
        <f>IF(Table3[[#This Row],[Service_Window]]="Lunch",1,0)</f>
        <v>0</v>
      </c>
    </row>
    <row r="1649" spans="1:7" x14ac:dyDescent="0.2">
      <c r="A1649">
        <v>46007</v>
      </c>
      <c r="B1649" t="s">
        <v>250</v>
      </c>
      <c r="C1649" t="s">
        <v>14</v>
      </c>
      <c r="D1649">
        <v>2</v>
      </c>
      <c r="E1649">
        <v>0</v>
      </c>
      <c r="F1649">
        <v>2</v>
      </c>
      <c r="G1649">
        <f>IF(Table3[[#This Row],[Service_Window]]="Lunch",1,0)</f>
        <v>0</v>
      </c>
    </row>
    <row r="1650" spans="1:7" x14ac:dyDescent="0.2">
      <c r="A1650">
        <v>46007</v>
      </c>
      <c r="B1650" t="s">
        <v>250</v>
      </c>
      <c r="C1650" t="s">
        <v>14</v>
      </c>
      <c r="D1650">
        <v>3</v>
      </c>
      <c r="E1650">
        <v>0</v>
      </c>
      <c r="F1650">
        <v>2</v>
      </c>
      <c r="G1650">
        <f>IF(Table3[[#This Row],[Service_Window]]="Lunch",1,0)</f>
        <v>0</v>
      </c>
    </row>
    <row r="1651" spans="1:7" x14ac:dyDescent="0.2">
      <c r="A1651">
        <v>46007</v>
      </c>
      <c r="B1651" t="s">
        <v>250</v>
      </c>
      <c r="C1651" t="s">
        <v>14</v>
      </c>
      <c r="D1651">
        <v>3</v>
      </c>
      <c r="E1651">
        <v>0</v>
      </c>
      <c r="F1651">
        <v>2</v>
      </c>
      <c r="G1651">
        <f>IF(Table3[[#This Row],[Service_Window]]="Lunch",1,0)</f>
        <v>0</v>
      </c>
    </row>
    <row r="1652" spans="1:7" x14ac:dyDescent="0.2">
      <c r="A1652">
        <v>46007</v>
      </c>
      <c r="B1652" t="s">
        <v>250</v>
      </c>
      <c r="C1652" t="s">
        <v>14</v>
      </c>
      <c r="D1652">
        <v>2</v>
      </c>
      <c r="E1652">
        <v>0</v>
      </c>
      <c r="F1652">
        <v>2</v>
      </c>
      <c r="G1652">
        <f>IF(Table3[[#This Row],[Service_Window]]="Lunch",1,0)</f>
        <v>0</v>
      </c>
    </row>
    <row r="1653" spans="1:7" x14ac:dyDescent="0.2">
      <c r="A1653">
        <v>46007</v>
      </c>
      <c r="B1653" t="s">
        <v>250</v>
      </c>
      <c r="C1653" t="s">
        <v>43</v>
      </c>
      <c r="D1653">
        <v>3</v>
      </c>
      <c r="E1653">
        <v>0</v>
      </c>
      <c r="F1653">
        <v>2</v>
      </c>
      <c r="G1653">
        <f>IF(Table3[[#This Row],[Service_Window]]="Lunch",1,0)</f>
        <v>1</v>
      </c>
    </row>
    <row r="1654" spans="1:7" x14ac:dyDescent="0.2">
      <c r="A1654">
        <v>46007</v>
      </c>
      <c r="B1654" t="s">
        <v>250</v>
      </c>
      <c r="C1654" t="s">
        <v>43</v>
      </c>
      <c r="D1654">
        <v>7</v>
      </c>
      <c r="E1654">
        <v>0</v>
      </c>
      <c r="F1654">
        <v>2</v>
      </c>
      <c r="G1654">
        <f>IF(Table3[[#This Row],[Service_Window]]="Lunch",1,0)</f>
        <v>1</v>
      </c>
    </row>
    <row r="1655" spans="1:7" x14ac:dyDescent="0.2">
      <c r="A1655">
        <v>46007</v>
      </c>
      <c r="B1655" t="s">
        <v>250</v>
      </c>
      <c r="C1655" t="s">
        <v>43</v>
      </c>
      <c r="D1655">
        <v>4</v>
      </c>
      <c r="E1655">
        <v>0</v>
      </c>
      <c r="F1655">
        <v>2</v>
      </c>
      <c r="G1655">
        <f>IF(Table3[[#This Row],[Service_Window]]="Lunch",1,0)</f>
        <v>1</v>
      </c>
    </row>
    <row r="1656" spans="1:7" x14ac:dyDescent="0.2">
      <c r="A1656">
        <v>46007</v>
      </c>
      <c r="B1656" t="s">
        <v>250</v>
      </c>
      <c r="C1656" t="s">
        <v>43</v>
      </c>
      <c r="D1656">
        <v>1</v>
      </c>
      <c r="E1656">
        <v>0</v>
      </c>
      <c r="F1656">
        <v>2</v>
      </c>
      <c r="G1656">
        <f>IF(Table3[[#This Row],[Service_Window]]="Lunch",1,0)</f>
        <v>1</v>
      </c>
    </row>
    <row r="1657" spans="1:7" x14ac:dyDescent="0.2">
      <c r="A1657">
        <v>46008</v>
      </c>
      <c r="B1657" t="s">
        <v>13</v>
      </c>
      <c r="C1657" t="s">
        <v>14</v>
      </c>
      <c r="D1657">
        <v>1</v>
      </c>
      <c r="E1657">
        <v>0</v>
      </c>
      <c r="F1657">
        <v>3</v>
      </c>
      <c r="G1657">
        <f>IF(Table3[[#This Row],[Service_Window]]="Lunch",1,0)</f>
        <v>0</v>
      </c>
    </row>
    <row r="1658" spans="1:7" x14ac:dyDescent="0.2">
      <c r="A1658">
        <v>46008</v>
      </c>
      <c r="B1658" t="s">
        <v>13</v>
      </c>
      <c r="C1658" t="s">
        <v>14</v>
      </c>
      <c r="D1658">
        <v>6</v>
      </c>
      <c r="E1658">
        <v>0</v>
      </c>
      <c r="F1658">
        <v>3</v>
      </c>
      <c r="G1658">
        <f>IF(Table3[[#This Row],[Service_Window]]="Lunch",1,0)</f>
        <v>0</v>
      </c>
    </row>
    <row r="1659" spans="1:7" x14ac:dyDescent="0.2">
      <c r="A1659">
        <v>46008</v>
      </c>
      <c r="B1659" t="s">
        <v>13</v>
      </c>
      <c r="C1659" t="s">
        <v>14</v>
      </c>
      <c r="D1659">
        <v>5</v>
      </c>
      <c r="E1659">
        <v>0</v>
      </c>
      <c r="F1659">
        <v>3</v>
      </c>
      <c r="G1659">
        <f>IF(Table3[[#This Row],[Service_Window]]="Lunch",1,0)</f>
        <v>0</v>
      </c>
    </row>
    <row r="1660" spans="1:7" x14ac:dyDescent="0.2">
      <c r="A1660">
        <v>46008</v>
      </c>
      <c r="B1660" t="s">
        <v>13</v>
      </c>
      <c r="C1660" t="s">
        <v>14</v>
      </c>
      <c r="D1660">
        <v>2</v>
      </c>
      <c r="E1660">
        <v>0</v>
      </c>
      <c r="F1660">
        <v>3</v>
      </c>
      <c r="G1660">
        <f>IF(Table3[[#This Row],[Service_Window]]="Lunch",1,0)</f>
        <v>0</v>
      </c>
    </row>
    <row r="1661" spans="1:7" x14ac:dyDescent="0.2">
      <c r="A1661">
        <v>46008</v>
      </c>
      <c r="B1661" t="s">
        <v>13</v>
      </c>
      <c r="C1661" t="s">
        <v>14</v>
      </c>
      <c r="D1661">
        <v>4</v>
      </c>
      <c r="E1661">
        <v>0</v>
      </c>
      <c r="F1661">
        <v>3</v>
      </c>
      <c r="G1661">
        <f>IF(Table3[[#This Row],[Service_Window]]="Lunch",1,0)</f>
        <v>0</v>
      </c>
    </row>
    <row r="1662" spans="1:7" x14ac:dyDescent="0.2">
      <c r="A1662">
        <v>46008</v>
      </c>
      <c r="B1662" t="s">
        <v>13</v>
      </c>
      <c r="C1662" t="s">
        <v>14</v>
      </c>
      <c r="D1662">
        <v>3</v>
      </c>
      <c r="E1662">
        <v>0</v>
      </c>
      <c r="F1662">
        <v>3</v>
      </c>
      <c r="G1662">
        <f>IF(Table3[[#This Row],[Service_Window]]="Lunch",1,0)</f>
        <v>0</v>
      </c>
    </row>
    <row r="1663" spans="1:7" x14ac:dyDescent="0.2">
      <c r="A1663">
        <v>46008</v>
      </c>
      <c r="B1663" t="s">
        <v>13</v>
      </c>
      <c r="C1663" t="s">
        <v>14</v>
      </c>
      <c r="D1663">
        <v>2</v>
      </c>
      <c r="E1663">
        <v>0</v>
      </c>
      <c r="F1663">
        <v>3</v>
      </c>
      <c r="G1663">
        <f>IF(Table3[[#This Row],[Service_Window]]="Lunch",1,0)</f>
        <v>0</v>
      </c>
    </row>
    <row r="1664" spans="1:7" x14ac:dyDescent="0.2">
      <c r="A1664">
        <v>46008</v>
      </c>
      <c r="B1664" t="s">
        <v>13</v>
      </c>
      <c r="C1664" t="s">
        <v>14</v>
      </c>
      <c r="D1664">
        <v>4</v>
      </c>
      <c r="E1664">
        <v>0</v>
      </c>
      <c r="F1664">
        <v>3</v>
      </c>
      <c r="G1664">
        <f>IF(Table3[[#This Row],[Service_Window]]="Lunch",1,0)</f>
        <v>0</v>
      </c>
    </row>
    <row r="1665" spans="1:7" x14ac:dyDescent="0.2">
      <c r="A1665">
        <v>46008</v>
      </c>
      <c r="B1665" t="s">
        <v>13</v>
      </c>
      <c r="C1665" t="s">
        <v>14</v>
      </c>
      <c r="D1665">
        <v>3</v>
      </c>
      <c r="E1665">
        <v>0</v>
      </c>
      <c r="F1665">
        <v>3</v>
      </c>
      <c r="G1665">
        <f>IF(Table3[[#This Row],[Service_Window]]="Lunch",1,0)</f>
        <v>0</v>
      </c>
    </row>
    <row r="1666" spans="1:7" x14ac:dyDescent="0.2">
      <c r="A1666">
        <v>46008</v>
      </c>
      <c r="B1666" t="s">
        <v>13</v>
      </c>
      <c r="C1666" t="s">
        <v>14</v>
      </c>
      <c r="D1666">
        <v>2</v>
      </c>
      <c r="E1666">
        <v>0</v>
      </c>
      <c r="F1666">
        <v>3</v>
      </c>
      <c r="G1666">
        <f>IF(Table3[[#This Row],[Service_Window]]="Lunch",1,0)</f>
        <v>0</v>
      </c>
    </row>
    <row r="1667" spans="1:7" x14ac:dyDescent="0.2">
      <c r="A1667">
        <v>46008</v>
      </c>
      <c r="B1667" t="s">
        <v>13</v>
      </c>
      <c r="C1667" t="s">
        <v>43</v>
      </c>
      <c r="D1667">
        <v>4</v>
      </c>
      <c r="E1667">
        <v>0</v>
      </c>
      <c r="F1667">
        <v>3</v>
      </c>
      <c r="G1667">
        <f>IF(Table3[[#This Row],[Service_Window]]="Lunch",1,0)</f>
        <v>1</v>
      </c>
    </row>
    <row r="1668" spans="1:7" x14ac:dyDescent="0.2">
      <c r="A1668">
        <v>46008</v>
      </c>
      <c r="B1668" t="s">
        <v>13</v>
      </c>
      <c r="C1668" t="s">
        <v>43</v>
      </c>
      <c r="D1668">
        <v>4</v>
      </c>
      <c r="E1668">
        <v>0</v>
      </c>
      <c r="F1668">
        <v>3</v>
      </c>
      <c r="G1668">
        <f>IF(Table3[[#This Row],[Service_Window]]="Lunch",1,0)</f>
        <v>1</v>
      </c>
    </row>
    <row r="1669" spans="1:7" x14ac:dyDescent="0.2">
      <c r="A1669">
        <v>46008</v>
      </c>
      <c r="B1669" t="s">
        <v>13</v>
      </c>
      <c r="C1669" t="s">
        <v>43</v>
      </c>
      <c r="D1669">
        <v>3</v>
      </c>
      <c r="E1669">
        <v>0</v>
      </c>
      <c r="F1669">
        <v>3</v>
      </c>
      <c r="G1669">
        <f>IF(Table3[[#This Row],[Service_Window]]="Lunch",1,0)</f>
        <v>1</v>
      </c>
    </row>
    <row r="1670" spans="1:7" x14ac:dyDescent="0.2">
      <c r="A1670">
        <v>46008</v>
      </c>
      <c r="B1670" t="s">
        <v>13</v>
      </c>
      <c r="C1670" t="s">
        <v>43</v>
      </c>
      <c r="D1670">
        <v>3</v>
      </c>
      <c r="E1670">
        <v>1</v>
      </c>
      <c r="F1670">
        <v>3</v>
      </c>
      <c r="G1670">
        <f>IF(Table3[[#This Row],[Service_Window]]="Lunch",1,0)</f>
        <v>1</v>
      </c>
    </row>
    <row r="1671" spans="1:7" x14ac:dyDescent="0.2">
      <c r="A1671">
        <v>46008</v>
      </c>
      <c r="B1671" t="s">
        <v>13</v>
      </c>
      <c r="C1671" t="s">
        <v>43</v>
      </c>
      <c r="D1671">
        <v>2</v>
      </c>
      <c r="E1671">
        <v>1</v>
      </c>
      <c r="F1671">
        <v>3</v>
      </c>
      <c r="G1671">
        <f>IF(Table3[[#This Row],[Service_Window]]="Lunch",1,0)</f>
        <v>1</v>
      </c>
    </row>
    <row r="1672" spans="1:7" x14ac:dyDescent="0.2">
      <c r="A1672">
        <v>46008</v>
      </c>
      <c r="B1672" t="s">
        <v>13</v>
      </c>
      <c r="C1672" t="s">
        <v>43</v>
      </c>
      <c r="D1672">
        <v>2</v>
      </c>
      <c r="E1672">
        <v>0</v>
      </c>
      <c r="F1672">
        <v>3</v>
      </c>
      <c r="G1672">
        <f>IF(Table3[[#This Row],[Service_Window]]="Lunch",1,0)</f>
        <v>1</v>
      </c>
    </row>
    <row r="1673" spans="1:7" x14ac:dyDescent="0.2">
      <c r="A1673">
        <v>46008</v>
      </c>
      <c r="B1673" t="s">
        <v>13</v>
      </c>
      <c r="C1673" t="s">
        <v>43</v>
      </c>
      <c r="D1673">
        <v>6</v>
      </c>
      <c r="E1673">
        <v>1</v>
      </c>
      <c r="F1673">
        <v>3</v>
      </c>
      <c r="G1673">
        <f>IF(Table3[[#This Row],[Service_Window]]="Lunch",1,0)</f>
        <v>1</v>
      </c>
    </row>
    <row r="1674" spans="1:7" x14ac:dyDescent="0.2">
      <c r="A1674">
        <v>46008</v>
      </c>
      <c r="B1674" t="s">
        <v>13</v>
      </c>
      <c r="C1674" t="s">
        <v>43</v>
      </c>
      <c r="D1674">
        <v>3</v>
      </c>
      <c r="E1674">
        <v>0</v>
      </c>
      <c r="F1674">
        <v>3</v>
      </c>
      <c r="G1674">
        <f>IF(Table3[[#This Row],[Service_Window]]="Lunch",1,0)</f>
        <v>1</v>
      </c>
    </row>
    <row r="1675" spans="1:7" x14ac:dyDescent="0.2">
      <c r="A1675">
        <v>46008</v>
      </c>
      <c r="B1675" t="s">
        <v>13</v>
      </c>
      <c r="C1675" t="s">
        <v>43</v>
      </c>
      <c r="D1675">
        <v>3</v>
      </c>
      <c r="E1675">
        <v>1</v>
      </c>
      <c r="F1675">
        <v>3</v>
      </c>
      <c r="G1675">
        <f>IF(Table3[[#This Row],[Service_Window]]="Lunch",1,0)</f>
        <v>1</v>
      </c>
    </row>
    <row r="1676" spans="1:7" x14ac:dyDescent="0.2">
      <c r="A1676">
        <v>46008</v>
      </c>
      <c r="B1676" t="s">
        <v>13</v>
      </c>
      <c r="C1676" t="s">
        <v>43</v>
      </c>
      <c r="D1676">
        <v>3</v>
      </c>
      <c r="E1676">
        <v>1</v>
      </c>
      <c r="F1676">
        <v>3</v>
      </c>
      <c r="G1676">
        <f>IF(Table3[[#This Row],[Service_Window]]="Lunch",1,0)</f>
        <v>1</v>
      </c>
    </row>
    <row r="1677" spans="1:7" x14ac:dyDescent="0.2">
      <c r="A1677">
        <v>46008</v>
      </c>
      <c r="B1677" t="s">
        <v>13</v>
      </c>
      <c r="C1677" t="s">
        <v>43</v>
      </c>
      <c r="D1677">
        <v>2</v>
      </c>
      <c r="E1677">
        <v>1</v>
      </c>
      <c r="F1677">
        <v>3</v>
      </c>
      <c r="G1677">
        <f>IF(Table3[[#This Row],[Service_Window]]="Lunch",1,0)</f>
        <v>1</v>
      </c>
    </row>
    <row r="1678" spans="1:7" x14ac:dyDescent="0.2">
      <c r="A1678">
        <v>46008</v>
      </c>
      <c r="B1678" t="s">
        <v>13</v>
      </c>
      <c r="C1678" t="s">
        <v>43</v>
      </c>
      <c r="D1678">
        <v>5</v>
      </c>
      <c r="E1678">
        <v>1</v>
      </c>
      <c r="F1678">
        <v>3</v>
      </c>
      <c r="G1678">
        <f>IF(Table3[[#This Row],[Service_Window]]="Lunch",1,0)</f>
        <v>1</v>
      </c>
    </row>
    <row r="1679" spans="1:7" x14ac:dyDescent="0.2">
      <c r="A1679">
        <v>46008</v>
      </c>
      <c r="B1679" t="s">
        <v>13</v>
      </c>
      <c r="C1679" t="s">
        <v>43</v>
      </c>
      <c r="D1679">
        <v>2</v>
      </c>
      <c r="E1679">
        <v>1</v>
      </c>
      <c r="F1679">
        <v>3</v>
      </c>
      <c r="G1679">
        <f>IF(Table3[[#This Row],[Service_Window]]="Lunch",1,0)</f>
        <v>1</v>
      </c>
    </row>
    <row r="1680" spans="1:7" x14ac:dyDescent="0.2">
      <c r="A1680">
        <v>46008</v>
      </c>
      <c r="B1680" t="s">
        <v>13</v>
      </c>
      <c r="C1680" t="s">
        <v>43</v>
      </c>
      <c r="D1680">
        <v>3</v>
      </c>
      <c r="E1680">
        <v>1</v>
      </c>
      <c r="F1680">
        <v>3</v>
      </c>
      <c r="G1680">
        <f>IF(Table3[[#This Row],[Service_Window]]="Lunch",1,0)</f>
        <v>1</v>
      </c>
    </row>
    <row r="1681" spans="1:7" x14ac:dyDescent="0.2">
      <c r="A1681">
        <v>46008</v>
      </c>
      <c r="B1681" t="s">
        <v>13</v>
      </c>
      <c r="C1681" t="s">
        <v>43</v>
      </c>
      <c r="D1681">
        <v>5</v>
      </c>
      <c r="E1681">
        <v>1</v>
      </c>
      <c r="F1681">
        <v>3</v>
      </c>
      <c r="G1681">
        <f>IF(Table3[[#This Row],[Service_Window]]="Lunch",1,0)</f>
        <v>1</v>
      </c>
    </row>
    <row r="1682" spans="1:7" x14ac:dyDescent="0.2">
      <c r="A1682">
        <v>46009</v>
      </c>
      <c r="B1682" t="s">
        <v>62</v>
      </c>
      <c r="C1682" t="s">
        <v>14</v>
      </c>
      <c r="D1682">
        <v>6</v>
      </c>
      <c r="E1682">
        <v>0</v>
      </c>
      <c r="F1682">
        <v>4</v>
      </c>
      <c r="G1682">
        <f>IF(Table3[[#This Row],[Service_Window]]="Lunch",1,0)</f>
        <v>0</v>
      </c>
    </row>
    <row r="1683" spans="1:7" x14ac:dyDescent="0.2">
      <c r="A1683">
        <v>46009</v>
      </c>
      <c r="B1683" t="s">
        <v>62</v>
      </c>
      <c r="C1683" t="s">
        <v>14</v>
      </c>
      <c r="D1683">
        <v>3</v>
      </c>
      <c r="E1683">
        <v>0</v>
      </c>
      <c r="F1683">
        <v>4</v>
      </c>
      <c r="G1683">
        <f>IF(Table3[[#This Row],[Service_Window]]="Lunch",1,0)</f>
        <v>0</v>
      </c>
    </row>
    <row r="1684" spans="1:7" x14ac:dyDescent="0.2">
      <c r="A1684">
        <v>46009</v>
      </c>
      <c r="B1684" t="s">
        <v>62</v>
      </c>
      <c r="C1684" t="s">
        <v>14</v>
      </c>
      <c r="D1684">
        <v>3</v>
      </c>
      <c r="E1684">
        <v>0</v>
      </c>
      <c r="F1684">
        <v>4</v>
      </c>
      <c r="G1684">
        <f>IF(Table3[[#This Row],[Service_Window]]="Lunch",1,0)</f>
        <v>0</v>
      </c>
    </row>
    <row r="1685" spans="1:7" x14ac:dyDescent="0.2">
      <c r="A1685">
        <v>46009</v>
      </c>
      <c r="B1685" t="s">
        <v>62</v>
      </c>
      <c r="C1685" t="s">
        <v>14</v>
      </c>
      <c r="D1685">
        <v>3</v>
      </c>
      <c r="E1685">
        <v>0</v>
      </c>
      <c r="F1685">
        <v>4</v>
      </c>
      <c r="G1685">
        <f>IF(Table3[[#This Row],[Service_Window]]="Lunch",1,0)</f>
        <v>0</v>
      </c>
    </row>
    <row r="1686" spans="1:7" x14ac:dyDescent="0.2">
      <c r="A1686">
        <v>46009</v>
      </c>
      <c r="B1686" t="s">
        <v>62</v>
      </c>
      <c r="C1686" t="s">
        <v>14</v>
      </c>
      <c r="D1686">
        <v>6</v>
      </c>
      <c r="E1686">
        <v>0</v>
      </c>
      <c r="F1686">
        <v>4</v>
      </c>
      <c r="G1686">
        <f>IF(Table3[[#This Row],[Service_Window]]="Lunch",1,0)</f>
        <v>0</v>
      </c>
    </row>
    <row r="1687" spans="1:7" x14ac:dyDescent="0.2">
      <c r="A1687">
        <v>46009</v>
      </c>
      <c r="B1687" t="s">
        <v>62</v>
      </c>
      <c r="C1687" t="s">
        <v>14</v>
      </c>
      <c r="D1687">
        <v>3</v>
      </c>
      <c r="E1687">
        <v>0</v>
      </c>
      <c r="F1687">
        <v>4</v>
      </c>
      <c r="G1687">
        <f>IF(Table3[[#This Row],[Service_Window]]="Lunch",1,0)</f>
        <v>0</v>
      </c>
    </row>
    <row r="1688" spans="1:7" x14ac:dyDescent="0.2">
      <c r="A1688">
        <v>46009</v>
      </c>
      <c r="B1688" t="s">
        <v>62</v>
      </c>
      <c r="C1688" t="s">
        <v>14</v>
      </c>
      <c r="D1688">
        <v>4</v>
      </c>
      <c r="E1688">
        <v>0</v>
      </c>
      <c r="F1688">
        <v>4</v>
      </c>
      <c r="G1688">
        <f>IF(Table3[[#This Row],[Service_Window]]="Lunch",1,0)</f>
        <v>0</v>
      </c>
    </row>
    <row r="1689" spans="1:7" x14ac:dyDescent="0.2">
      <c r="A1689">
        <v>46009</v>
      </c>
      <c r="B1689" t="s">
        <v>62</v>
      </c>
      <c r="C1689" t="s">
        <v>14</v>
      </c>
      <c r="D1689">
        <v>3</v>
      </c>
      <c r="E1689">
        <v>0</v>
      </c>
      <c r="F1689">
        <v>4</v>
      </c>
      <c r="G1689">
        <f>IF(Table3[[#This Row],[Service_Window]]="Lunch",1,0)</f>
        <v>0</v>
      </c>
    </row>
    <row r="1690" spans="1:7" x14ac:dyDescent="0.2">
      <c r="A1690">
        <v>46009</v>
      </c>
      <c r="B1690" t="s">
        <v>62</v>
      </c>
      <c r="C1690" t="s">
        <v>14</v>
      </c>
      <c r="D1690">
        <v>5</v>
      </c>
      <c r="E1690">
        <v>0</v>
      </c>
      <c r="F1690">
        <v>4</v>
      </c>
      <c r="G1690">
        <f>IF(Table3[[#This Row],[Service_Window]]="Lunch",1,0)</f>
        <v>0</v>
      </c>
    </row>
    <row r="1691" spans="1:7" x14ac:dyDescent="0.2">
      <c r="A1691">
        <v>46009</v>
      </c>
      <c r="B1691" t="s">
        <v>62</v>
      </c>
      <c r="C1691" t="s">
        <v>14</v>
      </c>
      <c r="D1691">
        <v>5</v>
      </c>
      <c r="E1691">
        <v>0</v>
      </c>
      <c r="F1691">
        <v>4</v>
      </c>
      <c r="G1691">
        <f>IF(Table3[[#This Row],[Service_Window]]="Lunch",1,0)</f>
        <v>0</v>
      </c>
    </row>
    <row r="1692" spans="1:7" x14ac:dyDescent="0.2">
      <c r="A1692">
        <v>46009</v>
      </c>
      <c r="B1692" t="s">
        <v>62</v>
      </c>
      <c r="C1692" t="s">
        <v>14</v>
      </c>
      <c r="D1692">
        <v>1</v>
      </c>
      <c r="E1692">
        <v>0</v>
      </c>
      <c r="F1692">
        <v>4</v>
      </c>
      <c r="G1692">
        <f>IF(Table3[[#This Row],[Service_Window]]="Lunch",1,0)</f>
        <v>0</v>
      </c>
    </row>
    <row r="1693" spans="1:7" x14ac:dyDescent="0.2">
      <c r="A1693">
        <v>46009</v>
      </c>
      <c r="B1693" t="s">
        <v>62</v>
      </c>
      <c r="C1693" t="s">
        <v>14</v>
      </c>
      <c r="D1693">
        <v>4</v>
      </c>
      <c r="E1693">
        <v>0</v>
      </c>
      <c r="F1693">
        <v>4</v>
      </c>
      <c r="G1693">
        <f>IF(Table3[[#This Row],[Service_Window]]="Lunch",1,0)</f>
        <v>0</v>
      </c>
    </row>
    <row r="1694" spans="1:7" x14ac:dyDescent="0.2">
      <c r="A1694">
        <v>46009</v>
      </c>
      <c r="B1694" t="s">
        <v>62</v>
      </c>
      <c r="C1694" t="s">
        <v>14</v>
      </c>
      <c r="D1694">
        <v>2</v>
      </c>
      <c r="E1694">
        <v>0</v>
      </c>
      <c r="F1694">
        <v>4</v>
      </c>
      <c r="G1694">
        <f>IF(Table3[[#This Row],[Service_Window]]="Lunch",1,0)</f>
        <v>0</v>
      </c>
    </row>
    <row r="1695" spans="1:7" x14ac:dyDescent="0.2">
      <c r="A1695">
        <v>46009</v>
      </c>
      <c r="B1695" t="s">
        <v>62</v>
      </c>
      <c r="C1695" t="s">
        <v>14</v>
      </c>
      <c r="D1695">
        <v>4</v>
      </c>
      <c r="E1695">
        <v>0</v>
      </c>
      <c r="F1695">
        <v>4</v>
      </c>
      <c r="G1695">
        <f>IF(Table3[[#This Row],[Service_Window]]="Lunch",1,0)</f>
        <v>0</v>
      </c>
    </row>
    <row r="1696" spans="1:7" x14ac:dyDescent="0.2">
      <c r="A1696">
        <v>46009</v>
      </c>
      <c r="B1696" t="s">
        <v>62</v>
      </c>
      <c r="C1696" t="s">
        <v>14</v>
      </c>
      <c r="D1696">
        <v>3</v>
      </c>
      <c r="E1696">
        <v>0</v>
      </c>
      <c r="F1696">
        <v>4</v>
      </c>
      <c r="G1696">
        <f>IF(Table3[[#This Row],[Service_Window]]="Lunch",1,0)</f>
        <v>0</v>
      </c>
    </row>
    <row r="1697" spans="1:7" x14ac:dyDescent="0.2">
      <c r="A1697">
        <v>46009</v>
      </c>
      <c r="B1697" t="s">
        <v>62</v>
      </c>
      <c r="C1697" t="s">
        <v>43</v>
      </c>
      <c r="D1697">
        <v>3</v>
      </c>
      <c r="E1697">
        <v>0</v>
      </c>
      <c r="F1697">
        <v>4</v>
      </c>
      <c r="G1697">
        <f>IF(Table3[[#This Row],[Service_Window]]="Lunch",1,0)</f>
        <v>1</v>
      </c>
    </row>
    <row r="1698" spans="1:7" x14ac:dyDescent="0.2">
      <c r="A1698">
        <v>46009</v>
      </c>
      <c r="B1698" t="s">
        <v>62</v>
      </c>
      <c r="C1698" t="s">
        <v>43</v>
      </c>
      <c r="D1698">
        <v>4</v>
      </c>
      <c r="E1698">
        <v>1</v>
      </c>
      <c r="F1698">
        <v>4</v>
      </c>
      <c r="G1698">
        <f>IF(Table3[[#This Row],[Service_Window]]="Lunch",1,0)</f>
        <v>1</v>
      </c>
    </row>
    <row r="1699" spans="1:7" x14ac:dyDescent="0.2">
      <c r="A1699">
        <v>46009</v>
      </c>
      <c r="B1699" t="s">
        <v>62</v>
      </c>
      <c r="C1699" t="s">
        <v>43</v>
      </c>
      <c r="D1699">
        <v>3</v>
      </c>
      <c r="E1699">
        <v>1</v>
      </c>
      <c r="F1699">
        <v>4</v>
      </c>
      <c r="G1699">
        <f>IF(Table3[[#This Row],[Service_Window]]="Lunch",1,0)</f>
        <v>1</v>
      </c>
    </row>
    <row r="1700" spans="1:7" x14ac:dyDescent="0.2">
      <c r="A1700">
        <v>46009</v>
      </c>
      <c r="B1700" t="s">
        <v>62</v>
      </c>
      <c r="C1700" t="s">
        <v>43</v>
      </c>
      <c r="D1700">
        <v>1</v>
      </c>
      <c r="E1700">
        <v>1</v>
      </c>
      <c r="F1700">
        <v>4</v>
      </c>
      <c r="G1700">
        <f>IF(Table3[[#This Row],[Service_Window]]="Lunch",1,0)</f>
        <v>1</v>
      </c>
    </row>
    <row r="1701" spans="1:7" x14ac:dyDescent="0.2">
      <c r="A1701">
        <v>46009</v>
      </c>
      <c r="B1701" t="s">
        <v>62</v>
      </c>
      <c r="C1701" t="s">
        <v>43</v>
      </c>
      <c r="D1701">
        <v>5</v>
      </c>
      <c r="E1701">
        <v>1</v>
      </c>
      <c r="F1701">
        <v>4</v>
      </c>
      <c r="G1701">
        <f>IF(Table3[[#This Row],[Service_Window]]="Lunch",1,0)</f>
        <v>1</v>
      </c>
    </row>
    <row r="1702" spans="1:7" x14ac:dyDescent="0.2">
      <c r="A1702">
        <v>46009</v>
      </c>
      <c r="B1702" t="s">
        <v>62</v>
      </c>
      <c r="C1702" t="s">
        <v>43</v>
      </c>
      <c r="D1702">
        <v>3</v>
      </c>
      <c r="E1702">
        <v>0</v>
      </c>
      <c r="F1702">
        <v>4</v>
      </c>
      <c r="G1702">
        <f>IF(Table3[[#This Row],[Service_Window]]="Lunch",1,0)</f>
        <v>1</v>
      </c>
    </row>
    <row r="1703" spans="1:7" x14ac:dyDescent="0.2">
      <c r="A1703">
        <v>46009</v>
      </c>
      <c r="B1703" t="s">
        <v>62</v>
      </c>
      <c r="C1703" t="s">
        <v>43</v>
      </c>
      <c r="D1703">
        <v>2</v>
      </c>
      <c r="E1703">
        <v>0</v>
      </c>
      <c r="F1703">
        <v>4</v>
      </c>
      <c r="G1703">
        <f>IF(Table3[[#This Row],[Service_Window]]="Lunch",1,0)</f>
        <v>1</v>
      </c>
    </row>
    <row r="1704" spans="1:7" x14ac:dyDescent="0.2">
      <c r="A1704">
        <v>46009</v>
      </c>
      <c r="B1704" t="s">
        <v>62</v>
      </c>
      <c r="C1704" t="s">
        <v>43</v>
      </c>
      <c r="D1704">
        <v>4</v>
      </c>
      <c r="E1704">
        <v>1</v>
      </c>
      <c r="F1704">
        <v>4</v>
      </c>
      <c r="G1704">
        <f>IF(Table3[[#This Row],[Service_Window]]="Lunch",1,0)</f>
        <v>1</v>
      </c>
    </row>
    <row r="1705" spans="1:7" x14ac:dyDescent="0.2">
      <c r="A1705">
        <v>46009</v>
      </c>
      <c r="B1705" t="s">
        <v>62</v>
      </c>
      <c r="C1705" t="s">
        <v>43</v>
      </c>
      <c r="D1705">
        <v>3</v>
      </c>
      <c r="E1705">
        <v>1</v>
      </c>
      <c r="F1705">
        <v>4</v>
      </c>
      <c r="G1705">
        <f>IF(Table3[[#This Row],[Service_Window]]="Lunch",1,0)</f>
        <v>1</v>
      </c>
    </row>
    <row r="1706" spans="1:7" x14ac:dyDescent="0.2">
      <c r="A1706">
        <v>46009</v>
      </c>
      <c r="B1706" t="s">
        <v>62</v>
      </c>
      <c r="C1706" t="s">
        <v>43</v>
      </c>
      <c r="D1706">
        <v>3</v>
      </c>
      <c r="E1706">
        <v>0</v>
      </c>
      <c r="F1706">
        <v>4</v>
      </c>
      <c r="G1706">
        <f>IF(Table3[[#This Row],[Service_Window]]="Lunch",1,0)</f>
        <v>1</v>
      </c>
    </row>
    <row r="1707" spans="1:7" x14ac:dyDescent="0.2">
      <c r="A1707">
        <v>46009</v>
      </c>
      <c r="B1707" t="s">
        <v>62</v>
      </c>
      <c r="C1707" t="s">
        <v>43</v>
      </c>
      <c r="D1707">
        <v>3</v>
      </c>
      <c r="E1707">
        <v>1</v>
      </c>
      <c r="F1707">
        <v>4</v>
      </c>
      <c r="G1707">
        <f>IF(Table3[[#This Row],[Service_Window]]="Lunch",1,0)</f>
        <v>1</v>
      </c>
    </row>
    <row r="1708" spans="1:7" x14ac:dyDescent="0.2">
      <c r="A1708">
        <v>46010</v>
      </c>
      <c r="B1708" t="s">
        <v>96</v>
      </c>
      <c r="C1708" t="s">
        <v>14</v>
      </c>
      <c r="D1708">
        <v>1</v>
      </c>
      <c r="E1708">
        <v>0</v>
      </c>
      <c r="F1708">
        <v>5</v>
      </c>
      <c r="G1708">
        <f>IF(Table3[[#This Row],[Service_Window]]="Lunch",1,0)</f>
        <v>0</v>
      </c>
    </row>
    <row r="1709" spans="1:7" x14ac:dyDescent="0.2">
      <c r="A1709">
        <v>46010</v>
      </c>
      <c r="B1709" t="s">
        <v>96</v>
      </c>
      <c r="C1709" t="s">
        <v>14</v>
      </c>
      <c r="D1709">
        <v>2</v>
      </c>
      <c r="E1709">
        <v>0</v>
      </c>
      <c r="F1709">
        <v>5</v>
      </c>
      <c r="G1709">
        <f>IF(Table3[[#This Row],[Service_Window]]="Lunch",1,0)</f>
        <v>0</v>
      </c>
    </row>
    <row r="1710" spans="1:7" x14ac:dyDescent="0.2">
      <c r="A1710">
        <v>46010</v>
      </c>
      <c r="B1710" t="s">
        <v>96</v>
      </c>
      <c r="C1710" t="s">
        <v>14</v>
      </c>
      <c r="D1710">
        <v>2</v>
      </c>
      <c r="E1710">
        <v>0</v>
      </c>
      <c r="F1710">
        <v>5</v>
      </c>
      <c r="G1710">
        <f>IF(Table3[[#This Row],[Service_Window]]="Lunch",1,0)</f>
        <v>0</v>
      </c>
    </row>
    <row r="1711" spans="1:7" x14ac:dyDescent="0.2">
      <c r="A1711">
        <v>46010</v>
      </c>
      <c r="B1711" t="s">
        <v>96</v>
      </c>
      <c r="C1711" t="s">
        <v>14</v>
      </c>
      <c r="D1711">
        <v>4</v>
      </c>
      <c r="E1711">
        <v>0</v>
      </c>
      <c r="F1711">
        <v>5</v>
      </c>
      <c r="G1711">
        <f>IF(Table3[[#This Row],[Service_Window]]="Lunch",1,0)</f>
        <v>0</v>
      </c>
    </row>
    <row r="1712" spans="1:7" x14ac:dyDescent="0.2">
      <c r="A1712">
        <v>46010</v>
      </c>
      <c r="B1712" t="s">
        <v>96</v>
      </c>
      <c r="C1712" t="s">
        <v>14</v>
      </c>
      <c r="D1712">
        <v>2</v>
      </c>
      <c r="E1712">
        <v>0</v>
      </c>
      <c r="F1712">
        <v>5</v>
      </c>
      <c r="G1712">
        <f>IF(Table3[[#This Row],[Service_Window]]="Lunch",1,0)</f>
        <v>0</v>
      </c>
    </row>
    <row r="1713" spans="1:7" x14ac:dyDescent="0.2">
      <c r="A1713">
        <v>46010</v>
      </c>
      <c r="B1713" t="s">
        <v>96</v>
      </c>
      <c r="C1713" t="s">
        <v>14</v>
      </c>
      <c r="D1713">
        <v>4</v>
      </c>
      <c r="E1713">
        <v>0</v>
      </c>
      <c r="F1713">
        <v>5</v>
      </c>
      <c r="G1713">
        <f>IF(Table3[[#This Row],[Service_Window]]="Lunch",1,0)</f>
        <v>0</v>
      </c>
    </row>
    <row r="1714" spans="1:7" x14ac:dyDescent="0.2">
      <c r="A1714">
        <v>46010</v>
      </c>
      <c r="B1714" t="s">
        <v>96</v>
      </c>
      <c r="C1714" t="s">
        <v>43</v>
      </c>
      <c r="D1714">
        <v>2</v>
      </c>
      <c r="E1714">
        <v>1</v>
      </c>
      <c r="F1714">
        <v>5</v>
      </c>
      <c r="G1714">
        <f>IF(Table3[[#This Row],[Service_Window]]="Lunch",1,0)</f>
        <v>1</v>
      </c>
    </row>
    <row r="1715" spans="1:7" x14ac:dyDescent="0.2">
      <c r="A1715">
        <v>46010</v>
      </c>
      <c r="B1715" t="s">
        <v>96</v>
      </c>
      <c r="C1715" t="s">
        <v>43</v>
      </c>
      <c r="D1715">
        <v>1</v>
      </c>
      <c r="E1715">
        <v>0</v>
      </c>
      <c r="F1715">
        <v>5</v>
      </c>
      <c r="G1715">
        <f>IF(Table3[[#This Row],[Service_Window]]="Lunch",1,0)</f>
        <v>1</v>
      </c>
    </row>
    <row r="1716" spans="1:7" x14ac:dyDescent="0.2">
      <c r="A1716">
        <v>46010</v>
      </c>
      <c r="B1716" t="s">
        <v>96</v>
      </c>
      <c r="C1716" t="s">
        <v>43</v>
      </c>
      <c r="D1716">
        <v>3</v>
      </c>
      <c r="E1716">
        <v>0</v>
      </c>
      <c r="F1716">
        <v>5</v>
      </c>
      <c r="G1716">
        <f>IF(Table3[[#This Row],[Service_Window]]="Lunch",1,0)</f>
        <v>1</v>
      </c>
    </row>
    <row r="1717" spans="1:7" x14ac:dyDescent="0.2">
      <c r="A1717">
        <v>46010</v>
      </c>
      <c r="B1717" t="s">
        <v>96</v>
      </c>
      <c r="C1717" t="s">
        <v>43</v>
      </c>
      <c r="D1717">
        <v>2</v>
      </c>
      <c r="E1717">
        <v>0</v>
      </c>
      <c r="F1717">
        <v>5</v>
      </c>
      <c r="G1717">
        <f>IF(Table3[[#This Row],[Service_Window]]="Lunch",1,0)</f>
        <v>1</v>
      </c>
    </row>
    <row r="1718" spans="1:7" x14ac:dyDescent="0.2">
      <c r="A1718">
        <v>46010</v>
      </c>
      <c r="B1718" t="s">
        <v>96</v>
      </c>
      <c r="C1718" t="s">
        <v>43</v>
      </c>
      <c r="D1718">
        <v>3</v>
      </c>
      <c r="E1718">
        <v>0</v>
      </c>
      <c r="F1718">
        <v>5</v>
      </c>
      <c r="G1718">
        <f>IF(Table3[[#This Row],[Service_Window]]="Lunch",1,0)</f>
        <v>1</v>
      </c>
    </row>
    <row r="1719" spans="1:7" x14ac:dyDescent="0.2">
      <c r="A1719">
        <v>46010</v>
      </c>
      <c r="B1719" t="s">
        <v>96</v>
      </c>
      <c r="C1719" t="s">
        <v>43</v>
      </c>
      <c r="D1719">
        <v>4</v>
      </c>
      <c r="E1719">
        <v>0</v>
      </c>
      <c r="F1719">
        <v>5</v>
      </c>
      <c r="G1719">
        <f>IF(Table3[[#This Row],[Service_Window]]="Lunch",1,0)</f>
        <v>1</v>
      </c>
    </row>
    <row r="1720" spans="1:7" x14ac:dyDescent="0.2">
      <c r="A1720">
        <v>46010</v>
      </c>
      <c r="B1720" t="s">
        <v>96</v>
      </c>
      <c r="C1720" t="s">
        <v>43</v>
      </c>
      <c r="D1720">
        <v>3</v>
      </c>
      <c r="E1720">
        <v>0</v>
      </c>
      <c r="F1720">
        <v>5</v>
      </c>
      <c r="G1720">
        <f>IF(Table3[[#This Row],[Service_Window]]="Lunch",1,0)</f>
        <v>1</v>
      </c>
    </row>
    <row r="1721" spans="1:7" x14ac:dyDescent="0.2">
      <c r="A1721">
        <v>46010</v>
      </c>
      <c r="B1721" t="s">
        <v>96</v>
      </c>
      <c r="C1721" t="s">
        <v>43</v>
      </c>
      <c r="D1721">
        <v>7</v>
      </c>
      <c r="E1721">
        <v>1</v>
      </c>
      <c r="F1721">
        <v>5</v>
      </c>
      <c r="G1721">
        <f>IF(Table3[[#This Row],[Service_Window]]="Lunch",1,0)</f>
        <v>1</v>
      </c>
    </row>
    <row r="1722" spans="1:7" x14ac:dyDescent="0.2">
      <c r="A1722">
        <v>46010</v>
      </c>
      <c r="B1722" t="s">
        <v>96</v>
      </c>
      <c r="C1722" t="s">
        <v>43</v>
      </c>
      <c r="D1722">
        <v>2</v>
      </c>
      <c r="E1722">
        <v>1</v>
      </c>
      <c r="F1722">
        <v>5</v>
      </c>
      <c r="G1722">
        <f>IF(Table3[[#This Row],[Service_Window]]="Lunch",1,0)</f>
        <v>1</v>
      </c>
    </row>
    <row r="1723" spans="1:7" x14ac:dyDescent="0.2">
      <c r="A1723">
        <v>46010</v>
      </c>
      <c r="B1723" t="s">
        <v>96</v>
      </c>
      <c r="C1723" t="s">
        <v>43</v>
      </c>
      <c r="D1723">
        <v>3</v>
      </c>
      <c r="E1723">
        <v>1</v>
      </c>
      <c r="F1723">
        <v>5</v>
      </c>
      <c r="G1723">
        <f>IF(Table3[[#This Row],[Service_Window]]="Lunch",1,0)</f>
        <v>1</v>
      </c>
    </row>
    <row r="1724" spans="1:7" x14ac:dyDescent="0.2">
      <c r="A1724">
        <v>46010</v>
      </c>
      <c r="B1724" t="s">
        <v>96</v>
      </c>
      <c r="C1724" t="s">
        <v>43</v>
      </c>
      <c r="D1724">
        <v>6</v>
      </c>
      <c r="E1724">
        <v>0</v>
      </c>
      <c r="F1724">
        <v>5</v>
      </c>
      <c r="G1724">
        <f>IF(Table3[[#This Row],[Service_Window]]="Lunch",1,0)</f>
        <v>1</v>
      </c>
    </row>
    <row r="1725" spans="1:7" x14ac:dyDescent="0.2">
      <c r="A1725">
        <v>46010</v>
      </c>
      <c r="B1725" t="s">
        <v>96</v>
      </c>
      <c r="C1725" t="s">
        <v>43</v>
      </c>
      <c r="D1725">
        <v>3</v>
      </c>
      <c r="E1725">
        <v>1</v>
      </c>
      <c r="F1725">
        <v>5</v>
      </c>
      <c r="G1725">
        <f>IF(Table3[[#This Row],[Service_Window]]="Lunch",1,0)</f>
        <v>1</v>
      </c>
    </row>
    <row r="1726" spans="1:7" x14ac:dyDescent="0.2">
      <c r="A1726">
        <v>46010</v>
      </c>
      <c r="B1726" t="s">
        <v>96</v>
      </c>
      <c r="C1726" t="s">
        <v>43</v>
      </c>
      <c r="D1726">
        <v>5</v>
      </c>
      <c r="E1726">
        <v>0</v>
      </c>
      <c r="F1726">
        <v>5</v>
      </c>
      <c r="G1726">
        <f>IF(Table3[[#This Row],[Service_Window]]="Lunch",1,0)</f>
        <v>1</v>
      </c>
    </row>
    <row r="1727" spans="1:7" x14ac:dyDescent="0.2">
      <c r="A1727">
        <v>46010</v>
      </c>
      <c r="B1727" t="s">
        <v>96</v>
      </c>
      <c r="C1727" t="s">
        <v>43</v>
      </c>
      <c r="D1727">
        <v>1</v>
      </c>
      <c r="E1727">
        <v>1</v>
      </c>
      <c r="F1727">
        <v>5</v>
      </c>
      <c r="G1727">
        <f>IF(Table3[[#This Row],[Service_Window]]="Lunch",1,0)</f>
        <v>1</v>
      </c>
    </row>
    <row r="1728" spans="1:7" x14ac:dyDescent="0.2">
      <c r="A1728">
        <v>46010</v>
      </c>
      <c r="B1728" t="s">
        <v>96</v>
      </c>
      <c r="C1728" t="s">
        <v>43</v>
      </c>
      <c r="D1728">
        <v>3</v>
      </c>
      <c r="E1728">
        <v>1</v>
      </c>
      <c r="F1728">
        <v>5</v>
      </c>
      <c r="G1728">
        <f>IF(Table3[[#This Row],[Service_Window]]="Lunch",1,0)</f>
        <v>1</v>
      </c>
    </row>
    <row r="1729" spans="1:7" x14ac:dyDescent="0.2">
      <c r="A1729">
        <v>46011</v>
      </c>
      <c r="B1729" t="s">
        <v>127</v>
      </c>
      <c r="C1729" t="s">
        <v>14</v>
      </c>
      <c r="D1729">
        <v>3</v>
      </c>
      <c r="E1729">
        <v>0</v>
      </c>
      <c r="F1729">
        <v>6</v>
      </c>
      <c r="G1729">
        <f>IF(Table3[[#This Row],[Service_Window]]="Lunch",1,0)</f>
        <v>0</v>
      </c>
    </row>
    <row r="1730" spans="1:7" x14ac:dyDescent="0.2">
      <c r="A1730">
        <v>46011</v>
      </c>
      <c r="B1730" t="s">
        <v>127</v>
      </c>
      <c r="C1730" t="s">
        <v>14</v>
      </c>
      <c r="D1730">
        <v>4</v>
      </c>
      <c r="E1730">
        <v>0</v>
      </c>
      <c r="F1730">
        <v>6</v>
      </c>
      <c r="G1730">
        <f>IF(Table3[[#This Row],[Service_Window]]="Lunch",1,0)</f>
        <v>0</v>
      </c>
    </row>
    <row r="1731" spans="1:7" x14ac:dyDescent="0.2">
      <c r="A1731">
        <v>46011</v>
      </c>
      <c r="B1731" t="s">
        <v>127</v>
      </c>
      <c r="C1731" t="s">
        <v>14</v>
      </c>
      <c r="D1731">
        <v>7</v>
      </c>
      <c r="E1731">
        <v>0</v>
      </c>
      <c r="F1731">
        <v>6</v>
      </c>
      <c r="G1731">
        <f>IF(Table3[[#This Row],[Service_Window]]="Lunch",1,0)</f>
        <v>0</v>
      </c>
    </row>
    <row r="1732" spans="1:7" x14ac:dyDescent="0.2">
      <c r="A1732">
        <v>46011</v>
      </c>
      <c r="B1732" t="s">
        <v>127</v>
      </c>
      <c r="C1732" t="s">
        <v>14</v>
      </c>
      <c r="D1732">
        <v>1</v>
      </c>
      <c r="E1732">
        <v>0</v>
      </c>
      <c r="F1732">
        <v>6</v>
      </c>
      <c r="G1732">
        <f>IF(Table3[[#This Row],[Service_Window]]="Lunch",1,0)</f>
        <v>0</v>
      </c>
    </row>
    <row r="1733" spans="1:7" x14ac:dyDescent="0.2">
      <c r="A1733">
        <v>46011</v>
      </c>
      <c r="B1733" t="s">
        <v>127</v>
      </c>
      <c r="C1733" t="s">
        <v>14</v>
      </c>
      <c r="D1733">
        <v>1</v>
      </c>
      <c r="E1733">
        <v>0</v>
      </c>
      <c r="F1733">
        <v>6</v>
      </c>
      <c r="G1733">
        <f>IF(Table3[[#This Row],[Service_Window]]="Lunch",1,0)</f>
        <v>0</v>
      </c>
    </row>
    <row r="1734" spans="1:7" x14ac:dyDescent="0.2">
      <c r="A1734">
        <v>46011</v>
      </c>
      <c r="B1734" t="s">
        <v>127</v>
      </c>
      <c r="C1734" t="s">
        <v>14</v>
      </c>
      <c r="D1734">
        <v>5</v>
      </c>
      <c r="E1734">
        <v>0</v>
      </c>
      <c r="F1734">
        <v>6</v>
      </c>
      <c r="G1734">
        <f>IF(Table3[[#This Row],[Service_Window]]="Lunch",1,0)</f>
        <v>0</v>
      </c>
    </row>
    <row r="1735" spans="1:7" x14ac:dyDescent="0.2">
      <c r="A1735">
        <v>46011</v>
      </c>
      <c r="B1735" t="s">
        <v>127</v>
      </c>
      <c r="C1735" t="s">
        <v>14</v>
      </c>
      <c r="D1735">
        <v>2</v>
      </c>
      <c r="E1735">
        <v>0</v>
      </c>
      <c r="F1735">
        <v>6</v>
      </c>
      <c r="G1735">
        <f>IF(Table3[[#This Row],[Service_Window]]="Lunch",1,0)</f>
        <v>0</v>
      </c>
    </row>
    <row r="1736" spans="1:7" x14ac:dyDescent="0.2">
      <c r="A1736">
        <v>46011</v>
      </c>
      <c r="B1736" t="s">
        <v>127</v>
      </c>
      <c r="C1736" t="s">
        <v>14</v>
      </c>
      <c r="D1736">
        <v>3</v>
      </c>
      <c r="E1736">
        <v>0</v>
      </c>
      <c r="F1736">
        <v>6</v>
      </c>
      <c r="G1736">
        <f>IF(Table3[[#This Row],[Service_Window]]="Lunch",1,0)</f>
        <v>0</v>
      </c>
    </row>
    <row r="1737" spans="1:7" x14ac:dyDescent="0.2">
      <c r="A1737">
        <v>46011</v>
      </c>
      <c r="B1737" t="s">
        <v>127</v>
      </c>
      <c r="C1737" t="s">
        <v>14</v>
      </c>
      <c r="D1737">
        <v>4</v>
      </c>
      <c r="E1737">
        <v>0</v>
      </c>
      <c r="F1737">
        <v>6</v>
      </c>
      <c r="G1737">
        <f>IF(Table3[[#This Row],[Service_Window]]="Lunch",1,0)</f>
        <v>0</v>
      </c>
    </row>
    <row r="1738" spans="1:7" x14ac:dyDescent="0.2">
      <c r="A1738">
        <v>46011</v>
      </c>
      <c r="B1738" t="s">
        <v>127</v>
      </c>
      <c r="C1738" t="s">
        <v>14</v>
      </c>
      <c r="D1738">
        <v>3</v>
      </c>
      <c r="E1738">
        <v>0</v>
      </c>
      <c r="F1738">
        <v>6</v>
      </c>
      <c r="G1738">
        <f>IF(Table3[[#This Row],[Service_Window]]="Lunch",1,0)</f>
        <v>0</v>
      </c>
    </row>
    <row r="1739" spans="1:7" x14ac:dyDescent="0.2">
      <c r="A1739">
        <v>46011</v>
      </c>
      <c r="B1739" t="s">
        <v>127</v>
      </c>
      <c r="C1739" t="s">
        <v>14</v>
      </c>
      <c r="D1739">
        <v>3</v>
      </c>
      <c r="E1739">
        <v>0</v>
      </c>
      <c r="F1739">
        <v>6</v>
      </c>
      <c r="G1739">
        <f>IF(Table3[[#This Row],[Service_Window]]="Lunch",1,0)</f>
        <v>0</v>
      </c>
    </row>
    <row r="1740" spans="1:7" x14ac:dyDescent="0.2">
      <c r="A1740">
        <v>46011</v>
      </c>
      <c r="B1740" t="s">
        <v>127</v>
      </c>
      <c r="C1740" t="s">
        <v>14</v>
      </c>
      <c r="D1740">
        <v>3</v>
      </c>
      <c r="E1740">
        <v>0</v>
      </c>
      <c r="F1740">
        <v>6</v>
      </c>
      <c r="G1740">
        <f>IF(Table3[[#This Row],[Service_Window]]="Lunch",1,0)</f>
        <v>0</v>
      </c>
    </row>
    <row r="1741" spans="1:7" x14ac:dyDescent="0.2">
      <c r="A1741">
        <v>46011</v>
      </c>
      <c r="B1741" t="s">
        <v>127</v>
      </c>
      <c r="C1741" t="s">
        <v>14</v>
      </c>
      <c r="D1741">
        <v>3</v>
      </c>
      <c r="E1741">
        <v>0</v>
      </c>
      <c r="F1741">
        <v>6</v>
      </c>
      <c r="G1741">
        <f>IF(Table3[[#This Row],[Service_Window]]="Lunch",1,0)</f>
        <v>0</v>
      </c>
    </row>
    <row r="1742" spans="1:7" x14ac:dyDescent="0.2">
      <c r="A1742">
        <v>46011</v>
      </c>
      <c r="B1742" t="s">
        <v>127</v>
      </c>
      <c r="C1742" t="s">
        <v>14</v>
      </c>
      <c r="D1742">
        <v>4</v>
      </c>
      <c r="E1742">
        <v>0</v>
      </c>
      <c r="F1742">
        <v>6</v>
      </c>
      <c r="G1742">
        <f>IF(Table3[[#This Row],[Service_Window]]="Lunch",1,0)</f>
        <v>0</v>
      </c>
    </row>
    <row r="1743" spans="1:7" x14ac:dyDescent="0.2">
      <c r="A1743">
        <v>46011</v>
      </c>
      <c r="B1743" t="s">
        <v>127</v>
      </c>
      <c r="C1743" t="s">
        <v>14</v>
      </c>
      <c r="D1743">
        <v>2</v>
      </c>
      <c r="E1743">
        <v>0</v>
      </c>
      <c r="F1743">
        <v>6</v>
      </c>
      <c r="G1743">
        <f>IF(Table3[[#This Row],[Service_Window]]="Lunch",1,0)</f>
        <v>0</v>
      </c>
    </row>
    <row r="1744" spans="1:7" x14ac:dyDescent="0.2">
      <c r="A1744">
        <v>46011</v>
      </c>
      <c r="B1744" t="s">
        <v>127</v>
      </c>
      <c r="C1744" t="s">
        <v>14</v>
      </c>
      <c r="D1744">
        <v>7</v>
      </c>
      <c r="E1744">
        <v>0</v>
      </c>
      <c r="F1744">
        <v>6</v>
      </c>
      <c r="G1744">
        <f>IF(Table3[[#This Row],[Service_Window]]="Lunch",1,0)</f>
        <v>0</v>
      </c>
    </row>
    <row r="1745" spans="1:7" x14ac:dyDescent="0.2">
      <c r="A1745">
        <v>46011</v>
      </c>
      <c r="B1745" t="s">
        <v>127</v>
      </c>
      <c r="C1745" t="s">
        <v>14</v>
      </c>
      <c r="D1745">
        <v>2</v>
      </c>
      <c r="E1745">
        <v>0</v>
      </c>
      <c r="F1745">
        <v>6</v>
      </c>
      <c r="G1745">
        <f>IF(Table3[[#This Row],[Service_Window]]="Lunch",1,0)</f>
        <v>0</v>
      </c>
    </row>
    <row r="1746" spans="1:7" x14ac:dyDescent="0.2">
      <c r="A1746">
        <v>46011</v>
      </c>
      <c r="B1746" t="s">
        <v>127</v>
      </c>
      <c r="C1746" t="s">
        <v>14</v>
      </c>
      <c r="D1746">
        <v>3</v>
      </c>
      <c r="E1746">
        <v>0</v>
      </c>
      <c r="F1746">
        <v>6</v>
      </c>
      <c r="G1746">
        <f>IF(Table3[[#This Row],[Service_Window]]="Lunch",1,0)</f>
        <v>0</v>
      </c>
    </row>
    <row r="1747" spans="1:7" x14ac:dyDescent="0.2">
      <c r="A1747">
        <v>46011</v>
      </c>
      <c r="B1747" t="s">
        <v>127</v>
      </c>
      <c r="C1747" t="s">
        <v>14</v>
      </c>
      <c r="D1747">
        <v>1</v>
      </c>
      <c r="E1747">
        <v>0</v>
      </c>
      <c r="F1747">
        <v>6</v>
      </c>
      <c r="G1747">
        <f>IF(Table3[[#This Row],[Service_Window]]="Lunch",1,0)</f>
        <v>0</v>
      </c>
    </row>
    <row r="1748" spans="1:7" x14ac:dyDescent="0.2">
      <c r="A1748">
        <v>46011</v>
      </c>
      <c r="B1748" t="s">
        <v>127</v>
      </c>
      <c r="C1748" t="s">
        <v>14</v>
      </c>
      <c r="D1748">
        <v>4</v>
      </c>
      <c r="E1748">
        <v>0</v>
      </c>
      <c r="F1748">
        <v>6</v>
      </c>
      <c r="G1748">
        <f>IF(Table3[[#This Row],[Service_Window]]="Lunch",1,0)</f>
        <v>0</v>
      </c>
    </row>
    <row r="1749" spans="1:7" x14ac:dyDescent="0.2">
      <c r="A1749">
        <v>46011</v>
      </c>
      <c r="B1749" t="s">
        <v>127</v>
      </c>
      <c r="C1749" t="s">
        <v>14</v>
      </c>
      <c r="D1749">
        <v>2</v>
      </c>
      <c r="E1749">
        <v>0</v>
      </c>
      <c r="F1749">
        <v>6</v>
      </c>
      <c r="G1749">
        <f>IF(Table3[[#This Row],[Service_Window]]="Lunch",1,0)</f>
        <v>0</v>
      </c>
    </row>
    <row r="1750" spans="1:7" x14ac:dyDescent="0.2">
      <c r="A1750">
        <v>46011</v>
      </c>
      <c r="B1750" t="s">
        <v>127</v>
      </c>
      <c r="C1750" t="s">
        <v>43</v>
      </c>
      <c r="D1750">
        <v>4</v>
      </c>
      <c r="E1750">
        <v>0</v>
      </c>
      <c r="F1750">
        <v>6</v>
      </c>
      <c r="G1750">
        <f>IF(Table3[[#This Row],[Service_Window]]="Lunch",1,0)</f>
        <v>1</v>
      </c>
    </row>
    <row r="1751" spans="1:7" x14ac:dyDescent="0.2">
      <c r="A1751">
        <v>46011</v>
      </c>
      <c r="B1751" t="s">
        <v>127</v>
      </c>
      <c r="C1751" t="s">
        <v>43</v>
      </c>
      <c r="D1751">
        <v>1</v>
      </c>
      <c r="E1751">
        <v>0</v>
      </c>
      <c r="F1751">
        <v>6</v>
      </c>
      <c r="G1751">
        <f>IF(Table3[[#This Row],[Service_Window]]="Lunch",1,0)</f>
        <v>1</v>
      </c>
    </row>
    <row r="1752" spans="1:7" x14ac:dyDescent="0.2">
      <c r="A1752">
        <v>46011</v>
      </c>
      <c r="B1752" t="s">
        <v>127</v>
      </c>
      <c r="C1752" t="s">
        <v>43</v>
      </c>
      <c r="D1752">
        <v>1</v>
      </c>
      <c r="E1752">
        <v>0</v>
      </c>
      <c r="F1752">
        <v>6</v>
      </c>
      <c r="G1752">
        <f>IF(Table3[[#This Row],[Service_Window]]="Lunch",1,0)</f>
        <v>1</v>
      </c>
    </row>
    <row r="1753" spans="1:7" x14ac:dyDescent="0.2">
      <c r="A1753">
        <v>46012</v>
      </c>
      <c r="B1753" t="s">
        <v>171</v>
      </c>
      <c r="C1753" t="s">
        <v>14</v>
      </c>
      <c r="D1753">
        <v>2</v>
      </c>
      <c r="E1753">
        <v>0</v>
      </c>
      <c r="F1753">
        <v>7</v>
      </c>
      <c r="G1753">
        <f>IF(Table3[[#This Row],[Service_Window]]="Lunch",1,0)</f>
        <v>0</v>
      </c>
    </row>
    <row r="1754" spans="1:7" x14ac:dyDescent="0.2">
      <c r="A1754">
        <v>46012</v>
      </c>
      <c r="B1754" t="s">
        <v>171</v>
      </c>
      <c r="C1754" t="s">
        <v>14</v>
      </c>
      <c r="D1754">
        <v>4</v>
      </c>
      <c r="E1754">
        <v>0</v>
      </c>
      <c r="F1754">
        <v>7</v>
      </c>
      <c r="G1754">
        <f>IF(Table3[[#This Row],[Service_Window]]="Lunch",1,0)</f>
        <v>0</v>
      </c>
    </row>
    <row r="1755" spans="1:7" x14ac:dyDescent="0.2">
      <c r="A1755">
        <v>46012</v>
      </c>
      <c r="B1755" t="s">
        <v>171</v>
      </c>
      <c r="C1755" t="s">
        <v>14</v>
      </c>
      <c r="D1755">
        <v>5</v>
      </c>
      <c r="E1755">
        <v>0</v>
      </c>
      <c r="F1755">
        <v>7</v>
      </c>
      <c r="G1755">
        <f>IF(Table3[[#This Row],[Service_Window]]="Lunch",1,0)</f>
        <v>0</v>
      </c>
    </row>
    <row r="1756" spans="1:7" x14ac:dyDescent="0.2">
      <c r="A1756">
        <v>46012</v>
      </c>
      <c r="B1756" t="s">
        <v>171</v>
      </c>
      <c r="C1756" t="s">
        <v>14</v>
      </c>
      <c r="D1756">
        <v>5</v>
      </c>
      <c r="E1756">
        <v>0</v>
      </c>
      <c r="F1756">
        <v>7</v>
      </c>
      <c r="G1756">
        <f>IF(Table3[[#This Row],[Service_Window]]="Lunch",1,0)</f>
        <v>0</v>
      </c>
    </row>
    <row r="1757" spans="1:7" x14ac:dyDescent="0.2">
      <c r="A1757">
        <v>46012</v>
      </c>
      <c r="B1757" t="s">
        <v>171</v>
      </c>
      <c r="C1757" t="s">
        <v>14</v>
      </c>
      <c r="D1757">
        <v>1</v>
      </c>
      <c r="E1757">
        <v>0</v>
      </c>
      <c r="F1757">
        <v>7</v>
      </c>
      <c r="G1757">
        <f>IF(Table3[[#This Row],[Service_Window]]="Lunch",1,0)</f>
        <v>0</v>
      </c>
    </row>
    <row r="1758" spans="1:7" x14ac:dyDescent="0.2">
      <c r="A1758">
        <v>46012</v>
      </c>
      <c r="B1758" t="s">
        <v>171</v>
      </c>
      <c r="C1758" t="s">
        <v>14</v>
      </c>
      <c r="D1758">
        <v>2</v>
      </c>
      <c r="E1758">
        <v>0</v>
      </c>
      <c r="F1758">
        <v>7</v>
      </c>
      <c r="G1758">
        <f>IF(Table3[[#This Row],[Service_Window]]="Lunch",1,0)</f>
        <v>0</v>
      </c>
    </row>
    <row r="1759" spans="1:7" x14ac:dyDescent="0.2">
      <c r="A1759">
        <v>46012</v>
      </c>
      <c r="B1759" t="s">
        <v>171</v>
      </c>
      <c r="C1759" t="s">
        <v>14</v>
      </c>
      <c r="D1759">
        <v>3</v>
      </c>
      <c r="E1759">
        <v>0</v>
      </c>
      <c r="F1759">
        <v>7</v>
      </c>
      <c r="G1759">
        <f>IF(Table3[[#This Row],[Service_Window]]="Lunch",1,0)</f>
        <v>0</v>
      </c>
    </row>
    <row r="1760" spans="1:7" x14ac:dyDescent="0.2">
      <c r="A1760">
        <v>46012</v>
      </c>
      <c r="B1760" t="s">
        <v>171</v>
      </c>
      <c r="C1760" t="s">
        <v>14</v>
      </c>
      <c r="D1760">
        <v>5</v>
      </c>
      <c r="E1760">
        <v>0</v>
      </c>
      <c r="F1760">
        <v>7</v>
      </c>
      <c r="G1760">
        <f>IF(Table3[[#This Row],[Service_Window]]="Lunch",1,0)</f>
        <v>0</v>
      </c>
    </row>
    <row r="1761" spans="1:7" x14ac:dyDescent="0.2">
      <c r="A1761">
        <v>46012</v>
      </c>
      <c r="B1761" t="s">
        <v>171</v>
      </c>
      <c r="C1761" t="s">
        <v>14</v>
      </c>
      <c r="D1761">
        <v>1</v>
      </c>
      <c r="E1761">
        <v>0</v>
      </c>
      <c r="F1761">
        <v>7</v>
      </c>
      <c r="G1761">
        <f>IF(Table3[[#This Row],[Service_Window]]="Lunch",1,0)</f>
        <v>0</v>
      </c>
    </row>
    <row r="1762" spans="1:7" x14ac:dyDescent="0.2">
      <c r="A1762">
        <v>46012</v>
      </c>
      <c r="B1762" t="s">
        <v>171</v>
      </c>
      <c r="C1762" t="s">
        <v>14</v>
      </c>
      <c r="D1762">
        <v>1</v>
      </c>
      <c r="E1762">
        <v>0</v>
      </c>
      <c r="F1762">
        <v>7</v>
      </c>
      <c r="G1762">
        <f>IF(Table3[[#This Row],[Service_Window]]="Lunch",1,0)</f>
        <v>0</v>
      </c>
    </row>
    <row r="1763" spans="1:7" x14ac:dyDescent="0.2">
      <c r="A1763">
        <v>46012</v>
      </c>
      <c r="B1763" t="s">
        <v>171</v>
      </c>
      <c r="C1763" t="s">
        <v>14</v>
      </c>
      <c r="D1763">
        <v>1</v>
      </c>
      <c r="E1763">
        <v>0</v>
      </c>
      <c r="F1763">
        <v>7</v>
      </c>
      <c r="G1763">
        <f>IF(Table3[[#This Row],[Service_Window]]="Lunch",1,0)</f>
        <v>0</v>
      </c>
    </row>
    <row r="1764" spans="1:7" x14ac:dyDescent="0.2">
      <c r="A1764">
        <v>46012</v>
      </c>
      <c r="B1764" t="s">
        <v>171</v>
      </c>
      <c r="C1764" t="s">
        <v>14</v>
      </c>
      <c r="D1764">
        <v>2</v>
      </c>
      <c r="E1764">
        <v>0</v>
      </c>
      <c r="F1764">
        <v>7</v>
      </c>
      <c r="G1764">
        <f>IF(Table3[[#This Row],[Service_Window]]="Lunch",1,0)</f>
        <v>0</v>
      </c>
    </row>
    <row r="1765" spans="1:7" x14ac:dyDescent="0.2">
      <c r="A1765">
        <v>46012</v>
      </c>
      <c r="B1765" t="s">
        <v>171</v>
      </c>
      <c r="C1765" t="s">
        <v>14</v>
      </c>
      <c r="D1765">
        <v>3</v>
      </c>
      <c r="E1765">
        <v>0</v>
      </c>
      <c r="F1765">
        <v>7</v>
      </c>
      <c r="G1765">
        <f>IF(Table3[[#This Row],[Service_Window]]="Lunch",1,0)</f>
        <v>0</v>
      </c>
    </row>
    <row r="1766" spans="1:7" x14ac:dyDescent="0.2">
      <c r="A1766">
        <v>46012</v>
      </c>
      <c r="B1766" t="s">
        <v>171</v>
      </c>
      <c r="C1766" t="s">
        <v>14</v>
      </c>
      <c r="D1766">
        <v>2</v>
      </c>
      <c r="E1766">
        <v>0</v>
      </c>
      <c r="F1766">
        <v>7</v>
      </c>
      <c r="G1766">
        <f>IF(Table3[[#This Row],[Service_Window]]="Lunch",1,0)</f>
        <v>0</v>
      </c>
    </row>
    <row r="1767" spans="1:7" x14ac:dyDescent="0.2">
      <c r="A1767">
        <v>46012</v>
      </c>
      <c r="B1767" t="s">
        <v>171</v>
      </c>
      <c r="C1767" t="s">
        <v>14</v>
      </c>
      <c r="D1767">
        <v>5</v>
      </c>
      <c r="E1767">
        <v>0</v>
      </c>
      <c r="F1767">
        <v>7</v>
      </c>
      <c r="G1767">
        <f>IF(Table3[[#This Row],[Service_Window]]="Lunch",1,0)</f>
        <v>0</v>
      </c>
    </row>
    <row r="1768" spans="1:7" x14ac:dyDescent="0.2">
      <c r="A1768">
        <v>46012</v>
      </c>
      <c r="B1768" t="s">
        <v>171</v>
      </c>
      <c r="C1768" t="s">
        <v>14</v>
      </c>
      <c r="D1768">
        <v>6</v>
      </c>
      <c r="E1768">
        <v>0</v>
      </c>
      <c r="F1768">
        <v>7</v>
      </c>
      <c r="G1768">
        <f>IF(Table3[[#This Row],[Service_Window]]="Lunch",1,0)</f>
        <v>0</v>
      </c>
    </row>
    <row r="1769" spans="1:7" x14ac:dyDescent="0.2">
      <c r="A1769">
        <v>46012</v>
      </c>
      <c r="B1769" t="s">
        <v>171</v>
      </c>
      <c r="C1769" t="s">
        <v>14</v>
      </c>
      <c r="D1769">
        <v>1</v>
      </c>
      <c r="E1769">
        <v>0</v>
      </c>
      <c r="F1769">
        <v>7</v>
      </c>
      <c r="G1769">
        <f>IF(Table3[[#This Row],[Service_Window]]="Lunch",1,0)</f>
        <v>0</v>
      </c>
    </row>
    <row r="1770" spans="1:7" x14ac:dyDescent="0.2">
      <c r="A1770">
        <v>46012</v>
      </c>
      <c r="B1770" t="s">
        <v>171</v>
      </c>
      <c r="C1770" t="s">
        <v>14</v>
      </c>
      <c r="D1770">
        <v>3</v>
      </c>
      <c r="E1770">
        <v>0</v>
      </c>
      <c r="F1770">
        <v>7</v>
      </c>
      <c r="G1770">
        <f>IF(Table3[[#This Row],[Service_Window]]="Lunch",1,0)</f>
        <v>0</v>
      </c>
    </row>
    <row r="1771" spans="1:7" x14ac:dyDescent="0.2">
      <c r="A1771">
        <v>46012</v>
      </c>
      <c r="B1771" t="s">
        <v>171</v>
      </c>
      <c r="C1771" t="s">
        <v>43</v>
      </c>
      <c r="D1771">
        <v>2</v>
      </c>
      <c r="E1771">
        <v>0</v>
      </c>
      <c r="F1771">
        <v>7</v>
      </c>
      <c r="G1771">
        <f>IF(Table3[[#This Row],[Service_Window]]="Lunch",1,0)</f>
        <v>1</v>
      </c>
    </row>
    <row r="1772" spans="1:7" x14ac:dyDescent="0.2">
      <c r="A1772">
        <v>46012</v>
      </c>
      <c r="B1772" t="s">
        <v>171</v>
      </c>
      <c r="C1772" t="s">
        <v>43</v>
      </c>
      <c r="D1772">
        <v>4</v>
      </c>
      <c r="E1772">
        <v>0</v>
      </c>
      <c r="F1772">
        <v>7</v>
      </c>
      <c r="G1772">
        <f>IF(Table3[[#This Row],[Service_Window]]="Lunch",1,0)</f>
        <v>1</v>
      </c>
    </row>
    <row r="1773" spans="1:7" x14ac:dyDescent="0.2">
      <c r="A1773">
        <v>46013</v>
      </c>
      <c r="B1773" t="s">
        <v>213</v>
      </c>
      <c r="C1773" t="s">
        <v>14</v>
      </c>
      <c r="D1773">
        <v>4</v>
      </c>
      <c r="E1773">
        <v>0</v>
      </c>
      <c r="F1773">
        <v>1</v>
      </c>
      <c r="G1773">
        <f>IF(Table3[[#This Row],[Service_Window]]="Lunch",1,0)</f>
        <v>0</v>
      </c>
    </row>
    <row r="1774" spans="1:7" x14ac:dyDescent="0.2">
      <c r="A1774">
        <v>46013</v>
      </c>
      <c r="B1774" t="s">
        <v>213</v>
      </c>
      <c r="C1774" t="s">
        <v>14</v>
      </c>
      <c r="D1774">
        <v>1</v>
      </c>
      <c r="E1774">
        <v>0</v>
      </c>
      <c r="F1774">
        <v>1</v>
      </c>
      <c r="G1774">
        <f>IF(Table3[[#This Row],[Service_Window]]="Lunch",1,0)</f>
        <v>0</v>
      </c>
    </row>
    <row r="1775" spans="1:7" x14ac:dyDescent="0.2">
      <c r="A1775">
        <v>46013</v>
      </c>
      <c r="B1775" t="s">
        <v>213</v>
      </c>
      <c r="C1775" t="s">
        <v>14</v>
      </c>
      <c r="D1775">
        <v>3</v>
      </c>
      <c r="E1775">
        <v>0</v>
      </c>
      <c r="F1775">
        <v>1</v>
      </c>
      <c r="G1775">
        <f>IF(Table3[[#This Row],[Service_Window]]="Lunch",1,0)</f>
        <v>0</v>
      </c>
    </row>
    <row r="1776" spans="1:7" x14ac:dyDescent="0.2">
      <c r="A1776">
        <v>46013</v>
      </c>
      <c r="B1776" t="s">
        <v>213</v>
      </c>
      <c r="C1776" t="s">
        <v>14</v>
      </c>
      <c r="D1776">
        <v>3</v>
      </c>
      <c r="E1776">
        <v>0</v>
      </c>
      <c r="F1776">
        <v>1</v>
      </c>
      <c r="G1776">
        <f>IF(Table3[[#This Row],[Service_Window]]="Lunch",1,0)</f>
        <v>0</v>
      </c>
    </row>
    <row r="1777" spans="1:7" x14ac:dyDescent="0.2">
      <c r="A1777">
        <v>46013</v>
      </c>
      <c r="B1777" t="s">
        <v>213</v>
      </c>
      <c r="C1777" t="s">
        <v>14</v>
      </c>
      <c r="D1777">
        <v>4</v>
      </c>
      <c r="E1777">
        <v>0</v>
      </c>
      <c r="F1777">
        <v>1</v>
      </c>
      <c r="G1777">
        <f>IF(Table3[[#This Row],[Service_Window]]="Lunch",1,0)</f>
        <v>0</v>
      </c>
    </row>
    <row r="1778" spans="1:7" x14ac:dyDescent="0.2">
      <c r="A1778">
        <v>46013</v>
      </c>
      <c r="B1778" t="s">
        <v>213</v>
      </c>
      <c r="C1778" t="s">
        <v>14</v>
      </c>
      <c r="D1778">
        <v>2</v>
      </c>
      <c r="E1778">
        <v>0</v>
      </c>
      <c r="F1778">
        <v>1</v>
      </c>
      <c r="G1778">
        <f>IF(Table3[[#This Row],[Service_Window]]="Lunch",1,0)</f>
        <v>0</v>
      </c>
    </row>
    <row r="1779" spans="1:7" x14ac:dyDescent="0.2">
      <c r="A1779">
        <v>46013</v>
      </c>
      <c r="B1779" t="s">
        <v>213</v>
      </c>
      <c r="C1779" t="s">
        <v>14</v>
      </c>
      <c r="D1779">
        <v>3</v>
      </c>
      <c r="E1779">
        <v>0</v>
      </c>
      <c r="F1779">
        <v>1</v>
      </c>
      <c r="G1779">
        <f>IF(Table3[[#This Row],[Service_Window]]="Lunch",1,0)</f>
        <v>0</v>
      </c>
    </row>
    <row r="1780" spans="1:7" x14ac:dyDescent="0.2">
      <c r="A1780">
        <v>46013</v>
      </c>
      <c r="B1780" t="s">
        <v>213</v>
      </c>
      <c r="C1780" t="s">
        <v>14</v>
      </c>
      <c r="D1780">
        <v>1</v>
      </c>
      <c r="E1780">
        <v>0</v>
      </c>
      <c r="F1780">
        <v>1</v>
      </c>
      <c r="G1780">
        <f>IF(Table3[[#This Row],[Service_Window]]="Lunch",1,0)</f>
        <v>0</v>
      </c>
    </row>
    <row r="1781" spans="1:7" x14ac:dyDescent="0.2">
      <c r="A1781">
        <v>46013</v>
      </c>
      <c r="B1781" t="s">
        <v>213</v>
      </c>
      <c r="C1781" t="s">
        <v>14</v>
      </c>
      <c r="D1781">
        <v>5</v>
      </c>
      <c r="E1781">
        <v>0</v>
      </c>
      <c r="F1781">
        <v>1</v>
      </c>
      <c r="G1781">
        <f>IF(Table3[[#This Row],[Service_Window]]="Lunch",1,0)</f>
        <v>0</v>
      </c>
    </row>
    <row r="1782" spans="1:7" x14ac:dyDescent="0.2">
      <c r="A1782">
        <v>46013</v>
      </c>
      <c r="B1782" t="s">
        <v>213</v>
      </c>
      <c r="C1782" t="s">
        <v>14</v>
      </c>
      <c r="D1782">
        <v>2</v>
      </c>
      <c r="E1782">
        <v>0</v>
      </c>
      <c r="F1782">
        <v>1</v>
      </c>
      <c r="G1782">
        <f>IF(Table3[[#This Row],[Service_Window]]="Lunch",1,0)</f>
        <v>0</v>
      </c>
    </row>
    <row r="1783" spans="1:7" x14ac:dyDescent="0.2">
      <c r="A1783">
        <v>46013</v>
      </c>
      <c r="B1783" t="s">
        <v>213</v>
      </c>
      <c r="C1783" t="s">
        <v>14</v>
      </c>
      <c r="D1783">
        <v>3</v>
      </c>
      <c r="E1783">
        <v>0</v>
      </c>
      <c r="F1783">
        <v>1</v>
      </c>
      <c r="G1783">
        <f>IF(Table3[[#This Row],[Service_Window]]="Lunch",1,0)</f>
        <v>0</v>
      </c>
    </row>
    <row r="1784" spans="1:7" x14ac:dyDescent="0.2">
      <c r="A1784">
        <v>46013</v>
      </c>
      <c r="B1784" t="s">
        <v>213</v>
      </c>
      <c r="C1784" t="s">
        <v>14</v>
      </c>
      <c r="D1784">
        <v>3</v>
      </c>
      <c r="E1784">
        <v>0</v>
      </c>
      <c r="F1784">
        <v>1</v>
      </c>
      <c r="G1784">
        <f>IF(Table3[[#This Row],[Service_Window]]="Lunch",1,0)</f>
        <v>0</v>
      </c>
    </row>
    <row r="1785" spans="1:7" x14ac:dyDescent="0.2">
      <c r="A1785">
        <v>46013</v>
      </c>
      <c r="B1785" t="s">
        <v>213</v>
      </c>
      <c r="C1785" t="s">
        <v>14</v>
      </c>
      <c r="D1785">
        <v>4</v>
      </c>
      <c r="E1785">
        <v>0</v>
      </c>
      <c r="F1785">
        <v>1</v>
      </c>
      <c r="G1785">
        <f>IF(Table3[[#This Row],[Service_Window]]="Lunch",1,0)</f>
        <v>0</v>
      </c>
    </row>
    <row r="1786" spans="1:7" x14ac:dyDescent="0.2">
      <c r="A1786">
        <v>46013</v>
      </c>
      <c r="B1786" t="s">
        <v>213</v>
      </c>
      <c r="C1786" t="s">
        <v>14</v>
      </c>
      <c r="D1786">
        <v>5</v>
      </c>
      <c r="E1786">
        <v>0</v>
      </c>
      <c r="F1786">
        <v>1</v>
      </c>
      <c r="G1786">
        <f>IF(Table3[[#This Row],[Service_Window]]="Lunch",1,0)</f>
        <v>0</v>
      </c>
    </row>
    <row r="1787" spans="1:7" x14ac:dyDescent="0.2">
      <c r="A1787">
        <v>46013</v>
      </c>
      <c r="B1787" t="s">
        <v>213</v>
      </c>
      <c r="C1787" t="s">
        <v>14</v>
      </c>
      <c r="D1787">
        <v>1</v>
      </c>
      <c r="E1787">
        <v>0</v>
      </c>
      <c r="F1787">
        <v>1</v>
      </c>
      <c r="G1787">
        <f>IF(Table3[[#This Row],[Service_Window]]="Lunch",1,0)</f>
        <v>0</v>
      </c>
    </row>
    <row r="1788" spans="1:7" x14ac:dyDescent="0.2">
      <c r="A1788">
        <v>46013</v>
      </c>
      <c r="B1788" t="s">
        <v>213</v>
      </c>
      <c r="C1788" t="s">
        <v>14</v>
      </c>
      <c r="D1788">
        <v>3</v>
      </c>
      <c r="E1788">
        <v>0</v>
      </c>
      <c r="F1788">
        <v>1</v>
      </c>
      <c r="G1788">
        <f>IF(Table3[[#This Row],[Service_Window]]="Lunch",1,0)</f>
        <v>0</v>
      </c>
    </row>
    <row r="1789" spans="1:7" x14ac:dyDescent="0.2">
      <c r="A1789">
        <v>46013</v>
      </c>
      <c r="B1789" t="s">
        <v>213</v>
      </c>
      <c r="C1789" t="s">
        <v>14</v>
      </c>
      <c r="D1789">
        <v>3</v>
      </c>
      <c r="E1789">
        <v>0</v>
      </c>
      <c r="F1789">
        <v>1</v>
      </c>
      <c r="G1789">
        <f>IF(Table3[[#This Row],[Service_Window]]="Lunch",1,0)</f>
        <v>0</v>
      </c>
    </row>
    <row r="1790" spans="1:7" x14ac:dyDescent="0.2">
      <c r="A1790">
        <v>46013</v>
      </c>
      <c r="B1790" t="s">
        <v>213</v>
      </c>
      <c r="C1790" t="s">
        <v>14</v>
      </c>
      <c r="D1790">
        <v>2</v>
      </c>
      <c r="E1790">
        <v>0</v>
      </c>
      <c r="F1790">
        <v>1</v>
      </c>
      <c r="G1790">
        <f>IF(Table3[[#This Row],[Service_Window]]="Lunch",1,0)</f>
        <v>0</v>
      </c>
    </row>
    <row r="1791" spans="1:7" x14ac:dyDescent="0.2">
      <c r="A1791">
        <v>46013</v>
      </c>
      <c r="B1791" t="s">
        <v>213</v>
      </c>
      <c r="C1791" t="s">
        <v>14</v>
      </c>
      <c r="D1791">
        <v>2</v>
      </c>
      <c r="E1791">
        <v>0</v>
      </c>
      <c r="F1791">
        <v>1</v>
      </c>
      <c r="G1791">
        <f>IF(Table3[[#This Row],[Service_Window]]="Lunch",1,0)</f>
        <v>0</v>
      </c>
    </row>
    <row r="1792" spans="1:7" x14ac:dyDescent="0.2">
      <c r="A1792">
        <v>46013</v>
      </c>
      <c r="B1792" t="s">
        <v>213</v>
      </c>
      <c r="C1792" t="s">
        <v>43</v>
      </c>
      <c r="D1792">
        <v>2</v>
      </c>
      <c r="E1792">
        <v>0</v>
      </c>
      <c r="F1792">
        <v>1</v>
      </c>
      <c r="G1792">
        <f>IF(Table3[[#This Row],[Service_Window]]="Lunch",1,0)</f>
        <v>1</v>
      </c>
    </row>
    <row r="1793" spans="1:7" x14ac:dyDescent="0.2">
      <c r="A1793">
        <v>46013</v>
      </c>
      <c r="B1793" t="s">
        <v>213</v>
      </c>
      <c r="C1793" t="s">
        <v>43</v>
      </c>
      <c r="D1793">
        <v>4</v>
      </c>
      <c r="E1793">
        <v>0</v>
      </c>
      <c r="F1793">
        <v>1</v>
      </c>
      <c r="G1793">
        <f>IF(Table3[[#This Row],[Service_Window]]="Lunch",1,0)</f>
        <v>1</v>
      </c>
    </row>
    <row r="1794" spans="1:7" x14ac:dyDescent="0.2">
      <c r="A1794">
        <v>46013</v>
      </c>
      <c r="B1794" t="s">
        <v>213</v>
      </c>
      <c r="C1794" t="s">
        <v>43</v>
      </c>
      <c r="D1794">
        <v>2</v>
      </c>
      <c r="E1794">
        <v>0</v>
      </c>
      <c r="F1794">
        <v>1</v>
      </c>
      <c r="G1794">
        <f>IF(Table3[[#This Row],[Service_Window]]="Lunch",1,0)</f>
        <v>1</v>
      </c>
    </row>
    <row r="1795" spans="1:7" x14ac:dyDescent="0.2">
      <c r="A1795">
        <v>46013</v>
      </c>
      <c r="B1795" t="s">
        <v>213</v>
      </c>
      <c r="C1795" t="s">
        <v>43</v>
      </c>
      <c r="D1795">
        <v>3</v>
      </c>
      <c r="E1795">
        <v>0</v>
      </c>
      <c r="F1795">
        <v>1</v>
      </c>
      <c r="G1795">
        <f>IF(Table3[[#This Row],[Service_Window]]="Lunch",1,0)</f>
        <v>1</v>
      </c>
    </row>
    <row r="1796" spans="1:7" x14ac:dyDescent="0.2">
      <c r="A1796">
        <v>46013</v>
      </c>
      <c r="B1796" t="s">
        <v>213</v>
      </c>
      <c r="C1796" t="s">
        <v>43</v>
      </c>
      <c r="D1796">
        <v>4</v>
      </c>
      <c r="E1796">
        <v>0</v>
      </c>
      <c r="F1796">
        <v>1</v>
      </c>
      <c r="G1796">
        <f>IF(Table3[[#This Row],[Service_Window]]="Lunch",1,0)</f>
        <v>1</v>
      </c>
    </row>
    <row r="1797" spans="1:7" x14ac:dyDescent="0.2">
      <c r="A1797">
        <v>46013</v>
      </c>
      <c r="B1797" t="s">
        <v>213</v>
      </c>
      <c r="C1797" t="s">
        <v>43</v>
      </c>
      <c r="D1797">
        <v>3</v>
      </c>
      <c r="E1797">
        <v>0</v>
      </c>
      <c r="F1797">
        <v>1</v>
      </c>
      <c r="G1797">
        <f>IF(Table3[[#This Row],[Service_Window]]="Lunch",1,0)</f>
        <v>1</v>
      </c>
    </row>
    <row r="1798" spans="1:7" x14ac:dyDescent="0.2">
      <c r="A1798">
        <v>46013</v>
      </c>
      <c r="B1798" t="s">
        <v>213</v>
      </c>
      <c r="C1798" t="s">
        <v>43</v>
      </c>
      <c r="D1798">
        <v>2</v>
      </c>
      <c r="E1798">
        <v>0</v>
      </c>
      <c r="F1798">
        <v>1</v>
      </c>
      <c r="G1798">
        <f>IF(Table3[[#This Row],[Service_Window]]="Lunch",1,0)</f>
        <v>1</v>
      </c>
    </row>
    <row r="1799" spans="1:7" x14ac:dyDescent="0.2">
      <c r="A1799">
        <v>46013</v>
      </c>
      <c r="B1799" t="s">
        <v>213</v>
      </c>
      <c r="C1799" t="s">
        <v>43</v>
      </c>
      <c r="D1799">
        <v>2</v>
      </c>
      <c r="E1799">
        <v>0</v>
      </c>
      <c r="F1799">
        <v>1</v>
      </c>
      <c r="G1799">
        <f>IF(Table3[[#This Row],[Service_Window]]="Lunch",1,0)</f>
        <v>1</v>
      </c>
    </row>
    <row r="1800" spans="1:7" x14ac:dyDescent="0.2">
      <c r="A1800">
        <v>46013</v>
      </c>
      <c r="B1800" t="s">
        <v>213</v>
      </c>
      <c r="C1800" t="s">
        <v>43</v>
      </c>
      <c r="D1800">
        <v>2</v>
      </c>
      <c r="E1800">
        <v>0</v>
      </c>
      <c r="F1800">
        <v>1</v>
      </c>
      <c r="G1800">
        <f>IF(Table3[[#This Row],[Service_Window]]="Lunch",1,0)</f>
        <v>1</v>
      </c>
    </row>
    <row r="1801" spans="1:7" x14ac:dyDescent="0.2">
      <c r="A1801">
        <v>46013</v>
      </c>
      <c r="B1801" t="s">
        <v>213</v>
      </c>
      <c r="C1801" t="s">
        <v>43</v>
      </c>
      <c r="D1801">
        <v>2</v>
      </c>
      <c r="E1801">
        <v>0</v>
      </c>
      <c r="F1801">
        <v>1</v>
      </c>
      <c r="G1801">
        <f>IF(Table3[[#This Row],[Service_Window]]="Lunch",1,0)</f>
        <v>1</v>
      </c>
    </row>
    <row r="1802" spans="1:7" x14ac:dyDescent="0.2">
      <c r="A1802">
        <v>46013</v>
      </c>
      <c r="B1802" t="s">
        <v>213</v>
      </c>
      <c r="C1802" t="s">
        <v>43</v>
      </c>
      <c r="D1802">
        <v>3</v>
      </c>
      <c r="E1802">
        <v>0</v>
      </c>
      <c r="F1802">
        <v>1</v>
      </c>
      <c r="G1802">
        <f>IF(Table3[[#This Row],[Service_Window]]="Lunch",1,0)</f>
        <v>1</v>
      </c>
    </row>
    <row r="1803" spans="1:7" x14ac:dyDescent="0.2">
      <c r="A1803">
        <v>46014</v>
      </c>
      <c r="B1803" t="s">
        <v>250</v>
      </c>
      <c r="C1803" t="s">
        <v>14</v>
      </c>
      <c r="D1803">
        <v>4</v>
      </c>
      <c r="E1803">
        <v>0</v>
      </c>
      <c r="F1803">
        <v>2</v>
      </c>
      <c r="G1803">
        <f>IF(Table3[[#This Row],[Service_Window]]="Lunch",1,0)</f>
        <v>0</v>
      </c>
    </row>
    <row r="1804" spans="1:7" x14ac:dyDescent="0.2">
      <c r="A1804">
        <v>46014</v>
      </c>
      <c r="B1804" t="s">
        <v>250</v>
      </c>
      <c r="C1804" t="s">
        <v>14</v>
      </c>
      <c r="D1804">
        <v>2</v>
      </c>
      <c r="E1804">
        <v>0</v>
      </c>
      <c r="F1804">
        <v>2</v>
      </c>
      <c r="G1804">
        <f>IF(Table3[[#This Row],[Service_Window]]="Lunch",1,0)</f>
        <v>0</v>
      </c>
    </row>
    <row r="1805" spans="1:7" x14ac:dyDescent="0.2">
      <c r="A1805">
        <v>46014</v>
      </c>
      <c r="B1805" t="s">
        <v>250</v>
      </c>
      <c r="C1805" t="s">
        <v>14</v>
      </c>
      <c r="D1805">
        <v>1</v>
      </c>
      <c r="E1805">
        <v>0</v>
      </c>
      <c r="F1805">
        <v>2</v>
      </c>
      <c r="G1805">
        <f>IF(Table3[[#This Row],[Service_Window]]="Lunch",1,0)</f>
        <v>0</v>
      </c>
    </row>
    <row r="1806" spans="1:7" x14ac:dyDescent="0.2">
      <c r="A1806">
        <v>46014</v>
      </c>
      <c r="B1806" t="s">
        <v>250</v>
      </c>
      <c r="C1806" t="s">
        <v>14</v>
      </c>
      <c r="D1806">
        <v>3</v>
      </c>
      <c r="E1806">
        <v>0</v>
      </c>
      <c r="F1806">
        <v>2</v>
      </c>
      <c r="G1806">
        <f>IF(Table3[[#This Row],[Service_Window]]="Lunch",1,0)</f>
        <v>0</v>
      </c>
    </row>
    <row r="1807" spans="1:7" x14ac:dyDescent="0.2">
      <c r="A1807">
        <v>46014</v>
      </c>
      <c r="B1807" t="s">
        <v>250</v>
      </c>
      <c r="C1807" t="s">
        <v>14</v>
      </c>
      <c r="D1807">
        <v>3</v>
      </c>
      <c r="E1807">
        <v>0</v>
      </c>
      <c r="F1807">
        <v>2</v>
      </c>
      <c r="G1807">
        <f>IF(Table3[[#This Row],[Service_Window]]="Lunch",1,0)</f>
        <v>0</v>
      </c>
    </row>
    <row r="1808" spans="1:7" x14ac:dyDescent="0.2">
      <c r="A1808">
        <v>46014</v>
      </c>
      <c r="B1808" t="s">
        <v>250</v>
      </c>
      <c r="C1808" t="s">
        <v>14</v>
      </c>
      <c r="D1808">
        <v>1</v>
      </c>
      <c r="E1808">
        <v>0</v>
      </c>
      <c r="F1808">
        <v>2</v>
      </c>
      <c r="G1808">
        <f>IF(Table3[[#This Row],[Service_Window]]="Lunch",1,0)</f>
        <v>0</v>
      </c>
    </row>
    <row r="1809" spans="1:7" x14ac:dyDescent="0.2">
      <c r="A1809">
        <v>46014</v>
      </c>
      <c r="B1809" t="s">
        <v>250</v>
      </c>
      <c r="C1809" t="s">
        <v>14</v>
      </c>
      <c r="D1809">
        <v>3</v>
      </c>
      <c r="E1809">
        <v>0</v>
      </c>
      <c r="F1809">
        <v>2</v>
      </c>
      <c r="G1809">
        <f>IF(Table3[[#This Row],[Service_Window]]="Lunch",1,0)</f>
        <v>0</v>
      </c>
    </row>
    <row r="1810" spans="1:7" x14ac:dyDescent="0.2">
      <c r="A1810">
        <v>46014</v>
      </c>
      <c r="B1810" t="s">
        <v>250</v>
      </c>
      <c r="C1810" t="s">
        <v>14</v>
      </c>
      <c r="D1810">
        <v>5</v>
      </c>
      <c r="E1810">
        <v>0</v>
      </c>
      <c r="F1810">
        <v>2</v>
      </c>
      <c r="G1810">
        <f>IF(Table3[[#This Row],[Service_Window]]="Lunch",1,0)</f>
        <v>0</v>
      </c>
    </row>
    <row r="1811" spans="1:7" x14ac:dyDescent="0.2">
      <c r="A1811">
        <v>46014</v>
      </c>
      <c r="B1811" t="s">
        <v>250</v>
      </c>
      <c r="C1811" t="s">
        <v>14</v>
      </c>
      <c r="D1811">
        <v>2</v>
      </c>
      <c r="E1811">
        <v>0</v>
      </c>
      <c r="F1811">
        <v>2</v>
      </c>
      <c r="G1811">
        <f>IF(Table3[[#This Row],[Service_Window]]="Lunch",1,0)</f>
        <v>0</v>
      </c>
    </row>
    <row r="1812" spans="1:7" x14ac:dyDescent="0.2">
      <c r="A1812">
        <v>46014</v>
      </c>
      <c r="B1812" t="s">
        <v>250</v>
      </c>
      <c r="C1812" t="s">
        <v>14</v>
      </c>
      <c r="D1812">
        <v>2</v>
      </c>
      <c r="E1812">
        <v>0</v>
      </c>
      <c r="F1812">
        <v>2</v>
      </c>
      <c r="G1812">
        <f>IF(Table3[[#This Row],[Service_Window]]="Lunch",1,0)</f>
        <v>0</v>
      </c>
    </row>
    <row r="1813" spans="1:7" x14ac:dyDescent="0.2">
      <c r="A1813">
        <v>46014</v>
      </c>
      <c r="B1813" t="s">
        <v>250</v>
      </c>
      <c r="C1813" t="s">
        <v>14</v>
      </c>
      <c r="D1813">
        <v>4</v>
      </c>
      <c r="E1813">
        <v>0</v>
      </c>
      <c r="F1813">
        <v>2</v>
      </c>
      <c r="G1813">
        <f>IF(Table3[[#This Row],[Service_Window]]="Lunch",1,0)</f>
        <v>0</v>
      </c>
    </row>
    <row r="1814" spans="1:7" x14ac:dyDescent="0.2">
      <c r="A1814">
        <v>46014</v>
      </c>
      <c r="B1814" t="s">
        <v>250</v>
      </c>
      <c r="C1814" t="s">
        <v>14</v>
      </c>
      <c r="D1814">
        <v>3</v>
      </c>
      <c r="E1814">
        <v>0</v>
      </c>
      <c r="F1814">
        <v>2</v>
      </c>
      <c r="G1814">
        <f>IF(Table3[[#This Row],[Service_Window]]="Lunch",1,0)</f>
        <v>0</v>
      </c>
    </row>
    <row r="1815" spans="1:7" x14ac:dyDescent="0.2">
      <c r="A1815">
        <v>46014</v>
      </c>
      <c r="B1815" t="s">
        <v>250</v>
      </c>
      <c r="C1815" t="s">
        <v>14</v>
      </c>
      <c r="D1815">
        <v>1</v>
      </c>
      <c r="E1815">
        <v>0</v>
      </c>
      <c r="F1815">
        <v>2</v>
      </c>
      <c r="G1815">
        <f>IF(Table3[[#This Row],[Service_Window]]="Lunch",1,0)</f>
        <v>0</v>
      </c>
    </row>
    <row r="1816" spans="1:7" x14ac:dyDescent="0.2">
      <c r="A1816">
        <v>46014</v>
      </c>
      <c r="B1816" t="s">
        <v>250</v>
      </c>
      <c r="C1816" t="s">
        <v>14</v>
      </c>
      <c r="D1816">
        <v>2</v>
      </c>
      <c r="E1816">
        <v>0</v>
      </c>
      <c r="F1816">
        <v>2</v>
      </c>
      <c r="G1816">
        <f>IF(Table3[[#This Row],[Service_Window]]="Lunch",1,0)</f>
        <v>0</v>
      </c>
    </row>
    <row r="1817" spans="1:7" x14ac:dyDescent="0.2">
      <c r="A1817">
        <v>46014</v>
      </c>
      <c r="B1817" t="s">
        <v>250</v>
      </c>
      <c r="C1817" t="s">
        <v>43</v>
      </c>
      <c r="D1817">
        <v>3</v>
      </c>
      <c r="E1817">
        <v>0</v>
      </c>
      <c r="F1817">
        <v>2</v>
      </c>
      <c r="G1817">
        <f>IF(Table3[[#This Row],[Service_Window]]="Lunch",1,0)</f>
        <v>1</v>
      </c>
    </row>
    <row r="1818" spans="1:7" x14ac:dyDescent="0.2">
      <c r="A1818">
        <v>46014</v>
      </c>
      <c r="B1818" t="s">
        <v>250</v>
      </c>
      <c r="C1818" t="s">
        <v>43</v>
      </c>
      <c r="D1818">
        <v>4</v>
      </c>
      <c r="E1818">
        <v>0</v>
      </c>
      <c r="F1818">
        <v>2</v>
      </c>
      <c r="G1818">
        <f>IF(Table3[[#This Row],[Service_Window]]="Lunch",1,0)</f>
        <v>1</v>
      </c>
    </row>
    <row r="1819" spans="1:7" x14ac:dyDescent="0.2">
      <c r="A1819">
        <v>46014</v>
      </c>
      <c r="B1819" t="s">
        <v>250</v>
      </c>
      <c r="C1819" t="s">
        <v>43</v>
      </c>
      <c r="D1819">
        <v>4</v>
      </c>
      <c r="E1819">
        <v>0</v>
      </c>
      <c r="F1819">
        <v>2</v>
      </c>
      <c r="G1819">
        <f>IF(Table3[[#This Row],[Service_Window]]="Lunch",1,0)</f>
        <v>1</v>
      </c>
    </row>
    <row r="1820" spans="1:7" x14ac:dyDescent="0.2">
      <c r="A1820">
        <v>46014</v>
      </c>
      <c r="B1820" t="s">
        <v>250</v>
      </c>
      <c r="C1820" t="s">
        <v>43</v>
      </c>
      <c r="D1820">
        <v>2</v>
      </c>
      <c r="E1820">
        <v>0</v>
      </c>
      <c r="F1820">
        <v>2</v>
      </c>
      <c r="G1820">
        <f>IF(Table3[[#This Row],[Service_Window]]="Lunch",1,0)</f>
        <v>1</v>
      </c>
    </row>
    <row r="1821" spans="1:7" x14ac:dyDescent="0.2">
      <c r="A1821">
        <v>46014</v>
      </c>
      <c r="B1821" t="s">
        <v>250</v>
      </c>
      <c r="C1821" t="s">
        <v>43</v>
      </c>
      <c r="D1821">
        <v>3</v>
      </c>
      <c r="E1821">
        <v>0</v>
      </c>
      <c r="F1821">
        <v>2</v>
      </c>
      <c r="G1821">
        <f>IF(Table3[[#This Row],[Service_Window]]="Lunch",1,0)</f>
        <v>1</v>
      </c>
    </row>
    <row r="1822" spans="1:7" x14ac:dyDescent="0.2">
      <c r="A1822">
        <v>46014</v>
      </c>
      <c r="B1822" t="s">
        <v>250</v>
      </c>
      <c r="C1822" t="s">
        <v>43</v>
      </c>
      <c r="D1822">
        <v>5</v>
      </c>
      <c r="E1822">
        <v>0</v>
      </c>
      <c r="F1822">
        <v>2</v>
      </c>
      <c r="G1822">
        <f>IF(Table3[[#This Row],[Service_Window]]="Lunch",1,0)</f>
        <v>1</v>
      </c>
    </row>
    <row r="1823" spans="1:7" x14ac:dyDescent="0.2">
      <c r="A1823">
        <v>46014</v>
      </c>
      <c r="B1823" t="s">
        <v>250</v>
      </c>
      <c r="C1823" t="s">
        <v>43</v>
      </c>
      <c r="D1823">
        <v>1</v>
      </c>
      <c r="E1823">
        <v>0</v>
      </c>
      <c r="F1823">
        <v>2</v>
      </c>
      <c r="G1823">
        <f>IF(Table3[[#This Row],[Service_Window]]="Lunch",1,0)</f>
        <v>1</v>
      </c>
    </row>
    <row r="1824" spans="1:7" x14ac:dyDescent="0.2">
      <c r="A1824">
        <v>46014</v>
      </c>
      <c r="B1824" t="s">
        <v>250</v>
      </c>
      <c r="C1824" t="s">
        <v>43</v>
      </c>
      <c r="D1824">
        <v>1</v>
      </c>
      <c r="E1824">
        <v>0</v>
      </c>
      <c r="F1824">
        <v>2</v>
      </c>
      <c r="G1824">
        <f>IF(Table3[[#This Row],[Service_Window]]="Lunch",1,0)</f>
        <v>1</v>
      </c>
    </row>
    <row r="1825" spans="1:7" x14ac:dyDescent="0.2">
      <c r="A1825">
        <v>46015</v>
      </c>
      <c r="B1825" t="s">
        <v>13</v>
      </c>
      <c r="C1825" t="s">
        <v>14</v>
      </c>
      <c r="D1825">
        <v>2</v>
      </c>
      <c r="E1825">
        <v>0</v>
      </c>
      <c r="F1825">
        <v>3</v>
      </c>
      <c r="G1825">
        <f>IF(Table3[[#This Row],[Service_Window]]="Lunch",1,0)</f>
        <v>0</v>
      </c>
    </row>
    <row r="1826" spans="1:7" x14ac:dyDescent="0.2">
      <c r="A1826">
        <v>46015</v>
      </c>
      <c r="B1826" t="s">
        <v>13</v>
      </c>
      <c r="C1826" t="s">
        <v>14</v>
      </c>
      <c r="D1826">
        <v>3</v>
      </c>
      <c r="E1826">
        <v>0</v>
      </c>
      <c r="F1826">
        <v>3</v>
      </c>
      <c r="G1826">
        <f>IF(Table3[[#This Row],[Service_Window]]="Lunch",1,0)</f>
        <v>0</v>
      </c>
    </row>
    <row r="1827" spans="1:7" x14ac:dyDescent="0.2">
      <c r="A1827">
        <v>46015</v>
      </c>
      <c r="B1827" t="s">
        <v>13</v>
      </c>
      <c r="C1827" t="s">
        <v>14</v>
      </c>
      <c r="D1827">
        <v>2</v>
      </c>
      <c r="E1827">
        <v>0</v>
      </c>
      <c r="F1827">
        <v>3</v>
      </c>
      <c r="G1827">
        <f>IF(Table3[[#This Row],[Service_Window]]="Lunch",1,0)</f>
        <v>0</v>
      </c>
    </row>
    <row r="1828" spans="1:7" x14ac:dyDescent="0.2">
      <c r="A1828">
        <v>46015</v>
      </c>
      <c r="B1828" t="s">
        <v>13</v>
      </c>
      <c r="C1828" t="s">
        <v>14</v>
      </c>
      <c r="D1828">
        <v>2</v>
      </c>
      <c r="E1828">
        <v>0</v>
      </c>
      <c r="F1828">
        <v>3</v>
      </c>
      <c r="G1828">
        <f>IF(Table3[[#This Row],[Service_Window]]="Lunch",1,0)</f>
        <v>0</v>
      </c>
    </row>
    <row r="1829" spans="1:7" x14ac:dyDescent="0.2">
      <c r="A1829">
        <v>46015</v>
      </c>
      <c r="B1829" t="s">
        <v>13</v>
      </c>
      <c r="C1829" t="s">
        <v>14</v>
      </c>
      <c r="D1829">
        <v>5</v>
      </c>
      <c r="E1829">
        <v>0</v>
      </c>
      <c r="F1829">
        <v>3</v>
      </c>
      <c r="G1829">
        <f>IF(Table3[[#This Row],[Service_Window]]="Lunch",1,0)</f>
        <v>0</v>
      </c>
    </row>
    <row r="1830" spans="1:7" x14ac:dyDescent="0.2">
      <c r="A1830">
        <v>46015</v>
      </c>
      <c r="B1830" t="s">
        <v>13</v>
      </c>
      <c r="C1830" t="s">
        <v>14</v>
      </c>
      <c r="D1830">
        <v>5</v>
      </c>
      <c r="E1830">
        <v>0</v>
      </c>
      <c r="F1830">
        <v>3</v>
      </c>
      <c r="G1830">
        <f>IF(Table3[[#This Row],[Service_Window]]="Lunch",1,0)</f>
        <v>0</v>
      </c>
    </row>
    <row r="1831" spans="1:7" x14ac:dyDescent="0.2">
      <c r="A1831">
        <v>46015</v>
      </c>
      <c r="B1831" t="s">
        <v>13</v>
      </c>
      <c r="C1831" t="s">
        <v>14</v>
      </c>
      <c r="D1831">
        <v>3</v>
      </c>
      <c r="E1831">
        <v>0</v>
      </c>
      <c r="F1831">
        <v>3</v>
      </c>
      <c r="G1831">
        <f>IF(Table3[[#This Row],[Service_Window]]="Lunch",1,0)</f>
        <v>0</v>
      </c>
    </row>
    <row r="1832" spans="1:7" x14ac:dyDescent="0.2">
      <c r="A1832">
        <v>46015</v>
      </c>
      <c r="B1832" t="s">
        <v>13</v>
      </c>
      <c r="C1832" t="s">
        <v>14</v>
      </c>
      <c r="D1832">
        <v>2</v>
      </c>
      <c r="E1832">
        <v>0</v>
      </c>
      <c r="F1832">
        <v>3</v>
      </c>
      <c r="G1832">
        <f>IF(Table3[[#This Row],[Service_Window]]="Lunch",1,0)</f>
        <v>0</v>
      </c>
    </row>
    <row r="1833" spans="1:7" x14ac:dyDescent="0.2">
      <c r="A1833">
        <v>46015</v>
      </c>
      <c r="B1833" t="s">
        <v>13</v>
      </c>
      <c r="C1833" t="s">
        <v>14</v>
      </c>
      <c r="D1833">
        <v>2</v>
      </c>
      <c r="E1833">
        <v>0</v>
      </c>
      <c r="F1833">
        <v>3</v>
      </c>
      <c r="G1833">
        <f>IF(Table3[[#This Row],[Service_Window]]="Lunch",1,0)</f>
        <v>0</v>
      </c>
    </row>
    <row r="1834" spans="1:7" x14ac:dyDescent="0.2">
      <c r="A1834">
        <v>46015</v>
      </c>
      <c r="B1834" t="s">
        <v>13</v>
      </c>
      <c r="C1834" t="s">
        <v>14</v>
      </c>
      <c r="D1834">
        <v>2</v>
      </c>
      <c r="E1834">
        <v>0</v>
      </c>
      <c r="F1834">
        <v>3</v>
      </c>
      <c r="G1834">
        <f>IF(Table3[[#This Row],[Service_Window]]="Lunch",1,0)</f>
        <v>0</v>
      </c>
    </row>
    <row r="1835" spans="1:7" x14ac:dyDescent="0.2">
      <c r="A1835">
        <v>46015</v>
      </c>
      <c r="B1835" t="s">
        <v>13</v>
      </c>
      <c r="C1835" t="s">
        <v>14</v>
      </c>
      <c r="D1835">
        <v>3</v>
      </c>
      <c r="E1835">
        <v>0</v>
      </c>
      <c r="F1835">
        <v>3</v>
      </c>
      <c r="G1835">
        <f>IF(Table3[[#This Row],[Service_Window]]="Lunch",1,0)</f>
        <v>0</v>
      </c>
    </row>
    <row r="1836" spans="1:7" x14ac:dyDescent="0.2">
      <c r="A1836">
        <v>46015</v>
      </c>
      <c r="B1836" t="s">
        <v>13</v>
      </c>
      <c r="C1836" t="s">
        <v>14</v>
      </c>
      <c r="D1836">
        <v>3</v>
      </c>
      <c r="E1836">
        <v>0</v>
      </c>
      <c r="F1836">
        <v>3</v>
      </c>
      <c r="G1836">
        <f>IF(Table3[[#This Row],[Service_Window]]="Lunch",1,0)</f>
        <v>0</v>
      </c>
    </row>
    <row r="1837" spans="1:7" x14ac:dyDescent="0.2">
      <c r="A1837">
        <v>46015</v>
      </c>
      <c r="B1837" t="s">
        <v>13</v>
      </c>
      <c r="C1837" t="s">
        <v>43</v>
      </c>
      <c r="D1837">
        <v>3</v>
      </c>
      <c r="E1837">
        <v>1</v>
      </c>
      <c r="F1837">
        <v>3</v>
      </c>
      <c r="G1837">
        <f>IF(Table3[[#This Row],[Service_Window]]="Lunch",1,0)</f>
        <v>1</v>
      </c>
    </row>
    <row r="1838" spans="1:7" x14ac:dyDescent="0.2">
      <c r="A1838">
        <v>46015</v>
      </c>
      <c r="B1838" t="s">
        <v>13</v>
      </c>
      <c r="C1838" t="s">
        <v>43</v>
      </c>
      <c r="D1838">
        <v>3</v>
      </c>
      <c r="E1838">
        <v>1</v>
      </c>
      <c r="F1838">
        <v>3</v>
      </c>
      <c r="G1838">
        <f>IF(Table3[[#This Row],[Service_Window]]="Lunch",1,0)</f>
        <v>1</v>
      </c>
    </row>
    <row r="1839" spans="1:7" x14ac:dyDescent="0.2">
      <c r="A1839">
        <v>46015</v>
      </c>
      <c r="B1839" t="s">
        <v>13</v>
      </c>
      <c r="C1839" t="s">
        <v>43</v>
      </c>
      <c r="D1839">
        <v>1</v>
      </c>
      <c r="E1839">
        <v>1</v>
      </c>
      <c r="F1839">
        <v>3</v>
      </c>
      <c r="G1839">
        <f>IF(Table3[[#This Row],[Service_Window]]="Lunch",1,0)</f>
        <v>1</v>
      </c>
    </row>
    <row r="1840" spans="1:7" x14ac:dyDescent="0.2">
      <c r="A1840">
        <v>46015</v>
      </c>
      <c r="B1840" t="s">
        <v>13</v>
      </c>
      <c r="C1840" t="s">
        <v>43</v>
      </c>
      <c r="D1840">
        <v>1</v>
      </c>
      <c r="E1840">
        <v>1</v>
      </c>
      <c r="F1840">
        <v>3</v>
      </c>
      <c r="G1840">
        <f>IF(Table3[[#This Row],[Service_Window]]="Lunch",1,0)</f>
        <v>1</v>
      </c>
    </row>
    <row r="1841" spans="1:7" x14ac:dyDescent="0.2">
      <c r="A1841">
        <v>46015</v>
      </c>
      <c r="B1841" t="s">
        <v>13</v>
      </c>
      <c r="C1841" t="s">
        <v>43</v>
      </c>
      <c r="D1841">
        <v>5</v>
      </c>
      <c r="E1841">
        <v>1</v>
      </c>
      <c r="F1841">
        <v>3</v>
      </c>
      <c r="G1841">
        <f>IF(Table3[[#This Row],[Service_Window]]="Lunch",1,0)</f>
        <v>1</v>
      </c>
    </row>
    <row r="1842" spans="1:7" x14ac:dyDescent="0.2">
      <c r="A1842">
        <v>46015</v>
      </c>
      <c r="B1842" t="s">
        <v>13</v>
      </c>
      <c r="C1842" t="s">
        <v>43</v>
      </c>
      <c r="D1842">
        <v>3</v>
      </c>
      <c r="E1842">
        <v>1</v>
      </c>
      <c r="F1842">
        <v>3</v>
      </c>
      <c r="G1842">
        <f>IF(Table3[[#This Row],[Service_Window]]="Lunch",1,0)</f>
        <v>1</v>
      </c>
    </row>
    <row r="1843" spans="1:7" x14ac:dyDescent="0.2">
      <c r="A1843">
        <v>46015</v>
      </c>
      <c r="B1843" t="s">
        <v>13</v>
      </c>
      <c r="C1843" t="s">
        <v>43</v>
      </c>
      <c r="D1843">
        <v>2</v>
      </c>
      <c r="E1843">
        <v>1</v>
      </c>
      <c r="F1843">
        <v>3</v>
      </c>
      <c r="G1843">
        <f>IF(Table3[[#This Row],[Service_Window]]="Lunch",1,0)</f>
        <v>1</v>
      </c>
    </row>
    <row r="1844" spans="1:7" x14ac:dyDescent="0.2">
      <c r="A1844">
        <v>46015</v>
      </c>
      <c r="B1844" t="s">
        <v>13</v>
      </c>
      <c r="C1844" t="s">
        <v>43</v>
      </c>
      <c r="D1844">
        <v>4</v>
      </c>
      <c r="E1844">
        <v>0</v>
      </c>
      <c r="F1844">
        <v>3</v>
      </c>
      <c r="G1844">
        <f>IF(Table3[[#This Row],[Service_Window]]="Lunch",1,0)</f>
        <v>1</v>
      </c>
    </row>
    <row r="1845" spans="1:7" x14ac:dyDescent="0.2">
      <c r="A1845">
        <v>46015</v>
      </c>
      <c r="B1845" t="s">
        <v>13</v>
      </c>
      <c r="C1845" t="s">
        <v>43</v>
      </c>
      <c r="D1845">
        <v>2</v>
      </c>
      <c r="E1845">
        <v>1</v>
      </c>
      <c r="F1845">
        <v>3</v>
      </c>
      <c r="G1845">
        <f>IF(Table3[[#This Row],[Service_Window]]="Lunch",1,0)</f>
        <v>1</v>
      </c>
    </row>
    <row r="1846" spans="1:7" x14ac:dyDescent="0.2">
      <c r="A1846">
        <v>46015</v>
      </c>
      <c r="B1846" t="s">
        <v>13</v>
      </c>
      <c r="C1846" t="s">
        <v>43</v>
      </c>
      <c r="D1846">
        <v>7</v>
      </c>
      <c r="E1846">
        <v>1</v>
      </c>
      <c r="F1846">
        <v>3</v>
      </c>
      <c r="G1846">
        <f>IF(Table3[[#This Row],[Service_Window]]="Lunch",1,0)</f>
        <v>1</v>
      </c>
    </row>
    <row r="1847" spans="1:7" x14ac:dyDescent="0.2">
      <c r="A1847">
        <v>46015</v>
      </c>
      <c r="B1847" t="s">
        <v>13</v>
      </c>
      <c r="C1847" t="s">
        <v>43</v>
      </c>
      <c r="D1847">
        <v>5</v>
      </c>
      <c r="E1847">
        <v>0</v>
      </c>
      <c r="F1847">
        <v>3</v>
      </c>
      <c r="G1847">
        <f>IF(Table3[[#This Row],[Service_Window]]="Lunch",1,0)</f>
        <v>1</v>
      </c>
    </row>
    <row r="1848" spans="1:7" x14ac:dyDescent="0.2">
      <c r="A1848">
        <v>46015</v>
      </c>
      <c r="B1848" t="s">
        <v>13</v>
      </c>
      <c r="C1848" t="s">
        <v>43</v>
      </c>
      <c r="D1848">
        <v>5</v>
      </c>
      <c r="E1848">
        <v>1</v>
      </c>
      <c r="F1848">
        <v>3</v>
      </c>
      <c r="G1848">
        <f>IF(Table3[[#This Row],[Service_Window]]="Lunch",1,0)</f>
        <v>1</v>
      </c>
    </row>
    <row r="1849" spans="1:7" x14ac:dyDescent="0.2">
      <c r="A1849">
        <v>46015</v>
      </c>
      <c r="B1849" t="s">
        <v>13</v>
      </c>
      <c r="C1849" t="s">
        <v>43</v>
      </c>
      <c r="D1849">
        <v>3</v>
      </c>
      <c r="E1849">
        <v>1</v>
      </c>
      <c r="F1849">
        <v>3</v>
      </c>
      <c r="G1849">
        <f>IF(Table3[[#This Row],[Service_Window]]="Lunch",1,0)</f>
        <v>1</v>
      </c>
    </row>
    <row r="1850" spans="1:7" x14ac:dyDescent="0.2">
      <c r="A1850">
        <v>46016</v>
      </c>
      <c r="B1850" t="s">
        <v>62</v>
      </c>
      <c r="C1850" t="s">
        <v>14</v>
      </c>
      <c r="D1850">
        <v>1</v>
      </c>
      <c r="E1850">
        <v>0</v>
      </c>
      <c r="F1850">
        <v>4</v>
      </c>
      <c r="G1850">
        <f>IF(Table3[[#This Row],[Service_Window]]="Lunch",1,0)</f>
        <v>0</v>
      </c>
    </row>
    <row r="1851" spans="1:7" x14ac:dyDescent="0.2">
      <c r="A1851">
        <v>46016</v>
      </c>
      <c r="B1851" t="s">
        <v>62</v>
      </c>
      <c r="C1851" t="s">
        <v>14</v>
      </c>
      <c r="D1851">
        <v>2</v>
      </c>
      <c r="E1851">
        <v>0</v>
      </c>
      <c r="F1851">
        <v>4</v>
      </c>
      <c r="G1851">
        <f>IF(Table3[[#This Row],[Service_Window]]="Lunch",1,0)</f>
        <v>0</v>
      </c>
    </row>
    <row r="1852" spans="1:7" x14ac:dyDescent="0.2">
      <c r="A1852">
        <v>46016</v>
      </c>
      <c r="B1852" t="s">
        <v>62</v>
      </c>
      <c r="C1852" t="s">
        <v>14</v>
      </c>
      <c r="D1852">
        <v>3</v>
      </c>
      <c r="E1852">
        <v>0</v>
      </c>
      <c r="F1852">
        <v>4</v>
      </c>
      <c r="G1852">
        <f>IF(Table3[[#This Row],[Service_Window]]="Lunch",1,0)</f>
        <v>0</v>
      </c>
    </row>
    <row r="1853" spans="1:7" x14ac:dyDescent="0.2">
      <c r="A1853">
        <v>46016</v>
      </c>
      <c r="B1853" t="s">
        <v>62</v>
      </c>
      <c r="C1853" t="s">
        <v>14</v>
      </c>
      <c r="D1853">
        <v>3</v>
      </c>
      <c r="E1853">
        <v>0</v>
      </c>
      <c r="F1853">
        <v>4</v>
      </c>
      <c r="G1853">
        <f>IF(Table3[[#This Row],[Service_Window]]="Lunch",1,0)</f>
        <v>0</v>
      </c>
    </row>
    <row r="1854" spans="1:7" x14ac:dyDescent="0.2">
      <c r="A1854">
        <v>46016</v>
      </c>
      <c r="B1854" t="s">
        <v>62</v>
      </c>
      <c r="C1854" t="s">
        <v>14</v>
      </c>
      <c r="D1854">
        <v>4</v>
      </c>
      <c r="E1854">
        <v>0</v>
      </c>
      <c r="F1854">
        <v>4</v>
      </c>
      <c r="G1854">
        <f>IF(Table3[[#This Row],[Service_Window]]="Lunch",1,0)</f>
        <v>0</v>
      </c>
    </row>
    <row r="1855" spans="1:7" x14ac:dyDescent="0.2">
      <c r="A1855">
        <v>46016</v>
      </c>
      <c r="B1855" t="s">
        <v>62</v>
      </c>
      <c r="C1855" t="s">
        <v>43</v>
      </c>
      <c r="D1855">
        <v>5</v>
      </c>
      <c r="E1855">
        <v>1</v>
      </c>
      <c r="F1855">
        <v>4</v>
      </c>
      <c r="G1855">
        <f>IF(Table3[[#This Row],[Service_Window]]="Lunch",1,0)</f>
        <v>1</v>
      </c>
    </row>
    <row r="1856" spans="1:7" x14ac:dyDescent="0.2">
      <c r="A1856">
        <v>46016</v>
      </c>
      <c r="B1856" t="s">
        <v>62</v>
      </c>
      <c r="C1856" t="s">
        <v>43</v>
      </c>
      <c r="D1856">
        <v>5</v>
      </c>
      <c r="E1856">
        <v>0</v>
      </c>
      <c r="F1856">
        <v>4</v>
      </c>
      <c r="G1856">
        <f>IF(Table3[[#This Row],[Service_Window]]="Lunch",1,0)</f>
        <v>1</v>
      </c>
    </row>
    <row r="1857" spans="1:7" x14ac:dyDescent="0.2">
      <c r="A1857">
        <v>46016</v>
      </c>
      <c r="B1857" t="s">
        <v>62</v>
      </c>
      <c r="C1857" t="s">
        <v>43</v>
      </c>
      <c r="D1857">
        <v>3</v>
      </c>
      <c r="E1857">
        <v>1</v>
      </c>
      <c r="F1857">
        <v>4</v>
      </c>
      <c r="G1857">
        <f>IF(Table3[[#This Row],[Service_Window]]="Lunch",1,0)</f>
        <v>1</v>
      </c>
    </row>
    <row r="1858" spans="1:7" x14ac:dyDescent="0.2">
      <c r="A1858">
        <v>46016</v>
      </c>
      <c r="B1858" t="s">
        <v>62</v>
      </c>
      <c r="C1858" t="s">
        <v>43</v>
      </c>
      <c r="D1858">
        <v>3</v>
      </c>
      <c r="E1858">
        <v>1</v>
      </c>
      <c r="F1858">
        <v>4</v>
      </c>
      <c r="G1858">
        <f>IF(Table3[[#This Row],[Service_Window]]="Lunch",1,0)</f>
        <v>1</v>
      </c>
    </row>
    <row r="1859" spans="1:7" x14ac:dyDescent="0.2">
      <c r="A1859">
        <v>46016</v>
      </c>
      <c r="B1859" t="s">
        <v>62</v>
      </c>
      <c r="C1859" t="s">
        <v>43</v>
      </c>
      <c r="D1859">
        <v>2</v>
      </c>
      <c r="E1859">
        <v>0</v>
      </c>
      <c r="F1859">
        <v>4</v>
      </c>
      <c r="G1859">
        <f>IF(Table3[[#This Row],[Service_Window]]="Lunch",1,0)</f>
        <v>1</v>
      </c>
    </row>
    <row r="1860" spans="1:7" x14ac:dyDescent="0.2">
      <c r="A1860">
        <v>46016</v>
      </c>
      <c r="B1860" t="s">
        <v>62</v>
      </c>
      <c r="C1860" t="s">
        <v>43</v>
      </c>
      <c r="D1860">
        <v>2</v>
      </c>
      <c r="E1860">
        <v>0</v>
      </c>
      <c r="F1860">
        <v>4</v>
      </c>
      <c r="G1860">
        <f>IF(Table3[[#This Row],[Service_Window]]="Lunch",1,0)</f>
        <v>1</v>
      </c>
    </row>
    <row r="1861" spans="1:7" x14ac:dyDescent="0.2">
      <c r="A1861">
        <v>46016</v>
      </c>
      <c r="B1861" t="s">
        <v>62</v>
      </c>
      <c r="C1861" t="s">
        <v>43</v>
      </c>
      <c r="D1861">
        <v>4</v>
      </c>
      <c r="E1861">
        <v>1</v>
      </c>
      <c r="F1861">
        <v>4</v>
      </c>
      <c r="G1861">
        <f>IF(Table3[[#This Row],[Service_Window]]="Lunch",1,0)</f>
        <v>1</v>
      </c>
    </row>
    <row r="1862" spans="1:7" x14ac:dyDescent="0.2">
      <c r="A1862">
        <v>46016</v>
      </c>
      <c r="B1862" t="s">
        <v>62</v>
      </c>
      <c r="C1862" t="s">
        <v>43</v>
      </c>
      <c r="D1862">
        <v>4</v>
      </c>
      <c r="E1862">
        <v>0</v>
      </c>
      <c r="F1862">
        <v>4</v>
      </c>
      <c r="G1862">
        <f>IF(Table3[[#This Row],[Service_Window]]="Lunch",1,0)</f>
        <v>1</v>
      </c>
    </row>
    <row r="1863" spans="1:7" x14ac:dyDescent="0.2">
      <c r="A1863">
        <v>46016</v>
      </c>
      <c r="B1863" t="s">
        <v>62</v>
      </c>
      <c r="C1863" t="s">
        <v>43</v>
      </c>
      <c r="D1863">
        <v>2</v>
      </c>
      <c r="E1863">
        <v>0</v>
      </c>
      <c r="F1863">
        <v>4</v>
      </c>
      <c r="G1863">
        <f>IF(Table3[[#This Row],[Service_Window]]="Lunch",1,0)</f>
        <v>1</v>
      </c>
    </row>
    <row r="1864" spans="1:7" x14ac:dyDescent="0.2">
      <c r="A1864">
        <v>46017</v>
      </c>
      <c r="B1864" t="s">
        <v>96</v>
      </c>
      <c r="C1864" t="s">
        <v>14</v>
      </c>
      <c r="D1864">
        <v>2</v>
      </c>
      <c r="E1864">
        <v>0</v>
      </c>
      <c r="F1864">
        <v>5</v>
      </c>
      <c r="G1864">
        <f>IF(Table3[[#This Row],[Service_Window]]="Lunch",1,0)</f>
        <v>0</v>
      </c>
    </row>
    <row r="1865" spans="1:7" x14ac:dyDescent="0.2">
      <c r="A1865">
        <v>46017</v>
      </c>
      <c r="B1865" t="s">
        <v>96</v>
      </c>
      <c r="C1865" t="s">
        <v>14</v>
      </c>
      <c r="D1865">
        <v>3</v>
      </c>
      <c r="E1865">
        <v>0</v>
      </c>
      <c r="F1865">
        <v>5</v>
      </c>
      <c r="G1865">
        <f>IF(Table3[[#This Row],[Service_Window]]="Lunch",1,0)</f>
        <v>0</v>
      </c>
    </row>
    <row r="1866" spans="1:7" x14ac:dyDescent="0.2">
      <c r="A1866">
        <v>46017</v>
      </c>
      <c r="B1866" t="s">
        <v>96</v>
      </c>
      <c r="C1866" t="s">
        <v>14</v>
      </c>
      <c r="D1866">
        <v>2</v>
      </c>
      <c r="E1866">
        <v>0</v>
      </c>
      <c r="F1866">
        <v>5</v>
      </c>
      <c r="G1866">
        <f>IF(Table3[[#This Row],[Service_Window]]="Lunch",1,0)</f>
        <v>0</v>
      </c>
    </row>
    <row r="1867" spans="1:7" x14ac:dyDescent="0.2">
      <c r="A1867">
        <v>46017</v>
      </c>
      <c r="B1867" t="s">
        <v>96</v>
      </c>
      <c r="C1867" t="s">
        <v>14</v>
      </c>
      <c r="D1867">
        <v>4</v>
      </c>
      <c r="E1867">
        <v>0</v>
      </c>
      <c r="F1867">
        <v>5</v>
      </c>
      <c r="G1867">
        <f>IF(Table3[[#This Row],[Service_Window]]="Lunch",1,0)</f>
        <v>0</v>
      </c>
    </row>
    <row r="1868" spans="1:7" x14ac:dyDescent="0.2">
      <c r="A1868">
        <v>46017</v>
      </c>
      <c r="B1868" t="s">
        <v>96</v>
      </c>
      <c r="C1868" t="s">
        <v>14</v>
      </c>
      <c r="D1868">
        <v>1</v>
      </c>
      <c r="E1868">
        <v>0</v>
      </c>
      <c r="F1868">
        <v>5</v>
      </c>
      <c r="G1868">
        <f>IF(Table3[[#This Row],[Service_Window]]="Lunch",1,0)</f>
        <v>0</v>
      </c>
    </row>
    <row r="1869" spans="1:7" x14ac:dyDescent="0.2">
      <c r="A1869">
        <v>46017</v>
      </c>
      <c r="B1869" t="s">
        <v>96</v>
      </c>
      <c r="C1869" t="s">
        <v>14</v>
      </c>
      <c r="D1869">
        <v>4</v>
      </c>
      <c r="E1869">
        <v>0</v>
      </c>
      <c r="F1869">
        <v>5</v>
      </c>
      <c r="G1869">
        <f>IF(Table3[[#This Row],[Service_Window]]="Lunch",1,0)</f>
        <v>0</v>
      </c>
    </row>
    <row r="1870" spans="1:7" x14ac:dyDescent="0.2">
      <c r="A1870">
        <v>46017</v>
      </c>
      <c r="B1870" t="s">
        <v>96</v>
      </c>
      <c r="C1870" t="s">
        <v>14</v>
      </c>
      <c r="D1870">
        <v>3</v>
      </c>
      <c r="E1870">
        <v>0</v>
      </c>
      <c r="F1870">
        <v>5</v>
      </c>
      <c r="G1870">
        <f>IF(Table3[[#This Row],[Service_Window]]="Lunch",1,0)</f>
        <v>0</v>
      </c>
    </row>
    <row r="1871" spans="1:7" x14ac:dyDescent="0.2">
      <c r="A1871">
        <v>46017</v>
      </c>
      <c r="B1871" t="s">
        <v>96</v>
      </c>
      <c r="C1871" t="s">
        <v>14</v>
      </c>
      <c r="D1871">
        <v>3</v>
      </c>
      <c r="E1871">
        <v>0</v>
      </c>
      <c r="F1871">
        <v>5</v>
      </c>
      <c r="G1871">
        <f>IF(Table3[[#This Row],[Service_Window]]="Lunch",1,0)</f>
        <v>0</v>
      </c>
    </row>
    <row r="1872" spans="1:7" x14ac:dyDescent="0.2">
      <c r="A1872">
        <v>46017</v>
      </c>
      <c r="B1872" t="s">
        <v>96</v>
      </c>
      <c r="C1872" t="s">
        <v>14</v>
      </c>
      <c r="D1872">
        <v>3</v>
      </c>
      <c r="E1872">
        <v>0</v>
      </c>
      <c r="F1872">
        <v>5</v>
      </c>
      <c r="G1872">
        <f>IF(Table3[[#This Row],[Service_Window]]="Lunch",1,0)</f>
        <v>0</v>
      </c>
    </row>
    <row r="1873" spans="1:7" x14ac:dyDescent="0.2">
      <c r="A1873">
        <v>46017</v>
      </c>
      <c r="B1873" t="s">
        <v>96</v>
      </c>
      <c r="C1873" t="s">
        <v>14</v>
      </c>
      <c r="D1873">
        <v>1</v>
      </c>
      <c r="E1873">
        <v>0</v>
      </c>
      <c r="F1873">
        <v>5</v>
      </c>
      <c r="G1873">
        <f>IF(Table3[[#This Row],[Service_Window]]="Lunch",1,0)</f>
        <v>0</v>
      </c>
    </row>
    <row r="1874" spans="1:7" x14ac:dyDescent="0.2">
      <c r="A1874">
        <v>46017</v>
      </c>
      <c r="B1874" t="s">
        <v>96</v>
      </c>
      <c r="C1874" t="s">
        <v>14</v>
      </c>
      <c r="D1874">
        <v>4</v>
      </c>
      <c r="E1874">
        <v>0</v>
      </c>
      <c r="F1874">
        <v>5</v>
      </c>
      <c r="G1874">
        <f>IF(Table3[[#This Row],[Service_Window]]="Lunch",1,0)</f>
        <v>0</v>
      </c>
    </row>
    <row r="1875" spans="1:7" x14ac:dyDescent="0.2">
      <c r="A1875">
        <v>46017</v>
      </c>
      <c r="B1875" t="s">
        <v>96</v>
      </c>
      <c r="C1875" t="s">
        <v>43</v>
      </c>
      <c r="D1875">
        <v>3</v>
      </c>
      <c r="E1875">
        <v>1</v>
      </c>
      <c r="F1875">
        <v>5</v>
      </c>
      <c r="G1875">
        <f>IF(Table3[[#This Row],[Service_Window]]="Lunch",1,0)</f>
        <v>1</v>
      </c>
    </row>
    <row r="1876" spans="1:7" x14ac:dyDescent="0.2">
      <c r="A1876">
        <v>46017</v>
      </c>
      <c r="B1876" t="s">
        <v>96</v>
      </c>
      <c r="C1876" t="s">
        <v>43</v>
      </c>
      <c r="D1876">
        <v>2</v>
      </c>
      <c r="E1876">
        <v>1</v>
      </c>
      <c r="F1876">
        <v>5</v>
      </c>
      <c r="G1876">
        <f>IF(Table3[[#This Row],[Service_Window]]="Lunch",1,0)</f>
        <v>1</v>
      </c>
    </row>
    <row r="1877" spans="1:7" x14ac:dyDescent="0.2">
      <c r="A1877">
        <v>46017</v>
      </c>
      <c r="B1877" t="s">
        <v>96</v>
      </c>
      <c r="C1877" t="s">
        <v>43</v>
      </c>
      <c r="D1877">
        <v>3</v>
      </c>
      <c r="E1877">
        <v>1</v>
      </c>
      <c r="F1877">
        <v>5</v>
      </c>
      <c r="G1877">
        <f>IF(Table3[[#This Row],[Service_Window]]="Lunch",1,0)</f>
        <v>1</v>
      </c>
    </row>
    <row r="1878" spans="1:7" x14ac:dyDescent="0.2">
      <c r="A1878">
        <v>46017</v>
      </c>
      <c r="B1878" t="s">
        <v>96</v>
      </c>
      <c r="C1878" t="s">
        <v>43</v>
      </c>
      <c r="D1878">
        <v>4</v>
      </c>
      <c r="E1878">
        <v>1</v>
      </c>
      <c r="F1878">
        <v>5</v>
      </c>
      <c r="G1878">
        <f>IF(Table3[[#This Row],[Service_Window]]="Lunch",1,0)</f>
        <v>1</v>
      </c>
    </row>
    <row r="1879" spans="1:7" x14ac:dyDescent="0.2">
      <c r="A1879">
        <v>46017</v>
      </c>
      <c r="B1879" t="s">
        <v>96</v>
      </c>
      <c r="C1879" t="s">
        <v>43</v>
      </c>
      <c r="D1879">
        <v>2</v>
      </c>
      <c r="E1879">
        <v>1</v>
      </c>
      <c r="F1879">
        <v>5</v>
      </c>
      <c r="G1879">
        <f>IF(Table3[[#This Row],[Service_Window]]="Lunch",1,0)</f>
        <v>1</v>
      </c>
    </row>
    <row r="1880" spans="1:7" x14ac:dyDescent="0.2">
      <c r="A1880">
        <v>46017</v>
      </c>
      <c r="B1880" t="s">
        <v>96</v>
      </c>
      <c r="C1880" t="s">
        <v>43</v>
      </c>
      <c r="D1880">
        <v>4</v>
      </c>
      <c r="E1880">
        <v>1</v>
      </c>
      <c r="F1880">
        <v>5</v>
      </c>
      <c r="G1880">
        <f>IF(Table3[[#This Row],[Service_Window]]="Lunch",1,0)</f>
        <v>1</v>
      </c>
    </row>
    <row r="1881" spans="1:7" x14ac:dyDescent="0.2">
      <c r="A1881">
        <v>46018</v>
      </c>
      <c r="B1881" t="s">
        <v>127</v>
      </c>
      <c r="C1881" t="s">
        <v>14</v>
      </c>
      <c r="D1881">
        <v>5</v>
      </c>
      <c r="E1881">
        <v>0</v>
      </c>
      <c r="F1881">
        <v>6</v>
      </c>
      <c r="G1881">
        <f>IF(Table3[[#This Row],[Service_Window]]="Lunch",1,0)</f>
        <v>0</v>
      </c>
    </row>
    <row r="1882" spans="1:7" x14ac:dyDescent="0.2">
      <c r="A1882">
        <v>46018</v>
      </c>
      <c r="B1882" t="s">
        <v>127</v>
      </c>
      <c r="C1882" t="s">
        <v>14</v>
      </c>
      <c r="D1882">
        <v>1</v>
      </c>
      <c r="E1882">
        <v>0</v>
      </c>
      <c r="F1882">
        <v>6</v>
      </c>
      <c r="G1882">
        <f>IF(Table3[[#This Row],[Service_Window]]="Lunch",1,0)</f>
        <v>0</v>
      </c>
    </row>
    <row r="1883" spans="1:7" x14ac:dyDescent="0.2">
      <c r="A1883">
        <v>46018</v>
      </c>
      <c r="B1883" t="s">
        <v>127</v>
      </c>
      <c r="C1883" t="s">
        <v>14</v>
      </c>
      <c r="D1883">
        <v>3</v>
      </c>
      <c r="E1883">
        <v>0</v>
      </c>
      <c r="F1883">
        <v>6</v>
      </c>
      <c r="G1883">
        <f>IF(Table3[[#This Row],[Service_Window]]="Lunch",1,0)</f>
        <v>0</v>
      </c>
    </row>
    <row r="1884" spans="1:7" x14ac:dyDescent="0.2">
      <c r="A1884">
        <v>46018</v>
      </c>
      <c r="B1884" t="s">
        <v>127</v>
      </c>
      <c r="C1884" t="s">
        <v>14</v>
      </c>
      <c r="D1884">
        <v>3</v>
      </c>
      <c r="E1884">
        <v>0</v>
      </c>
      <c r="F1884">
        <v>6</v>
      </c>
      <c r="G1884">
        <f>IF(Table3[[#This Row],[Service_Window]]="Lunch",1,0)</f>
        <v>0</v>
      </c>
    </row>
    <row r="1885" spans="1:7" x14ac:dyDescent="0.2">
      <c r="A1885">
        <v>46018</v>
      </c>
      <c r="B1885" t="s">
        <v>127</v>
      </c>
      <c r="C1885" t="s">
        <v>14</v>
      </c>
      <c r="D1885">
        <v>5</v>
      </c>
      <c r="E1885">
        <v>0</v>
      </c>
      <c r="F1885">
        <v>6</v>
      </c>
      <c r="G1885">
        <f>IF(Table3[[#This Row],[Service_Window]]="Lunch",1,0)</f>
        <v>0</v>
      </c>
    </row>
    <row r="1886" spans="1:7" x14ac:dyDescent="0.2">
      <c r="A1886">
        <v>46018</v>
      </c>
      <c r="B1886" t="s">
        <v>127</v>
      </c>
      <c r="C1886" t="s">
        <v>14</v>
      </c>
      <c r="D1886">
        <v>3</v>
      </c>
      <c r="E1886">
        <v>0</v>
      </c>
      <c r="F1886">
        <v>6</v>
      </c>
      <c r="G1886">
        <f>IF(Table3[[#This Row],[Service_Window]]="Lunch",1,0)</f>
        <v>0</v>
      </c>
    </row>
    <row r="1887" spans="1:7" x14ac:dyDescent="0.2">
      <c r="A1887">
        <v>46018</v>
      </c>
      <c r="B1887" t="s">
        <v>127</v>
      </c>
      <c r="C1887" t="s">
        <v>14</v>
      </c>
      <c r="D1887">
        <v>3</v>
      </c>
      <c r="E1887">
        <v>0</v>
      </c>
      <c r="F1887">
        <v>6</v>
      </c>
      <c r="G1887">
        <f>IF(Table3[[#This Row],[Service_Window]]="Lunch",1,0)</f>
        <v>0</v>
      </c>
    </row>
    <row r="1888" spans="1:7" x14ac:dyDescent="0.2">
      <c r="A1888">
        <v>46018</v>
      </c>
      <c r="B1888" t="s">
        <v>127</v>
      </c>
      <c r="C1888" t="s">
        <v>14</v>
      </c>
      <c r="D1888">
        <v>3</v>
      </c>
      <c r="E1888">
        <v>0</v>
      </c>
      <c r="F1888">
        <v>6</v>
      </c>
      <c r="G1888">
        <f>IF(Table3[[#This Row],[Service_Window]]="Lunch",1,0)</f>
        <v>0</v>
      </c>
    </row>
    <row r="1889" spans="1:7" x14ac:dyDescent="0.2">
      <c r="A1889">
        <v>46018</v>
      </c>
      <c r="B1889" t="s">
        <v>127</v>
      </c>
      <c r="C1889" t="s">
        <v>14</v>
      </c>
      <c r="D1889">
        <v>2</v>
      </c>
      <c r="E1889">
        <v>0</v>
      </c>
      <c r="F1889">
        <v>6</v>
      </c>
      <c r="G1889">
        <f>IF(Table3[[#This Row],[Service_Window]]="Lunch",1,0)</f>
        <v>0</v>
      </c>
    </row>
    <row r="1890" spans="1:7" x14ac:dyDescent="0.2">
      <c r="A1890">
        <v>46018</v>
      </c>
      <c r="B1890" t="s">
        <v>127</v>
      </c>
      <c r="C1890" t="s">
        <v>14</v>
      </c>
      <c r="D1890">
        <v>3</v>
      </c>
      <c r="E1890">
        <v>0</v>
      </c>
      <c r="F1890">
        <v>6</v>
      </c>
      <c r="G1890">
        <f>IF(Table3[[#This Row],[Service_Window]]="Lunch",1,0)</f>
        <v>0</v>
      </c>
    </row>
    <row r="1891" spans="1:7" x14ac:dyDescent="0.2">
      <c r="A1891">
        <v>46018</v>
      </c>
      <c r="B1891" t="s">
        <v>127</v>
      </c>
      <c r="C1891" t="s">
        <v>14</v>
      </c>
      <c r="D1891">
        <v>4</v>
      </c>
      <c r="E1891">
        <v>0</v>
      </c>
      <c r="F1891">
        <v>6</v>
      </c>
      <c r="G1891">
        <f>IF(Table3[[#This Row],[Service_Window]]="Lunch",1,0)</f>
        <v>0</v>
      </c>
    </row>
    <row r="1892" spans="1:7" x14ac:dyDescent="0.2">
      <c r="A1892">
        <v>46018</v>
      </c>
      <c r="B1892" t="s">
        <v>127</v>
      </c>
      <c r="C1892" t="s">
        <v>14</v>
      </c>
      <c r="D1892">
        <v>1</v>
      </c>
      <c r="E1892">
        <v>0</v>
      </c>
      <c r="F1892">
        <v>6</v>
      </c>
      <c r="G1892">
        <f>IF(Table3[[#This Row],[Service_Window]]="Lunch",1,0)</f>
        <v>0</v>
      </c>
    </row>
    <row r="1893" spans="1:7" x14ac:dyDescent="0.2">
      <c r="A1893">
        <v>46018</v>
      </c>
      <c r="B1893" t="s">
        <v>127</v>
      </c>
      <c r="C1893" t="s">
        <v>14</v>
      </c>
      <c r="D1893">
        <v>4</v>
      </c>
      <c r="E1893">
        <v>0</v>
      </c>
      <c r="F1893">
        <v>6</v>
      </c>
      <c r="G1893">
        <f>IF(Table3[[#This Row],[Service_Window]]="Lunch",1,0)</f>
        <v>0</v>
      </c>
    </row>
    <row r="1894" spans="1:7" x14ac:dyDescent="0.2">
      <c r="A1894">
        <v>46018</v>
      </c>
      <c r="B1894" t="s">
        <v>127</v>
      </c>
      <c r="C1894" t="s">
        <v>14</v>
      </c>
      <c r="D1894">
        <v>3</v>
      </c>
      <c r="E1894">
        <v>0</v>
      </c>
      <c r="F1894">
        <v>6</v>
      </c>
      <c r="G1894">
        <f>IF(Table3[[#This Row],[Service_Window]]="Lunch",1,0)</f>
        <v>0</v>
      </c>
    </row>
    <row r="1895" spans="1:7" x14ac:dyDescent="0.2">
      <c r="A1895">
        <v>46018</v>
      </c>
      <c r="B1895" t="s">
        <v>127</v>
      </c>
      <c r="C1895" t="s">
        <v>14</v>
      </c>
      <c r="D1895">
        <v>1</v>
      </c>
      <c r="E1895">
        <v>0</v>
      </c>
      <c r="F1895">
        <v>6</v>
      </c>
      <c r="G1895">
        <f>IF(Table3[[#This Row],[Service_Window]]="Lunch",1,0)</f>
        <v>0</v>
      </c>
    </row>
    <row r="1896" spans="1:7" x14ac:dyDescent="0.2">
      <c r="A1896">
        <v>46018</v>
      </c>
      <c r="B1896" t="s">
        <v>127</v>
      </c>
      <c r="C1896" t="s">
        <v>14</v>
      </c>
      <c r="D1896">
        <v>4</v>
      </c>
      <c r="E1896">
        <v>0</v>
      </c>
      <c r="F1896">
        <v>6</v>
      </c>
      <c r="G1896">
        <f>IF(Table3[[#This Row],[Service_Window]]="Lunch",1,0)</f>
        <v>0</v>
      </c>
    </row>
    <row r="1897" spans="1:7" x14ac:dyDescent="0.2">
      <c r="A1897">
        <v>46018</v>
      </c>
      <c r="B1897" t="s">
        <v>127</v>
      </c>
      <c r="C1897" t="s">
        <v>14</v>
      </c>
      <c r="D1897">
        <v>6</v>
      </c>
      <c r="E1897">
        <v>0</v>
      </c>
      <c r="F1897">
        <v>6</v>
      </c>
      <c r="G1897">
        <f>IF(Table3[[#This Row],[Service_Window]]="Lunch",1,0)</f>
        <v>0</v>
      </c>
    </row>
    <row r="1898" spans="1:7" x14ac:dyDescent="0.2">
      <c r="A1898">
        <v>46018</v>
      </c>
      <c r="B1898" t="s">
        <v>127</v>
      </c>
      <c r="C1898" t="s">
        <v>14</v>
      </c>
      <c r="D1898">
        <v>5</v>
      </c>
      <c r="E1898">
        <v>0</v>
      </c>
      <c r="F1898">
        <v>6</v>
      </c>
      <c r="G1898">
        <f>IF(Table3[[#This Row],[Service_Window]]="Lunch",1,0)</f>
        <v>0</v>
      </c>
    </row>
    <row r="1899" spans="1:7" x14ac:dyDescent="0.2">
      <c r="A1899">
        <v>46018</v>
      </c>
      <c r="B1899" t="s">
        <v>127</v>
      </c>
      <c r="C1899" t="s">
        <v>14</v>
      </c>
      <c r="D1899">
        <v>3</v>
      </c>
      <c r="E1899">
        <v>0</v>
      </c>
      <c r="F1899">
        <v>6</v>
      </c>
      <c r="G1899">
        <f>IF(Table3[[#This Row],[Service_Window]]="Lunch",1,0)</f>
        <v>0</v>
      </c>
    </row>
    <row r="1900" spans="1:7" x14ac:dyDescent="0.2">
      <c r="A1900">
        <v>46018</v>
      </c>
      <c r="B1900" t="s">
        <v>127</v>
      </c>
      <c r="C1900" t="s">
        <v>14</v>
      </c>
      <c r="D1900">
        <v>6</v>
      </c>
      <c r="E1900">
        <v>0</v>
      </c>
      <c r="F1900">
        <v>6</v>
      </c>
      <c r="G1900">
        <f>IF(Table3[[#This Row],[Service_Window]]="Lunch",1,0)</f>
        <v>0</v>
      </c>
    </row>
    <row r="1901" spans="1:7" x14ac:dyDescent="0.2">
      <c r="A1901">
        <v>46018</v>
      </c>
      <c r="B1901" t="s">
        <v>127</v>
      </c>
      <c r="C1901" t="s">
        <v>14</v>
      </c>
      <c r="D1901">
        <v>2</v>
      </c>
      <c r="E1901">
        <v>0</v>
      </c>
      <c r="F1901">
        <v>6</v>
      </c>
      <c r="G1901">
        <f>IF(Table3[[#This Row],[Service_Window]]="Lunch",1,0)</f>
        <v>0</v>
      </c>
    </row>
    <row r="1902" spans="1:7" x14ac:dyDescent="0.2">
      <c r="A1902">
        <v>46018</v>
      </c>
      <c r="B1902" t="s">
        <v>127</v>
      </c>
      <c r="C1902" t="s">
        <v>14</v>
      </c>
      <c r="D1902">
        <v>3</v>
      </c>
      <c r="E1902">
        <v>0</v>
      </c>
      <c r="F1902">
        <v>6</v>
      </c>
      <c r="G1902">
        <f>IF(Table3[[#This Row],[Service_Window]]="Lunch",1,0)</f>
        <v>0</v>
      </c>
    </row>
    <row r="1903" spans="1:7" x14ac:dyDescent="0.2">
      <c r="A1903">
        <v>46018</v>
      </c>
      <c r="B1903" t="s">
        <v>127</v>
      </c>
      <c r="C1903" t="s">
        <v>14</v>
      </c>
      <c r="D1903">
        <v>6</v>
      </c>
      <c r="E1903">
        <v>0</v>
      </c>
      <c r="F1903">
        <v>6</v>
      </c>
      <c r="G1903">
        <f>IF(Table3[[#This Row],[Service_Window]]="Lunch",1,0)</f>
        <v>0</v>
      </c>
    </row>
    <row r="1904" spans="1:7" x14ac:dyDescent="0.2">
      <c r="A1904">
        <v>46018</v>
      </c>
      <c r="B1904" t="s">
        <v>127</v>
      </c>
      <c r="C1904" t="s">
        <v>14</v>
      </c>
      <c r="D1904">
        <v>6</v>
      </c>
      <c r="E1904">
        <v>0</v>
      </c>
      <c r="F1904">
        <v>6</v>
      </c>
      <c r="G1904">
        <f>IF(Table3[[#This Row],[Service_Window]]="Lunch",1,0)</f>
        <v>0</v>
      </c>
    </row>
    <row r="1905" spans="1:7" x14ac:dyDescent="0.2">
      <c r="A1905">
        <v>46018</v>
      </c>
      <c r="B1905" t="s">
        <v>127</v>
      </c>
      <c r="C1905" t="s">
        <v>14</v>
      </c>
      <c r="D1905">
        <v>4</v>
      </c>
      <c r="E1905">
        <v>0</v>
      </c>
      <c r="F1905">
        <v>6</v>
      </c>
      <c r="G1905">
        <f>IF(Table3[[#This Row],[Service_Window]]="Lunch",1,0)</f>
        <v>0</v>
      </c>
    </row>
    <row r="1906" spans="1:7" x14ac:dyDescent="0.2">
      <c r="A1906">
        <v>46018</v>
      </c>
      <c r="B1906" t="s">
        <v>127</v>
      </c>
      <c r="C1906" t="s">
        <v>14</v>
      </c>
      <c r="D1906">
        <v>5</v>
      </c>
      <c r="E1906">
        <v>0</v>
      </c>
      <c r="F1906">
        <v>6</v>
      </c>
      <c r="G1906">
        <f>IF(Table3[[#This Row],[Service_Window]]="Lunch",1,0)</f>
        <v>0</v>
      </c>
    </row>
    <row r="1907" spans="1:7" x14ac:dyDescent="0.2">
      <c r="A1907">
        <v>46018</v>
      </c>
      <c r="B1907" t="s">
        <v>127</v>
      </c>
      <c r="C1907" t="s">
        <v>14</v>
      </c>
      <c r="D1907">
        <v>6</v>
      </c>
      <c r="E1907">
        <v>0</v>
      </c>
      <c r="F1907">
        <v>6</v>
      </c>
      <c r="G1907">
        <f>IF(Table3[[#This Row],[Service_Window]]="Lunch",1,0)</f>
        <v>0</v>
      </c>
    </row>
    <row r="1908" spans="1:7" x14ac:dyDescent="0.2">
      <c r="A1908">
        <v>46018</v>
      </c>
      <c r="B1908" t="s">
        <v>127</v>
      </c>
      <c r="C1908" t="s">
        <v>14</v>
      </c>
      <c r="D1908">
        <v>1</v>
      </c>
      <c r="E1908">
        <v>0</v>
      </c>
      <c r="F1908">
        <v>6</v>
      </c>
      <c r="G1908">
        <f>IF(Table3[[#This Row],[Service_Window]]="Lunch",1,0)</f>
        <v>0</v>
      </c>
    </row>
    <row r="1909" spans="1:7" x14ac:dyDescent="0.2">
      <c r="A1909">
        <v>46018</v>
      </c>
      <c r="B1909" t="s">
        <v>127</v>
      </c>
      <c r="C1909" t="s">
        <v>43</v>
      </c>
      <c r="D1909">
        <v>2</v>
      </c>
      <c r="E1909">
        <v>0</v>
      </c>
      <c r="F1909">
        <v>6</v>
      </c>
      <c r="G1909">
        <f>IF(Table3[[#This Row],[Service_Window]]="Lunch",1,0)</f>
        <v>1</v>
      </c>
    </row>
    <row r="1910" spans="1:7" x14ac:dyDescent="0.2">
      <c r="A1910">
        <v>46019</v>
      </c>
      <c r="B1910" t="s">
        <v>171</v>
      </c>
      <c r="C1910" t="s">
        <v>14</v>
      </c>
      <c r="D1910">
        <v>5</v>
      </c>
      <c r="E1910">
        <v>0</v>
      </c>
      <c r="F1910">
        <v>7</v>
      </c>
      <c r="G1910">
        <f>IF(Table3[[#This Row],[Service_Window]]="Lunch",1,0)</f>
        <v>0</v>
      </c>
    </row>
    <row r="1911" spans="1:7" x14ac:dyDescent="0.2">
      <c r="A1911">
        <v>46019</v>
      </c>
      <c r="B1911" t="s">
        <v>171</v>
      </c>
      <c r="C1911" t="s">
        <v>14</v>
      </c>
      <c r="D1911">
        <v>5</v>
      </c>
      <c r="E1911">
        <v>0</v>
      </c>
      <c r="F1911">
        <v>7</v>
      </c>
      <c r="G1911">
        <f>IF(Table3[[#This Row],[Service_Window]]="Lunch",1,0)</f>
        <v>0</v>
      </c>
    </row>
    <row r="1912" spans="1:7" x14ac:dyDescent="0.2">
      <c r="A1912">
        <v>46019</v>
      </c>
      <c r="B1912" t="s">
        <v>171</v>
      </c>
      <c r="C1912" t="s">
        <v>14</v>
      </c>
      <c r="D1912">
        <v>2</v>
      </c>
      <c r="E1912">
        <v>0</v>
      </c>
      <c r="F1912">
        <v>7</v>
      </c>
      <c r="G1912">
        <f>IF(Table3[[#This Row],[Service_Window]]="Lunch",1,0)</f>
        <v>0</v>
      </c>
    </row>
    <row r="1913" spans="1:7" x14ac:dyDescent="0.2">
      <c r="A1913">
        <v>46019</v>
      </c>
      <c r="B1913" t="s">
        <v>171</v>
      </c>
      <c r="C1913" t="s">
        <v>14</v>
      </c>
      <c r="D1913">
        <v>3</v>
      </c>
      <c r="E1913">
        <v>0</v>
      </c>
      <c r="F1913">
        <v>7</v>
      </c>
      <c r="G1913">
        <f>IF(Table3[[#This Row],[Service_Window]]="Lunch",1,0)</f>
        <v>0</v>
      </c>
    </row>
    <row r="1914" spans="1:7" x14ac:dyDescent="0.2">
      <c r="A1914">
        <v>46019</v>
      </c>
      <c r="B1914" t="s">
        <v>171</v>
      </c>
      <c r="C1914" t="s">
        <v>14</v>
      </c>
      <c r="D1914">
        <v>1</v>
      </c>
      <c r="E1914">
        <v>0</v>
      </c>
      <c r="F1914">
        <v>7</v>
      </c>
      <c r="G1914">
        <f>IF(Table3[[#This Row],[Service_Window]]="Lunch",1,0)</f>
        <v>0</v>
      </c>
    </row>
    <row r="1915" spans="1:7" x14ac:dyDescent="0.2">
      <c r="A1915">
        <v>46019</v>
      </c>
      <c r="B1915" t="s">
        <v>171</v>
      </c>
      <c r="C1915" t="s">
        <v>14</v>
      </c>
      <c r="D1915">
        <v>6</v>
      </c>
      <c r="E1915">
        <v>0</v>
      </c>
      <c r="F1915">
        <v>7</v>
      </c>
      <c r="G1915">
        <f>IF(Table3[[#This Row],[Service_Window]]="Lunch",1,0)</f>
        <v>0</v>
      </c>
    </row>
    <row r="1916" spans="1:7" x14ac:dyDescent="0.2">
      <c r="A1916">
        <v>46019</v>
      </c>
      <c r="B1916" t="s">
        <v>171</v>
      </c>
      <c r="C1916" t="s">
        <v>14</v>
      </c>
      <c r="D1916">
        <v>3</v>
      </c>
      <c r="E1916">
        <v>0</v>
      </c>
      <c r="F1916">
        <v>7</v>
      </c>
      <c r="G1916">
        <f>IF(Table3[[#This Row],[Service_Window]]="Lunch",1,0)</f>
        <v>0</v>
      </c>
    </row>
    <row r="1917" spans="1:7" x14ac:dyDescent="0.2">
      <c r="A1917">
        <v>46019</v>
      </c>
      <c r="B1917" t="s">
        <v>171</v>
      </c>
      <c r="C1917" t="s">
        <v>14</v>
      </c>
      <c r="D1917">
        <v>2</v>
      </c>
      <c r="E1917">
        <v>0</v>
      </c>
      <c r="F1917">
        <v>7</v>
      </c>
      <c r="G1917">
        <f>IF(Table3[[#This Row],[Service_Window]]="Lunch",1,0)</f>
        <v>0</v>
      </c>
    </row>
    <row r="1918" spans="1:7" x14ac:dyDescent="0.2">
      <c r="A1918">
        <v>46019</v>
      </c>
      <c r="B1918" t="s">
        <v>171</v>
      </c>
      <c r="C1918" t="s">
        <v>14</v>
      </c>
      <c r="D1918">
        <v>4</v>
      </c>
      <c r="E1918">
        <v>0</v>
      </c>
      <c r="F1918">
        <v>7</v>
      </c>
      <c r="G1918">
        <f>IF(Table3[[#This Row],[Service_Window]]="Lunch",1,0)</f>
        <v>0</v>
      </c>
    </row>
    <row r="1919" spans="1:7" x14ac:dyDescent="0.2">
      <c r="A1919">
        <v>46019</v>
      </c>
      <c r="B1919" t="s">
        <v>171</v>
      </c>
      <c r="C1919" t="s">
        <v>14</v>
      </c>
      <c r="D1919">
        <v>3</v>
      </c>
      <c r="E1919">
        <v>0</v>
      </c>
      <c r="F1919">
        <v>7</v>
      </c>
      <c r="G1919">
        <f>IF(Table3[[#This Row],[Service_Window]]="Lunch",1,0)</f>
        <v>0</v>
      </c>
    </row>
    <row r="1920" spans="1:7" x14ac:dyDescent="0.2">
      <c r="A1920">
        <v>46019</v>
      </c>
      <c r="B1920" t="s">
        <v>171</v>
      </c>
      <c r="C1920" t="s">
        <v>14</v>
      </c>
      <c r="D1920">
        <v>4</v>
      </c>
      <c r="E1920">
        <v>0</v>
      </c>
      <c r="F1920">
        <v>7</v>
      </c>
      <c r="G1920">
        <f>IF(Table3[[#This Row],[Service_Window]]="Lunch",1,0)</f>
        <v>0</v>
      </c>
    </row>
    <row r="1921" spans="1:7" x14ac:dyDescent="0.2">
      <c r="A1921">
        <v>46019</v>
      </c>
      <c r="B1921" t="s">
        <v>171</v>
      </c>
      <c r="C1921" t="s">
        <v>14</v>
      </c>
      <c r="D1921">
        <v>4</v>
      </c>
      <c r="E1921">
        <v>0</v>
      </c>
      <c r="F1921">
        <v>7</v>
      </c>
      <c r="G1921">
        <f>IF(Table3[[#This Row],[Service_Window]]="Lunch",1,0)</f>
        <v>0</v>
      </c>
    </row>
    <row r="1922" spans="1:7" x14ac:dyDescent="0.2">
      <c r="A1922">
        <v>46019</v>
      </c>
      <c r="B1922" t="s">
        <v>171</v>
      </c>
      <c r="C1922" t="s">
        <v>14</v>
      </c>
      <c r="D1922">
        <v>1</v>
      </c>
      <c r="E1922">
        <v>0</v>
      </c>
      <c r="F1922">
        <v>7</v>
      </c>
      <c r="G1922">
        <f>IF(Table3[[#This Row],[Service_Window]]="Lunch",1,0)</f>
        <v>0</v>
      </c>
    </row>
    <row r="1923" spans="1:7" x14ac:dyDescent="0.2">
      <c r="A1923">
        <v>46019</v>
      </c>
      <c r="B1923" t="s">
        <v>171</v>
      </c>
      <c r="C1923" t="s">
        <v>14</v>
      </c>
      <c r="D1923">
        <v>1</v>
      </c>
      <c r="E1923">
        <v>0</v>
      </c>
      <c r="F1923">
        <v>7</v>
      </c>
      <c r="G1923">
        <f>IF(Table3[[#This Row],[Service_Window]]="Lunch",1,0)</f>
        <v>0</v>
      </c>
    </row>
    <row r="1924" spans="1:7" x14ac:dyDescent="0.2">
      <c r="A1924">
        <v>46019</v>
      </c>
      <c r="B1924" t="s">
        <v>171</v>
      </c>
      <c r="C1924" t="s">
        <v>14</v>
      </c>
      <c r="D1924">
        <v>3</v>
      </c>
      <c r="E1924">
        <v>0</v>
      </c>
      <c r="F1924">
        <v>7</v>
      </c>
      <c r="G1924">
        <f>IF(Table3[[#This Row],[Service_Window]]="Lunch",1,0)</f>
        <v>0</v>
      </c>
    </row>
    <row r="1925" spans="1:7" x14ac:dyDescent="0.2">
      <c r="A1925">
        <v>46019</v>
      </c>
      <c r="B1925" t="s">
        <v>171</v>
      </c>
      <c r="C1925" t="s">
        <v>14</v>
      </c>
      <c r="D1925">
        <v>3</v>
      </c>
      <c r="E1925">
        <v>0</v>
      </c>
      <c r="F1925">
        <v>7</v>
      </c>
      <c r="G1925">
        <f>IF(Table3[[#This Row],[Service_Window]]="Lunch",1,0)</f>
        <v>0</v>
      </c>
    </row>
    <row r="1926" spans="1:7" x14ac:dyDescent="0.2">
      <c r="A1926">
        <v>46019</v>
      </c>
      <c r="B1926" t="s">
        <v>171</v>
      </c>
      <c r="C1926" t="s">
        <v>14</v>
      </c>
      <c r="D1926">
        <v>1</v>
      </c>
      <c r="E1926">
        <v>0</v>
      </c>
      <c r="F1926">
        <v>7</v>
      </c>
      <c r="G1926">
        <f>IF(Table3[[#This Row],[Service_Window]]="Lunch",1,0)</f>
        <v>0</v>
      </c>
    </row>
    <row r="1927" spans="1:7" x14ac:dyDescent="0.2">
      <c r="A1927">
        <v>46019</v>
      </c>
      <c r="B1927" t="s">
        <v>171</v>
      </c>
      <c r="C1927" t="s">
        <v>14</v>
      </c>
      <c r="D1927">
        <v>3</v>
      </c>
      <c r="E1927">
        <v>0</v>
      </c>
      <c r="F1927">
        <v>7</v>
      </c>
      <c r="G1927">
        <f>IF(Table3[[#This Row],[Service_Window]]="Lunch",1,0)</f>
        <v>0</v>
      </c>
    </row>
    <row r="1928" spans="1:7" x14ac:dyDescent="0.2">
      <c r="A1928">
        <v>46019</v>
      </c>
      <c r="B1928" t="s">
        <v>171</v>
      </c>
      <c r="C1928" t="s">
        <v>14</v>
      </c>
      <c r="D1928">
        <v>3</v>
      </c>
      <c r="E1928">
        <v>0</v>
      </c>
      <c r="F1928">
        <v>7</v>
      </c>
      <c r="G1928">
        <f>IF(Table3[[#This Row],[Service_Window]]="Lunch",1,0)</f>
        <v>0</v>
      </c>
    </row>
    <row r="1929" spans="1:7" x14ac:dyDescent="0.2">
      <c r="A1929">
        <v>46019</v>
      </c>
      <c r="B1929" t="s">
        <v>171</v>
      </c>
      <c r="C1929" t="s">
        <v>14</v>
      </c>
      <c r="D1929">
        <v>4</v>
      </c>
      <c r="E1929">
        <v>0</v>
      </c>
      <c r="F1929">
        <v>7</v>
      </c>
      <c r="G1929">
        <f>IF(Table3[[#This Row],[Service_Window]]="Lunch",1,0)</f>
        <v>0</v>
      </c>
    </row>
    <row r="1930" spans="1:7" x14ac:dyDescent="0.2">
      <c r="A1930">
        <v>46019</v>
      </c>
      <c r="B1930" t="s">
        <v>171</v>
      </c>
      <c r="C1930" t="s">
        <v>14</v>
      </c>
      <c r="D1930">
        <v>3</v>
      </c>
      <c r="E1930">
        <v>0</v>
      </c>
      <c r="F1930">
        <v>7</v>
      </c>
      <c r="G1930">
        <f>IF(Table3[[#This Row],[Service_Window]]="Lunch",1,0)</f>
        <v>0</v>
      </c>
    </row>
    <row r="1931" spans="1:7" x14ac:dyDescent="0.2">
      <c r="A1931">
        <v>46019</v>
      </c>
      <c r="B1931" t="s">
        <v>171</v>
      </c>
      <c r="C1931" t="s">
        <v>14</v>
      </c>
      <c r="D1931">
        <v>2</v>
      </c>
      <c r="E1931">
        <v>0</v>
      </c>
      <c r="F1931">
        <v>7</v>
      </c>
      <c r="G1931">
        <f>IF(Table3[[#This Row],[Service_Window]]="Lunch",1,0)</f>
        <v>0</v>
      </c>
    </row>
    <row r="1932" spans="1:7" x14ac:dyDescent="0.2">
      <c r="A1932">
        <v>46019</v>
      </c>
      <c r="B1932" t="s">
        <v>171</v>
      </c>
      <c r="C1932" t="s">
        <v>14</v>
      </c>
      <c r="D1932">
        <v>3</v>
      </c>
      <c r="E1932">
        <v>0</v>
      </c>
      <c r="F1932">
        <v>7</v>
      </c>
      <c r="G1932">
        <f>IF(Table3[[#This Row],[Service_Window]]="Lunch",1,0)</f>
        <v>0</v>
      </c>
    </row>
    <row r="1933" spans="1:7" x14ac:dyDescent="0.2">
      <c r="A1933">
        <v>46019</v>
      </c>
      <c r="B1933" t="s">
        <v>171</v>
      </c>
      <c r="C1933" t="s">
        <v>14</v>
      </c>
      <c r="D1933">
        <v>3</v>
      </c>
      <c r="E1933">
        <v>0</v>
      </c>
      <c r="F1933">
        <v>7</v>
      </c>
      <c r="G1933">
        <f>IF(Table3[[#This Row],[Service_Window]]="Lunch",1,0)</f>
        <v>0</v>
      </c>
    </row>
    <row r="1934" spans="1:7" x14ac:dyDescent="0.2">
      <c r="A1934">
        <v>46019</v>
      </c>
      <c r="B1934" t="s">
        <v>171</v>
      </c>
      <c r="C1934" t="s">
        <v>14</v>
      </c>
      <c r="D1934">
        <v>1</v>
      </c>
      <c r="E1934">
        <v>0</v>
      </c>
      <c r="F1934">
        <v>7</v>
      </c>
      <c r="G1934">
        <f>IF(Table3[[#This Row],[Service_Window]]="Lunch",1,0)</f>
        <v>0</v>
      </c>
    </row>
    <row r="1935" spans="1:7" x14ac:dyDescent="0.2">
      <c r="A1935">
        <v>46019</v>
      </c>
      <c r="B1935" t="s">
        <v>171</v>
      </c>
      <c r="C1935" t="s">
        <v>14</v>
      </c>
      <c r="D1935">
        <v>4</v>
      </c>
      <c r="E1935">
        <v>0</v>
      </c>
      <c r="F1935">
        <v>7</v>
      </c>
      <c r="G1935">
        <f>IF(Table3[[#This Row],[Service_Window]]="Lunch",1,0)</f>
        <v>0</v>
      </c>
    </row>
    <row r="1936" spans="1:7" x14ac:dyDescent="0.2">
      <c r="A1936">
        <v>46019</v>
      </c>
      <c r="B1936" t="s">
        <v>171</v>
      </c>
      <c r="C1936" t="s">
        <v>14</v>
      </c>
      <c r="D1936">
        <v>2</v>
      </c>
      <c r="E1936">
        <v>0</v>
      </c>
      <c r="F1936">
        <v>7</v>
      </c>
      <c r="G1936">
        <f>IF(Table3[[#This Row],[Service_Window]]="Lunch",1,0)</f>
        <v>0</v>
      </c>
    </row>
    <row r="1937" spans="1:7" x14ac:dyDescent="0.2">
      <c r="A1937">
        <v>46019</v>
      </c>
      <c r="B1937" t="s">
        <v>171</v>
      </c>
      <c r="C1937" t="s">
        <v>43</v>
      </c>
      <c r="D1937">
        <v>2</v>
      </c>
      <c r="E1937">
        <v>0</v>
      </c>
      <c r="F1937">
        <v>7</v>
      </c>
      <c r="G1937">
        <f>IF(Table3[[#This Row],[Service_Window]]="Lunch",1,0)</f>
        <v>1</v>
      </c>
    </row>
    <row r="1938" spans="1:7" x14ac:dyDescent="0.2">
      <c r="A1938">
        <v>46019</v>
      </c>
      <c r="B1938" t="s">
        <v>171</v>
      </c>
      <c r="C1938" t="s">
        <v>43</v>
      </c>
      <c r="D1938">
        <v>2</v>
      </c>
      <c r="E1938">
        <v>0</v>
      </c>
      <c r="F1938">
        <v>7</v>
      </c>
      <c r="G1938">
        <f>IF(Table3[[#This Row],[Service_Window]]="Lunch",1,0)</f>
        <v>1</v>
      </c>
    </row>
    <row r="1939" spans="1:7" x14ac:dyDescent="0.2">
      <c r="A1939">
        <v>46019</v>
      </c>
      <c r="B1939" t="s">
        <v>171</v>
      </c>
      <c r="C1939" t="s">
        <v>43</v>
      </c>
      <c r="D1939">
        <v>2</v>
      </c>
      <c r="E1939">
        <v>0</v>
      </c>
      <c r="F1939">
        <v>7</v>
      </c>
      <c r="G1939">
        <f>IF(Table3[[#This Row],[Service_Window]]="Lunch",1,0)</f>
        <v>1</v>
      </c>
    </row>
    <row r="1940" spans="1:7" x14ac:dyDescent="0.2">
      <c r="A1940">
        <v>46019</v>
      </c>
      <c r="B1940" t="s">
        <v>171</v>
      </c>
      <c r="C1940" t="s">
        <v>43</v>
      </c>
      <c r="D1940">
        <v>4</v>
      </c>
      <c r="E1940">
        <v>0</v>
      </c>
      <c r="F1940">
        <v>7</v>
      </c>
      <c r="G1940">
        <f>IF(Table3[[#This Row],[Service_Window]]="Lunch",1,0)</f>
        <v>1</v>
      </c>
    </row>
    <row r="1941" spans="1:7" x14ac:dyDescent="0.2">
      <c r="A1941">
        <v>46020</v>
      </c>
      <c r="B1941" t="s">
        <v>213</v>
      </c>
      <c r="C1941" t="s">
        <v>14</v>
      </c>
      <c r="D1941">
        <v>4</v>
      </c>
      <c r="E1941">
        <v>0</v>
      </c>
      <c r="F1941">
        <v>1</v>
      </c>
      <c r="G1941">
        <f>IF(Table3[[#This Row],[Service_Window]]="Lunch",1,0)</f>
        <v>0</v>
      </c>
    </row>
    <row r="1942" spans="1:7" x14ac:dyDescent="0.2">
      <c r="A1942">
        <v>46020</v>
      </c>
      <c r="B1942" t="s">
        <v>213</v>
      </c>
      <c r="C1942" t="s">
        <v>14</v>
      </c>
      <c r="D1942">
        <v>1</v>
      </c>
      <c r="E1942">
        <v>0</v>
      </c>
      <c r="F1942">
        <v>1</v>
      </c>
      <c r="G1942">
        <f>IF(Table3[[#This Row],[Service_Window]]="Lunch",1,0)</f>
        <v>0</v>
      </c>
    </row>
    <row r="1943" spans="1:7" x14ac:dyDescent="0.2">
      <c r="A1943">
        <v>46020</v>
      </c>
      <c r="B1943" t="s">
        <v>213</v>
      </c>
      <c r="C1943" t="s">
        <v>14</v>
      </c>
      <c r="D1943">
        <v>3</v>
      </c>
      <c r="E1943">
        <v>0</v>
      </c>
      <c r="F1943">
        <v>1</v>
      </c>
      <c r="G1943">
        <f>IF(Table3[[#This Row],[Service_Window]]="Lunch",1,0)</f>
        <v>0</v>
      </c>
    </row>
    <row r="1944" spans="1:7" x14ac:dyDescent="0.2">
      <c r="A1944">
        <v>46020</v>
      </c>
      <c r="B1944" t="s">
        <v>213</v>
      </c>
      <c r="C1944" t="s">
        <v>14</v>
      </c>
      <c r="D1944">
        <v>1</v>
      </c>
      <c r="E1944">
        <v>0</v>
      </c>
      <c r="F1944">
        <v>1</v>
      </c>
      <c r="G1944">
        <f>IF(Table3[[#This Row],[Service_Window]]="Lunch",1,0)</f>
        <v>0</v>
      </c>
    </row>
    <row r="1945" spans="1:7" x14ac:dyDescent="0.2">
      <c r="A1945">
        <v>46020</v>
      </c>
      <c r="B1945" t="s">
        <v>213</v>
      </c>
      <c r="C1945" t="s">
        <v>14</v>
      </c>
      <c r="D1945">
        <v>3</v>
      </c>
      <c r="E1945">
        <v>0</v>
      </c>
      <c r="F1945">
        <v>1</v>
      </c>
      <c r="G1945">
        <f>IF(Table3[[#This Row],[Service_Window]]="Lunch",1,0)</f>
        <v>0</v>
      </c>
    </row>
    <row r="1946" spans="1:7" x14ac:dyDescent="0.2">
      <c r="A1946">
        <v>46020</v>
      </c>
      <c r="B1946" t="s">
        <v>213</v>
      </c>
      <c r="C1946" t="s">
        <v>14</v>
      </c>
      <c r="D1946">
        <v>2</v>
      </c>
      <c r="E1946">
        <v>0</v>
      </c>
      <c r="F1946">
        <v>1</v>
      </c>
      <c r="G1946">
        <f>IF(Table3[[#This Row],[Service_Window]]="Lunch",1,0)</f>
        <v>0</v>
      </c>
    </row>
    <row r="1947" spans="1:7" x14ac:dyDescent="0.2">
      <c r="A1947">
        <v>46020</v>
      </c>
      <c r="B1947" t="s">
        <v>213</v>
      </c>
      <c r="C1947" t="s">
        <v>14</v>
      </c>
      <c r="D1947">
        <v>2</v>
      </c>
      <c r="E1947">
        <v>0</v>
      </c>
      <c r="F1947">
        <v>1</v>
      </c>
      <c r="G1947">
        <f>IF(Table3[[#This Row],[Service_Window]]="Lunch",1,0)</f>
        <v>0</v>
      </c>
    </row>
    <row r="1948" spans="1:7" x14ac:dyDescent="0.2">
      <c r="A1948">
        <v>46020</v>
      </c>
      <c r="B1948" t="s">
        <v>213</v>
      </c>
      <c r="C1948" t="s">
        <v>14</v>
      </c>
      <c r="D1948">
        <v>3</v>
      </c>
      <c r="E1948">
        <v>0</v>
      </c>
      <c r="F1948">
        <v>1</v>
      </c>
      <c r="G1948">
        <f>IF(Table3[[#This Row],[Service_Window]]="Lunch",1,0)</f>
        <v>0</v>
      </c>
    </row>
    <row r="1949" spans="1:7" x14ac:dyDescent="0.2">
      <c r="A1949">
        <v>46020</v>
      </c>
      <c r="B1949" t="s">
        <v>213</v>
      </c>
      <c r="C1949" t="s">
        <v>14</v>
      </c>
      <c r="D1949">
        <v>3</v>
      </c>
      <c r="E1949">
        <v>0</v>
      </c>
      <c r="F1949">
        <v>1</v>
      </c>
      <c r="G1949">
        <f>IF(Table3[[#This Row],[Service_Window]]="Lunch",1,0)</f>
        <v>0</v>
      </c>
    </row>
    <row r="1950" spans="1:7" x14ac:dyDescent="0.2">
      <c r="A1950">
        <v>46020</v>
      </c>
      <c r="B1950" t="s">
        <v>213</v>
      </c>
      <c r="C1950" t="s">
        <v>14</v>
      </c>
      <c r="D1950">
        <v>5</v>
      </c>
      <c r="E1950">
        <v>0</v>
      </c>
      <c r="F1950">
        <v>1</v>
      </c>
      <c r="G1950">
        <f>IF(Table3[[#This Row],[Service_Window]]="Lunch",1,0)</f>
        <v>0</v>
      </c>
    </row>
    <row r="1951" spans="1:7" x14ac:dyDescent="0.2">
      <c r="A1951">
        <v>46020</v>
      </c>
      <c r="B1951" t="s">
        <v>213</v>
      </c>
      <c r="C1951" t="s">
        <v>14</v>
      </c>
      <c r="D1951">
        <v>1</v>
      </c>
      <c r="E1951">
        <v>0</v>
      </c>
      <c r="F1951">
        <v>1</v>
      </c>
      <c r="G1951">
        <f>IF(Table3[[#This Row],[Service_Window]]="Lunch",1,0)</f>
        <v>0</v>
      </c>
    </row>
    <row r="1952" spans="1:7" x14ac:dyDescent="0.2">
      <c r="A1952">
        <v>46020</v>
      </c>
      <c r="B1952" t="s">
        <v>213</v>
      </c>
      <c r="C1952" t="s">
        <v>14</v>
      </c>
      <c r="D1952">
        <v>1</v>
      </c>
      <c r="E1952">
        <v>0</v>
      </c>
      <c r="F1952">
        <v>1</v>
      </c>
      <c r="G1952">
        <f>IF(Table3[[#This Row],[Service_Window]]="Lunch",1,0)</f>
        <v>0</v>
      </c>
    </row>
    <row r="1953" spans="1:7" x14ac:dyDescent="0.2">
      <c r="A1953">
        <v>46020</v>
      </c>
      <c r="B1953" t="s">
        <v>213</v>
      </c>
      <c r="C1953" t="s">
        <v>14</v>
      </c>
      <c r="D1953">
        <v>3</v>
      </c>
      <c r="E1953">
        <v>0</v>
      </c>
      <c r="F1953">
        <v>1</v>
      </c>
      <c r="G1953">
        <f>IF(Table3[[#This Row],[Service_Window]]="Lunch",1,0)</f>
        <v>0</v>
      </c>
    </row>
    <row r="1954" spans="1:7" x14ac:dyDescent="0.2">
      <c r="A1954">
        <v>46020</v>
      </c>
      <c r="B1954" t="s">
        <v>213</v>
      </c>
      <c r="C1954" t="s">
        <v>14</v>
      </c>
      <c r="D1954">
        <v>5</v>
      </c>
      <c r="E1954">
        <v>0</v>
      </c>
      <c r="F1954">
        <v>1</v>
      </c>
      <c r="G1954">
        <f>IF(Table3[[#This Row],[Service_Window]]="Lunch",1,0)</f>
        <v>0</v>
      </c>
    </row>
    <row r="1955" spans="1:7" x14ac:dyDescent="0.2">
      <c r="A1955">
        <v>46020</v>
      </c>
      <c r="B1955" t="s">
        <v>213</v>
      </c>
      <c r="C1955" t="s">
        <v>14</v>
      </c>
      <c r="D1955">
        <v>4</v>
      </c>
      <c r="E1955">
        <v>0</v>
      </c>
      <c r="F1955">
        <v>1</v>
      </c>
      <c r="G1955">
        <f>IF(Table3[[#This Row],[Service_Window]]="Lunch",1,0)</f>
        <v>0</v>
      </c>
    </row>
    <row r="1956" spans="1:7" x14ac:dyDescent="0.2">
      <c r="A1956">
        <v>46020</v>
      </c>
      <c r="B1956" t="s">
        <v>213</v>
      </c>
      <c r="C1956" t="s">
        <v>43</v>
      </c>
      <c r="D1956">
        <v>1</v>
      </c>
      <c r="E1956">
        <v>0</v>
      </c>
      <c r="F1956">
        <v>1</v>
      </c>
      <c r="G1956">
        <f>IF(Table3[[#This Row],[Service_Window]]="Lunch",1,0)</f>
        <v>1</v>
      </c>
    </row>
    <row r="1957" spans="1:7" x14ac:dyDescent="0.2">
      <c r="A1957">
        <v>46020</v>
      </c>
      <c r="B1957" t="s">
        <v>213</v>
      </c>
      <c r="C1957" t="s">
        <v>43</v>
      </c>
      <c r="D1957">
        <v>4</v>
      </c>
      <c r="E1957">
        <v>0</v>
      </c>
      <c r="F1957">
        <v>1</v>
      </c>
      <c r="G1957">
        <f>IF(Table3[[#This Row],[Service_Window]]="Lunch",1,0)</f>
        <v>1</v>
      </c>
    </row>
    <row r="1958" spans="1:7" x14ac:dyDescent="0.2">
      <c r="A1958">
        <v>46020</v>
      </c>
      <c r="B1958" t="s">
        <v>213</v>
      </c>
      <c r="C1958" t="s">
        <v>43</v>
      </c>
      <c r="D1958">
        <v>3</v>
      </c>
      <c r="E1958">
        <v>0</v>
      </c>
      <c r="F1958">
        <v>1</v>
      </c>
      <c r="G1958">
        <f>IF(Table3[[#This Row],[Service_Window]]="Lunch",1,0)</f>
        <v>1</v>
      </c>
    </row>
    <row r="1959" spans="1:7" x14ac:dyDescent="0.2">
      <c r="A1959">
        <v>46020</v>
      </c>
      <c r="B1959" t="s">
        <v>213</v>
      </c>
      <c r="C1959" t="s">
        <v>43</v>
      </c>
      <c r="D1959">
        <v>2</v>
      </c>
      <c r="E1959">
        <v>0</v>
      </c>
      <c r="F1959">
        <v>1</v>
      </c>
      <c r="G1959">
        <f>IF(Table3[[#This Row],[Service_Window]]="Lunch",1,0)</f>
        <v>1</v>
      </c>
    </row>
    <row r="1960" spans="1:7" x14ac:dyDescent="0.2">
      <c r="A1960">
        <v>46020</v>
      </c>
      <c r="B1960" t="s">
        <v>213</v>
      </c>
      <c r="C1960" t="s">
        <v>43</v>
      </c>
      <c r="D1960">
        <v>4</v>
      </c>
      <c r="E1960">
        <v>0</v>
      </c>
      <c r="F1960">
        <v>1</v>
      </c>
      <c r="G1960">
        <f>IF(Table3[[#This Row],[Service_Window]]="Lunch",1,0)</f>
        <v>1</v>
      </c>
    </row>
    <row r="1961" spans="1:7" x14ac:dyDescent="0.2">
      <c r="A1961">
        <v>46021</v>
      </c>
      <c r="B1961" t="s">
        <v>250</v>
      </c>
      <c r="C1961" t="s">
        <v>14</v>
      </c>
      <c r="D1961">
        <v>3</v>
      </c>
      <c r="E1961">
        <v>0</v>
      </c>
      <c r="F1961">
        <v>2</v>
      </c>
      <c r="G1961">
        <f>IF(Table3[[#This Row],[Service_Window]]="Lunch",1,0)</f>
        <v>0</v>
      </c>
    </row>
    <row r="1962" spans="1:7" x14ac:dyDescent="0.2">
      <c r="A1962">
        <v>46021</v>
      </c>
      <c r="B1962" t="s">
        <v>250</v>
      </c>
      <c r="C1962" t="s">
        <v>14</v>
      </c>
      <c r="D1962">
        <v>4</v>
      </c>
      <c r="E1962">
        <v>0</v>
      </c>
      <c r="F1962">
        <v>2</v>
      </c>
      <c r="G1962">
        <f>IF(Table3[[#This Row],[Service_Window]]="Lunch",1,0)</f>
        <v>0</v>
      </c>
    </row>
    <row r="1963" spans="1:7" x14ac:dyDescent="0.2">
      <c r="A1963">
        <v>46021</v>
      </c>
      <c r="B1963" t="s">
        <v>250</v>
      </c>
      <c r="C1963" t="s">
        <v>14</v>
      </c>
      <c r="D1963">
        <v>4</v>
      </c>
      <c r="E1963">
        <v>0</v>
      </c>
      <c r="F1963">
        <v>2</v>
      </c>
      <c r="G1963">
        <f>IF(Table3[[#This Row],[Service_Window]]="Lunch",1,0)</f>
        <v>0</v>
      </c>
    </row>
    <row r="1964" spans="1:7" x14ac:dyDescent="0.2">
      <c r="A1964">
        <v>46021</v>
      </c>
      <c r="B1964" t="s">
        <v>250</v>
      </c>
      <c r="C1964" t="s">
        <v>14</v>
      </c>
      <c r="D1964">
        <v>1</v>
      </c>
      <c r="E1964">
        <v>0</v>
      </c>
      <c r="F1964">
        <v>2</v>
      </c>
      <c r="G1964">
        <f>IF(Table3[[#This Row],[Service_Window]]="Lunch",1,0)</f>
        <v>0</v>
      </c>
    </row>
    <row r="1965" spans="1:7" x14ac:dyDescent="0.2">
      <c r="A1965">
        <v>46021</v>
      </c>
      <c r="B1965" t="s">
        <v>250</v>
      </c>
      <c r="C1965" t="s">
        <v>14</v>
      </c>
      <c r="D1965">
        <v>3</v>
      </c>
      <c r="E1965">
        <v>0</v>
      </c>
      <c r="F1965">
        <v>2</v>
      </c>
      <c r="G1965">
        <f>IF(Table3[[#This Row],[Service_Window]]="Lunch",1,0)</f>
        <v>0</v>
      </c>
    </row>
    <row r="1966" spans="1:7" x14ac:dyDescent="0.2">
      <c r="A1966">
        <v>46021</v>
      </c>
      <c r="B1966" t="s">
        <v>250</v>
      </c>
      <c r="C1966" t="s">
        <v>14</v>
      </c>
      <c r="D1966">
        <v>1</v>
      </c>
      <c r="E1966">
        <v>0</v>
      </c>
      <c r="F1966">
        <v>2</v>
      </c>
      <c r="G1966">
        <f>IF(Table3[[#This Row],[Service_Window]]="Lunch",1,0)</f>
        <v>0</v>
      </c>
    </row>
    <row r="1967" spans="1:7" x14ac:dyDescent="0.2">
      <c r="A1967">
        <v>46021</v>
      </c>
      <c r="B1967" t="s">
        <v>250</v>
      </c>
      <c r="C1967" t="s">
        <v>14</v>
      </c>
      <c r="D1967">
        <v>5</v>
      </c>
      <c r="E1967">
        <v>0</v>
      </c>
      <c r="F1967">
        <v>2</v>
      </c>
      <c r="G1967">
        <f>IF(Table3[[#This Row],[Service_Window]]="Lunch",1,0)</f>
        <v>0</v>
      </c>
    </row>
    <row r="1968" spans="1:7" x14ac:dyDescent="0.2">
      <c r="A1968">
        <v>46021</v>
      </c>
      <c r="B1968" t="s">
        <v>250</v>
      </c>
      <c r="C1968" t="s">
        <v>14</v>
      </c>
      <c r="D1968">
        <v>1</v>
      </c>
      <c r="E1968">
        <v>0</v>
      </c>
      <c r="F1968">
        <v>2</v>
      </c>
      <c r="G1968">
        <f>IF(Table3[[#This Row],[Service_Window]]="Lunch",1,0)</f>
        <v>0</v>
      </c>
    </row>
    <row r="1969" spans="1:7" x14ac:dyDescent="0.2">
      <c r="A1969">
        <v>46021</v>
      </c>
      <c r="B1969" t="s">
        <v>250</v>
      </c>
      <c r="C1969" t="s">
        <v>14</v>
      </c>
      <c r="D1969">
        <v>3</v>
      </c>
      <c r="E1969">
        <v>0</v>
      </c>
      <c r="F1969">
        <v>2</v>
      </c>
      <c r="G1969">
        <f>IF(Table3[[#This Row],[Service_Window]]="Lunch",1,0)</f>
        <v>0</v>
      </c>
    </row>
    <row r="1970" spans="1:7" x14ac:dyDescent="0.2">
      <c r="A1970">
        <v>46021</v>
      </c>
      <c r="B1970" t="s">
        <v>250</v>
      </c>
      <c r="C1970" t="s">
        <v>14</v>
      </c>
      <c r="D1970">
        <v>4</v>
      </c>
      <c r="E1970">
        <v>0</v>
      </c>
      <c r="F1970">
        <v>2</v>
      </c>
      <c r="G1970">
        <f>IF(Table3[[#This Row],[Service_Window]]="Lunch",1,0)</f>
        <v>0</v>
      </c>
    </row>
    <row r="1971" spans="1:7" x14ac:dyDescent="0.2">
      <c r="A1971">
        <v>46021</v>
      </c>
      <c r="B1971" t="s">
        <v>250</v>
      </c>
      <c r="C1971" t="s">
        <v>14</v>
      </c>
      <c r="D1971">
        <v>2</v>
      </c>
      <c r="E1971">
        <v>0</v>
      </c>
      <c r="F1971">
        <v>2</v>
      </c>
      <c r="G1971">
        <f>IF(Table3[[#This Row],[Service_Window]]="Lunch",1,0)</f>
        <v>0</v>
      </c>
    </row>
    <row r="1972" spans="1:7" x14ac:dyDescent="0.2">
      <c r="A1972">
        <v>46021</v>
      </c>
      <c r="B1972" t="s">
        <v>250</v>
      </c>
      <c r="C1972" t="s">
        <v>14</v>
      </c>
      <c r="D1972">
        <v>4</v>
      </c>
      <c r="E1972">
        <v>0</v>
      </c>
      <c r="F1972">
        <v>2</v>
      </c>
      <c r="G1972">
        <f>IF(Table3[[#This Row],[Service_Window]]="Lunch",1,0)</f>
        <v>0</v>
      </c>
    </row>
    <row r="1973" spans="1:7" x14ac:dyDescent="0.2">
      <c r="A1973">
        <v>46021</v>
      </c>
      <c r="B1973" t="s">
        <v>250</v>
      </c>
      <c r="C1973" t="s">
        <v>14</v>
      </c>
      <c r="D1973">
        <v>1</v>
      </c>
      <c r="E1973">
        <v>0</v>
      </c>
      <c r="F1973">
        <v>2</v>
      </c>
      <c r="G1973">
        <f>IF(Table3[[#This Row],[Service_Window]]="Lunch",1,0)</f>
        <v>0</v>
      </c>
    </row>
    <row r="1974" spans="1:7" x14ac:dyDescent="0.2">
      <c r="A1974">
        <v>46021</v>
      </c>
      <c r="B1974" t="s">
        <v>250</v>
      </c>
      <c r="C1974" t="s">
        <v>14</v>
      </c>
      <c r="D1974">
        <v>4</v>
      </c>
      <c r="E1974">
        <v>0</v>
      </c>
      <c r="F1974">
        <v>2</v>
      </c>
      <c r="G1974">
        <f>IF(Table3[[#This Row],[Service_Window]]="Lunch",1,0)</f>
        <v>0</v>
      </c>
    </row>
    <row r="1975" spans="1:7" x14ac:dyDescent="0.2">
      <c r="A1975">
        <v>46021</v>
      </c>
      <c r="B1975" t="s">
        <v>250</v>
      </c>
      <c r="C1975" t="s">
        <v>14</v>
      </c>
      <c r="D1975">
        <v>3</v>
      </c>
      <c r="E1975">
        <v>0</v>
      </c>
      <c r="F1975">
        <v>2</v>
      </c>
      <c r="G1975">
        <f>IF(Table3[[#This Row],[Service_Window]]="Lunch",1,0)</f>
        <v>0</v>
      </c>
    </row>
    <row r="1976" spans="1:7" x14ac:dyDescent="0.2">
      <c r="A1976">
        <v>46021</v>
      </c>
      <c r="B1976" t="s">
        <v>250</v>
      </c>
      <c r="C1976" t="s">
        <v>14</v>
      </c>
      <c r="D1976">
        <v>3</v>
      </c>
      <c r="E1976">
        <v>0</v>
      </c>
      <c r="F1976">
        <v>2</v>
      </c>
      <c r="G1976">
        <f>IF(Table3[[#This Row],[Service_Window]]="Lunch",1,0)</f>
        <v>0</v>
      </c>
    </row>
    <row r="1977" spans="1:7" x14ac:dyDescent="0.2">
      <c r="A1977">
        <v>46021</v>
      </c>
      <c r="B1977" t="s">
        <v>250</v>
      </c>
      <c r="C1977" t="s">
        <v>14</v>
      </c>
      <c r="D1977">
        <v>4</v>
      </c>
      <c r="E1977">
        <v>0</v>
      </c>
      <c r="F1977">
        <v>2</v>
      </c>
      <c r="G1977">
        <f>IF(Table3[[#This Row],[Service_Window]]="Lunch",1,0)</f>
        <v>0</v>
      </c>
    </row>
    <row r="1978" spans="1:7" x14ac:dyDescent="0.2">
      <c r="A1978">
        <v>46021</v>
      </c>
      <c r="B1978" t="s">
        <v>250</v>
      </c>
      <c r="C1978" t="s">
        <v>14</v>
      </c>
      <c r="D1978">
        <v>4</v>
      </c>
      <c r="E1978">
        <v>0</v>
      </c>
      <c r="F1978">
        <v>2</v>
      </c>
      <c r="G1978">
        <f>IF(Table3[[#This Row],[Service_Window]]="Lunch",1,0)</f>
        <v>0</v>
      </c>
    </row>
    <row r="1979" spans="1:7" x14ac:dyDescent="0.2">
      <c r="A1979">
        <v>46021</v>
      </c>
      <c r="B1979" t="s">
        <v>250</v>
      </c>
      <c r="C1979" t="s">
        <v>43</v>
      </c>
      <c r="D1979">
        <v>3</v>
      </c>
      <c r="E1979">
        <v>0</v>
      </c>
      <c r="F1979">
        <v>2</v>
      </c>
      <c r="G1979">
        <f>IF(Table3[[#This Row],[Service_Window]]="Lunch",1,0)</f>
        <v>1</v>
      </c>
    </row>
    <row r="1980" spans="1:7" x14ac:dyDescent="0.2">
      <c r="A1980">
        <v>46021</v>
      </c>
      <c r="B1980" t="s">
        <v>250</v>
      </c>
      <c r="C1980" t="s">
        <v>43</v>
      </c>
      <c r="D1980">
        <v>4</v>
      </c>
      <c r="E1980">
        <v>0</v>
      </c>
      <c r="F1980">
        <v>2</v>
      </c>
      <c r="G1980">
        <f>IF(Table3[[#This Row],[Service_Window]]="Lunch",1,0)</f>
        <v>1</v>
      </c>
    </row>
    <row r="1981" spans="1:7" x14ac:dyDescent="0.2">
      <c r="A1981">
        <v>46021</v>
      </c>
      <c r="B1981" t="s">
        <v>250</v>
      </c>
      <c r="C1981" t="s">
        <v>43</v>
      </c>
      <c r="D1981">
        <v>4</v>
      </c>
      <c r="E1981">
        <v>0</v>
      </c>
      <c r="F1981">
        <v>2</v>
      </c>
      <c r="G1981">
        <f>IF(Table3[[#This Row],[Service_Window]]="Lunch",1,0)</f>
        <v>1</v>
      </c>
    </row>
    <row r="1982" spans="1:7" x14ac:dyDescent="0.2">
      <c r="A1982">
        <v>46021</v>
      </c>
      <c r="B1982" t="s">
        <v>250</v>
      </c>
      <c r="C1982" t="s">
        <v>43</v>
      </c>
      <c r="D1982">
        <v>3</v>
      </c>
      <c r="E1982">
        <v>0</v>
      </c>
      <c r="F1982">
        <v>2</v>
      </c>
      <c r="G1982">
        <f>IF(Table3[[#This Row],[Service_Window]]="Lunch",1,0)</f>
        <v>1</v>
      </c>
    </row>
    <row r="1983" spans="1:7" x14ac:dyDescent="0.2">
      <c r="A1983">
        <v>46022</v>
      </c>
      <c r="B1983" t="s">
        <v>13</v>
      </c>
      <c r="C1983" t="s">
        <v>14</v>
      </c>
      <c r="D1983">
        <v>2</v>
      </c>
      <c r="E1983">
        <v>0</v>
      </c>
      <c r="F1983">
        <v>3</v>
      </c>
      <c r="G1983">
        <f>IF(Table3[[#This Row],[Service_Window]]="Lunch",1,0)</f>
        <v>0</v>
      </c>
    </row>
    <row r="1984" spans="1:7" x14ac:dyDescent="0.2">
      <c r="A1984">
        <v>46022</v>
      </c>
      <c r="B1984" t="s">
        <v>13</v>
      </c>
      <c r="C1984" t="s">
        <v>14</v>
      </c>
      <c r="D1984">
        <v>2</v>
      </c>
      <c r="E1984">
        <v>0</v>
      </c>
      <c r="F1984">
        <v>3</v>
      </c>
      <c r="G1984">
        <f>IF(Table3[[#This Row],[Service_Window]]="Lunch",1,0)</f>
        <v>0</v>
      </c>
    </row>
    <row r="1985" spans="1:7" x14ac:dyDescent="0.2">
      <c r="A1985">
        <v>46022</v>
      </c>
      <c r="B1985" t="s">
        <v>13</v>
      </c>
      <c r="C1985" t="s">
        <v>14</v>
      </c>
      <c r="D1985">
        <v>3</v>
      </c>
      <c r="E1985">
        <v>0</v>
      </c>
      <c r="F1985">
        <v>3</v>
      </c>
      <c r="G1985">
        <f>IF(Table3[[#This Row],[Service_Window]]="Lunch",1,0)</f>
        <v>0</v>
      </c>
    </row>
    <row r="1986" spans="1:7" x14ac:dyDescent="0.2">
      <c r="A1986">
        <v>46022</v>
      </c>
      <c r="B1986" t="s">
        <v>13</v>
      </c>
      <c r="C1986" t="s">
        <v>14</v>
      </c>
      <c r="D1986">
        <v>4</v>
      </c>
      <c r="E1986">
        <v>0</v>
      </c>
      <c r="F1986">
        <v>3</v>
      </c>
      <c r="G1986">
        <f>IF(Table3[[#This Row],[Service_Window]]="Lunch",1,0)</f>
        <v>0</v>
      </c>
    </row>
    <row r="1987" spans="1:7" x14ac:dyDescent="0.2">
      <c r="A1987">
        <v>46022</v>
      </c>
      <c r="B1987" t="s">
        <v>13</v>
      </c>
      <c r="C1987" t="s">
        <v>14</v>
      </c>
      <c r="D1987">
        <v>3</v>
      </c>
      <c r="E1987">
        <v>0</v>
      </c>
      <c r="F1987">
        <v>3</v>
      </c>
      <c r="G1987">
        <f>IF(Table3[[#This Row],[Service_Window]]="Lunch",1,0)</f>
        <v>0</v>
      </c>
    </row>
    <row r="1988" spans="1:7" x14ac:dyDescent="0.2">
      <c r="A1988">
        <v>46022</v>
      </c>
      <c r="B1988" t="s">
        <v>13</v>
      </c>
      <c r="C1988" t="s">
        <v>14</v>
      </c>
      <c r="D1988">
        <v>2</v>
      </c>
      <c r="E1988">
        <v>0</v>
      </c>
      <c r="F1988">
        <v>3</v>
      </c>
      <c r="G1988">
        <f>IF(Table3[[#This Row],[Service_Window]]="Lunch",1,0)</f>
        <v>0</v>
      </c>
    </row>
    <row r="1989" spans="1:7" x14ac:dyDescent="0.2">
      <c r="A1989">
        <v>46022</v>
      </c>
      <c r="B1989" t="s">
        <v>13</v>
      </c>
      <c r="C1989" t="s">
        <v>14</v>
      </c>
      <c r="D1989">
        <v>4</v>
      </c>
      <c r="E1989">
        <v>0</v>
      </c>
      <c r="F1989">
        <v>3</v>
      </c>
      <c r="G1989">
        <f>IF(Table3[[#This Row],[Service_Window]]="Lunch",1,0)</f>
        <v>0</v>
      </c>
    </row>
    <row r="1990" spans="1:7" x14ac:dyDescent="0.2">
      <c r="A1990">
        <v>46022</v>
      </c>
      <c r="B1990" t="s">
        <v>13</v>
      </c>
      <c r="C1990" t="s">
        <v>14</v>
      </c>
      <c r="D1990">
        <v>2</v>
      </c>
      <c r="E1990">
        <v>0</v>
      </c>
      <c r="F1990">
        <v>3</v>
      </c>
      <c r="G1990">
        <f>IF(Table3[[#This Row],[Service_Window]]="Lunch",1,0)</f>
        <v>0</v>
      </c>
    </row>
    <row r="1991" spans="1:7" x14ac:dyDescent="0.2">
      <c r="A1991">
        <v>46022</v>
      </c>
      <c r="B1991" t="s">
        <v>13</v>
      </c>
      <c r="C1991" t="s">
        <v>14</v>
      </c>
      <c r="D1991">
        <v>5</v>
      </c>
      <c r="E1991">
        <v>0</v>
      </c>
      <c r="F1991">
        <v>3</v>
      </c>
      <c r="G1991">
        <f>IF(Table3[[#This Row],[Service_Window]]="Lunch",1,0)</f>
        <v>0</v>
      </c>
    </row>
    <row r="1992" spans="1:7" x14ac:dyDescent="0.2">
      <c r="A1992">
        <v>46022</v>
      </c>
      <c r="B1992" t="s">
        <v>13</v>
      </c>
      <c r="C1992" t="s">
        <v>14</v>
      </c>
      <c r="D1992">
        <v>1</v>
      </c>
      <c r="E1992">
        <v>0</v>
      </c>
      <c r="F1992">
        <v>3</v>
      </c>
      <c r="G1992">
        <f>IF(Table3[[#This Row],[Service_Window]]="Lunch",1,0)</f>
        <v>0</v>
      </c>
    </row>
    <row r="1993" spans="1:7" x14ac:dyDescent="0.2">
      <c r="A1993">
        <v>46022</v>
      </c>
      <c r="B1993" t="s">
        <v>13</v>
      </c>
      <c r="C1993" t="s">
        <v>14</v>
      </c>
      <c r="D1993">
        <v>2</v>
      </c>
      <c r="E1993">
        <v>0</v>
      </c>
      <c r="F1993">
        <v>3</v>
      </c>
      <c r="G1993">
        <f>IF(Table3[[#This Row],[Service_Window]]="Lunch",1,0)</f>
        <v>0</v>
      </c>
    </row>
    <row r="1994" spans="1:7" x14ac:dyDescent="0.2">
      <c r="A1994">
        <v>46022</v>
      </c>
      <c r="B1994" t="s">
        <v>13</v>
      </c>
      <c r="C1994" t="s">
        <v>43</v>
      </c>
      <c r="D1994">
        <v>2</v>
      </c>
      <c r="E1994">
        <v>1</v>
      </c>
      <c r="F1994">
        <v>3</v>
      </c>
      <c r="G1994">
        <f>IF(Table3[[#This Row],[Service_Window]]="Lunch",1,0)</f>
        <v>1</v>
      </c>
    </row>
    <row r="1995" spans="1:7" x14ac:dyDescent="0.2">
      <c r="A1995">
        <v>46022</v>
      </c>
      <c r="B1995" t="s">
        <v>13</v>
      </c>
      <c r="C1995" t="s">
        <v>43</v>
      </c>
      <c r="D1995">
        <v>3</v>
      </c>
      <c r="E1995">
        <v>1</v>
      </c>
      <c r="F1995">
        <v>3</v>
      </c>
      <c r="G1995">
        <f>IF(Table3[[#This Row],[Service_Window]]="Lunch",1,0)</f>
        <v>1</v>
      </c>
    </row>
    <row r="1996" spans="1:7" x14ac:dyDescent="0.2">
      <c r="A1996">
        <v>46022</v>
      </c>
      <c r="B1996" t="s">
        <v>13</v>
      </c>
      <c r="C1996" t="s">
        <v>43</v>
      </c>
      <c r="D1996">
        <v>4</v>
      </c>
      <c r="E1996">
        <v>1</v>
      </c>
      <c r="F1996">
        <v>3</v>
      </c>
      <c r="G1996">
        <f>IF(Table3[[#This Row],[Service_Window]]="Lunch",1,0)</f>
        <v>1</v>
      </c>
    </row>
    <row r="1997" spans="1:7" x14ac:dyDescent="0.2">
      <c r="A1997">
        <v>46022</v>
      </c>
      <c r="B1997" t="s">
        <v>13</v>
      </c>
      <c r="C1997" t="s">
        <v>43</v>
      </c>
      <c r="D1997">
        <v>3</v>
      </c>
      <c r="E1997">
        <v>1</v>
      </c>
      <c r="F1997">
        <v>3</v>
      </c>
      <c r="G1997">
        <f>IF(Table3[[#This Row],[Service_Window]]="Lunch",1,0)</f>
        <v>1</v>
      </c>
    </row>
    <row r="1998" spans="1:7" x14ac:dyDescent="0.2">
      <c r="A1998">
        <v>46022</v>
      </c>
      <c r="B1998" t="s">
        <v>13</v>
      </c>
      <c r="C1998" t="s">
        <v>43</v>
      </c>
      <c r="D1998">
        <v>4</v>
      </c>
      <c r="E1998">
        <v>0</v>
      </c>
      <c r="F1998">
        <v>3</v>
      </c>
      <c r="G1998">
        <f>IF(Table3[[#This Row],[Service_Window]]="Lunch",1,0)</f>
        <v>1</v>
      </c>
    </row>
    <row r="1999" spans="1:7" x14ac:dyDescent="0.2">
      <c r="A1999">
        <v>46022</v>
      </c>
      <c r="B1999" t="s">
        <v>13</v>
      </c>
      <c r="C1999" t="s">
        <v>43</v>
      </c>
      <c r="D1999">
        <v>3</v>
      </c>
      <c r="E1999">
        <v>1</v>
      </c>
      <c r="F1999">
        <v>3</v>
      </c>
      <c r="G1999">
        <f>IF(Table3[[#This Row],[Service_Window]]="Lunch",1,0)</f>
        <v>1</v>
      </c>
    </row>
    <row r="2000" spans="1:7" x14ac:dyDescent="0.2">
      <c r="A2000">
        <v>46022</v>
      </c>
      <c r="B2000" t="s">
        <v>13</v>
      </c>
      <c r="C2000" t="s">
        <v>43</v>
      </c>
      <c r="D2000">
        <v>3</v>
      </c>
      <c r="E2000">
        <v>1</v>
      </c>
      <c r="F2000">
        <v>3</v>
      </c>
      <c r="G2000">
        <f>IF(Table3[[#This Row],[Service_Window]]="Lunch",1,0)</f>
        <v>1</v>
      </c>
    </row>
    <row r="2001" spans="1:7" x14ac:dyDescent="0.2">
      <c r="A2001">
        <v>46022</v>
      </c>
      <c r="B2001" t="s">
        <v>13</v>
      </c>
      <c r="C2001" t="s">
        <v>43</v>
      </c>
      <c r="D2001">
        <v>4</v>
      </c>
      <c r="E2001">
        <v>0</v>
      </c>
      <c r="F2001">
        <v>3</v>
      </c>
      <c r="G2001">
        <f>IF(Table3[[#This Row],[Service_Window]]="Lunch",1,0)</f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811B-4CF9-BD49-96D6-B083AEE684B3}">
  <dimension ref="A3:E22"/>
  <sheetViews>
    <sheetView zoomScale="99" zoomScaleNormal="99" workbookViewId="0">
      <selection activeCell="A13" sqref="A13:C19"/>
    </sheetView>
  </sheetViews>
  <sheetFormatPr baseColWidth="10" defaultRowHeight="15" x14ac:dyDescent="0.2"/>
  <cols>
    <col min="1" max="1" width="13.6640625" bestFit="1" customWidth="1"/>
    <col min="2" max="2" width="18.5" bestFit="1" customWidth="1"/>
    <col min="3" max="3" width="20.6640625" bestFit="1" customWidth="1"/>
  </cols>
  <sheetData>
    <row r="3" spans="1:3" x14ac:dyDescent="0.2">
      <c r="A3" s="8" t="s">
        <v>2287</v>
      </c>
      <c r="B3" s="6" t="s">
        <v>2294</v>
      </c>
      <c r="C3" t="s">
        <v>2293</v>
      </c>
    </row>
    <row r="4" spans="1:3" x14ac:dyDescent="0.2">
      <c r="A4" s="9" t="s">
        <v>14</v>
      </c>
      <c r="B4" s="6">
        <v>0</v>
      </c>
      <c r="C4">
        <v>4145</v>
      </c>
    </row>
    <row r="5" spans="1:3" x14ac:dyDescent="0.2">
      <c r="A5" s="10" t="s">
        <v>171</v>
      </c>
      <c r="B5" s="6">
        <v>0</v>
      </c>
      <c r="C5">
        <v>779</v>
      </c>
    </row>
    <row r="6" spans="1:3" x14ac:dyDescent="0.2">
      <c r="A6" s="10" t="s">
        <v>213</v>
      </c>
      <c r="B6" s="6">
        <v>0</v>
      </c>
      <c r="C6">
        <v>660</v>
      </c>
    </row>
    <row r="7" spans="1:3" x14ac:dyDescent="0.2">
      <c r="A7" s="10" t="s">
        <v>250</v>
      </c>
      <c r="B7" s="6">
        <v>0</v>
      </c>
      <c r="C7">
        <v>646</v>
      </c>
    </row>
    <row r="8" spans="1:3" x14ac:dyDescent="0.2">
      <c r="A8" s="10" t="s">
        <v>13</v>
      </c>
      <c r="B8" s="6">
        <v>0</v>
      </c>
      <c r="C8">
        <v>407</v>
      </c>
    </row>
    <row r="9" spans="1:3" x14ac:dyDescent="0.2">
      <c r="A9" s="10" t="s">
        <v>62</v>
      </c>
      <c r="B9" s="6">
        <v>0</v>
      </c>
      <c r="C9">
        <v>404</v>
      </c>
    </row>
    <row r="10" spans="1:3" x14ac:dyDescent="0.2">
      <c r="A10" s="10" t="s">
        <v>96</v>
      </c>
      <c r="B10" s="6">
        <v>0</v>
      </c>
      <c r="C10">
        <v>297</v>
      </c>
    </row>
    <row r="11" spans="1:3" x14ac:dyDescent="0.2">
      <c r="A11" s="10" t="s">
        <v>127</v>
      </c>
      <c r="B11" s="6">
        <v>0</v>
      </c>
      <c r="C11">
        <v>952</v>
      </c>
    </row>
    <row r="12" spans="1:3" x14ac:dyDescent="0.2">
      <c r="A12" s="9" t="s">
        <v>43</v>
      </c>
      <c r="B12" s="6">
        <v>0.44017725258493351</v>
      </c>
      <c r="C12">
        <v>2020</v>
      </c>
    </row>
    <row r="13" spans="1:3" x14ac:dyDescent="0.2">
      <c r="A13" s="10" t="s">
        <v>171</v>
      </c>
      <c r="B13" s="6">
        <v>0</v>
      </c>
      <c r="C13">
        <v>125</v>
      </c>
    </row>
    <row r="14" spans="1:3" x14ac:dyDescent="0.2">
      <c r="A14" s="10" t="s">
        <v>213</v>
      </c>
      <c r="B14" s="6">
        <v>0</v>
      </c>
      <c r="C14">
        <v>189</v>
      </c>
    </row>
    <row r="15" spans="1:3" x14ac:dyDescent="0.2">
      <c r="A15" s="10" t="s">
        <v>250</v>
      </c>
      <c r="B15" s="6">
        <v>0</v>
      </c>
      <c r="C15">
        <v>233</v>
      </c>
    </row>
    <row r="16" spans="1:3" x14ac:dyDescent="0.2">
      <c r="A16" s="10" t="s">
        <v>13</v>
      </c>
      <c r="B16" s="6">
        <v>0.74829931972789121</v>
      </c>
      <c r="C16">
        <v>482</v>
      </c>
    </row>
    <row r="17" spans="1:5" x14ac:dyDescent="0.2">
      <c r="A17" s="10" t="s">
        <v>62</v>
      </c>
      <c r="B17" s="6">
        <v>0.65771812080536918</v>
      </c>
      <c r="C17">
        <v>468</v>
      </c>
    </row>
    <row r="18" spans="1:5" x14ac:dyDescent="0.2">
      <c r="A18" s="10" t="s">
        <v>96</v>
      </c>
      <c r="B18" s="6">
        <v>0.62068965517241381</v>
      </c>
      <c r="C18">
        <v>404</v>
      </c>
    </row>
    <row r="19" spans="1:5" x14ac:dyDescent="0.2">
      <c r="A19" s="10" t="s">
        <v>127</v>
      </c>
      <c r="B19" s="6">
        <v>0</v>
      </c>
      <c r="C19">
        <v>119</v>
      </c>
    </row>
    <row r="20" spans="1:5" x14ac:dyDescent="0.2">
      <c r="A20" s="9" t="s">
        <v>2288</v>
      </c>
      <c r="B20" s="6">
        <v>0.14899999999999999</v>
      </c>
      <c r="C20">
        <v>6165</v>
      </c>
    </row>
    <row r="22" spans="1:5" x14ac:dyDescent="0.2">
      <c r="E22" s="13"/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97E41-7191-524D-93BA-8861C3847981}">
  <dimension ref="A1:H8"/>
  <sheetViews>
    <sheetView zoomScale="180" zoomScaleNormal="180" workbookViewId="0">
      <selection activeCell="C12" sqref="C12"/>
    </sheetView>
  </sheetViews>
  <sheetFormatPr baseColWidth="10" defaultRowHeight="15" x14ac:dyDescent="0.2"/>
  <cols>
    <col min="3" max="3" width="14.5" customWidth="1"/>
    <col min="4" max="4" width="15.1640625" customWidth="1"/>
    <col min="5" max="5" width="16.1640625" customWidth="1"/>
  </cols>
  <sheetData>
    <row r="1" spans="1:8" x14ac:dyDescent="0.2">
      <c r="A1" t="s">
        <v>2295</v>
      </c>
      <c r="B1" t="s">
        <v>3</v>
      </c>
      <c r="C1" t="s">
        <v>2296</v>
      </c>
      <c r="D1" t="s">
        <v>2297</v>
      </c>
      <c r="E1" t="s">
        <v>2298</v>
      </c>
      <c r="F1" t="s">
        <v>2300</v>
      </c>
      <c r="G1" t="s">
        <v>2301</v>
      </c>
      <c r="H1" t="s">
        <v>2302</v>
      </c>
    </row>
    <row r="2" spans="1:8" x14ac:dyDescent="0.2">
      <c r="A2" s="10" t="s">
        <v>2299</v>
      </c>
      <c r="B2" s="6" t="s">
        <v>171</v>
      </c>
      <c r="C2" t="s">
        <v>43</v>
      </c>
      <c r="D2">
        <v>125</v>
      </c>
      <c r="E2" s="6">
        <v>0</v>
      </c>
      <c r="F2">
        <f>IF(Table5[[#This Row],[Service_window]]="Lunch",1,0)</f>
        <v>1</v>
      </c>
      <c r="G2">
        <f>IF(OR(Table5[[#This Row],[Day]]="Saturday",Table5[[#This Row],[Day]]="Sunday"),1,0)</f>
        <v>1</v>
      </c>
      <c r="H2">
        <f>MATCH(Table5[[#This Row],[Day]],{"Monday","Tuesday","Wednesday","Thursday","Friday","Saturday","Sunday"},0)</f>
        <v>7</v>
      </c>
    </row>
    <row r="3" spans="1:8" x14ac:dyDescent="0.2">
      <c r="A3" s="10" t="s">
        <v>2299</v>
      </c>
      <c r="B3" s="6" t="s">
        <v>213</v>
      </c>
      <c r="C3" t="s">
        <v>43</v>
      </c>
      <c r="D3">
        <v>189</v>
      </c>
      <c r="E3" s="6">
        <v>0</v>
      </c>
      <c r="F3">
        <f>IF(Table5[[#This Row],[Service_window]]="Lunch",1,0)</f>
        <v>1</v>
      </c>
      <c r="G3">
        <f>IF(OR(Table5[[#This Row],[Day]]="Saturday",Table5[[#This Row],[Day]]="Sunday"),1,0)</f>
        <v>0</v>
      </c>
      <c r="H3">
        <f>MATCH(Table5[[#This Row],[Day]],{"Monday","Tuesday","Wednesday","Thursday","Friday","Saturday","Sunday"},0)</f>
        <v>1</v>
      </c>
    </row>
    <row r="4" spans="1:8" x14ac:dyDescent="0.2">
      <c r="A4" s="10" t="s">
        <v>2299</v>
      </c>
      <c r="B4" s="6" t="s">
        <v>250</v>
      </c>
      <c r="C4" t="s">
        <v>43</v>
      </c>
      <c r="D4">
        <v>233</v>
      </c>
      <c r="E4" s="6">
        <v>0</v>
      </c>
      <c r="F4">
        <f>IF(Table5[[#This Row],[Service_window]]="Lunch",1,0)</f>
        <v>1</v>
      </c>
      <c r="G4">
        <f>IF(OR(Table5[[#This Row],[Day]]="Saturday",Table5[[#This Row],[Day]]="Sunday"),1,0)</f>
        <v>0</v>
      </c>
      <c r="H4">
        <f>MATCH(Table5[[#This Row],[Day]],{"Monday","Tuesday","Wednesday","Thursday","Friday","Saturday","Sunday"},0)</f>
        <v>2</v>
      </c>
    </row>
    <row r="5" spans="1:8" x14ac:dyDescent="0.2">
      <c r="A5" s="10" t="s">
        <v>2299</v>
      </c>
      <c r="B5" s="6" t="s">
        <v>13</v>
      </c>
      <c r="C5" t="s">
        <v>43</v>
      </c>
      <c r="D5">
        <v>482</v>
      </c>
      <c r="E5" s="6">
        <v>0.74829931972789121</v>
      </c>
      <c r="F5">
        <f>IF(Table5[[#This Row],[Service_window]]="Lunch",1,0)</f>
        <v>1</v>
      </c>
      <c r="G5">
        <f>IF(OR(Table5[[#This Row],[Day]]="Saturday",Table5[[#This Row],[Day]]="Sunday"),1,0)</f>
        <v>0</v>
      </c>
      <c r="H5">
        <f>MATCH(Table5[[#This Row],[Day]],{"Monday","Tuesday","Wednesday","Thursday","Friday","Saturday","Sunday"},0)</f>
        <v>3</v>
      </c>
    </row>
    <row r="6" spans="1:8" x14ac:dyDescent="0.2">
      <c r="A6" s="10" t="s">
        <v>2299</v>
      </c>
      <c r="B6" s="6" t="s">
        <v>62</v>
      </c>
      <c r="C6" t="s">
        <v>43</v>
      </c>
      <c r="D6">
        <v>468</v>
      </c>
      <c r="E6" s="6">
        <v>0.65771812080536918</v>
      </c>
      <c r="F6">
        <f>IF(Table5[[#This Row],[Service_window]]="Lunch",1,0)</f>
        <v>1</v>
      </c>
      <c r="G6">
        <f>IF(OR(Table5[[#This Row],[Day]]="Saturday",Table5[[#This Row],[Day]]="Sunday"),1,0)</f>
        <v>0</v>
      </c>
      <c r="H6">
        <f>MATCH(Table5[[#This Row],[Day]],{"Monday","Tuesday","Wednesday","Thursday","Friday","Saturday","Sunday"},0)</f>
        <v>4</v>
      </c>
    </row>
    <row r="7" spans="1:8" x14ac:dyDescent="0.2">
      <c r="A7" s="10" t="s">
        <v>2299</v>
      </c>
      <c r="B7" s="6" t="s">
        <v>96</v>
      </c>
      <c r="C7" t="s">
        <v>43</v>
      </c>
      <c r="D7">
        <v>404</v>
      </c>
      <c r="E7" s="6">
        <v>0.62068965517241381</v>
      </c>
      <c r="F7">
        <f>IF(Table5[[#This Row],[Service_window]]="Lunch",1,0)</f>
        <v>1</v>
      </c>
      <c r="G7">
        <f>IF(OR(Table5[[#This Row],[Day]]="Saturday",Table5[[#This Row],[Day]]="Sunday"),1,0)</f>
        <v>0</v>
      </c>
      <c r="H7">
        <f>MATCH(Table5[[#This Row],[Day]],{"Monday","Tuesday","Wednesday","Thursday","Friday","Saturday","Sunday"},0)</f>
        <v>5</v>
      </c>
    </row>
    <row r="8" spans="1:8" x14ac:dyDescent="0.2">
      <c r="A8" s="10" t="s">
        <v>2299</v>
      </c>
      <c r="B8" s="6" t="s">
        <v>127</v>
      </c>
      <c r="C8" t="s">
        <v>43</v>
      </c>
      <c r="D8">
        <v>119</v>
      </c>
      <c r="E8" s="6">
        <v>0</v>
      </c>
      <c r="F8">
        <f>IF(Table5[[#This Row],[Service_window]]="Lunch",1,0)</f>
        <v>1</v>
      </c>
      <c r="G8">
        <f>IF(OR(Table5[[#This Row],[Day]]="Saturday",Table5[[#This Row],[Day]]="Sunday"),1,0)</f>
        <v>1</v>
      </c>
      <c r="H8">
        <f>MATCH(Table5[[#This Row],[Day]],{"Monday","Tuesday","Wednesday","Thursday","Friday","Saturday","Sunday"},0)</f>
        <v>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A6215-1D5A-B04F-BBB3-2B0EB0740FE6}">
  <dimension ref="A1:J45"/>
  <sheetViews>
    <sheetView zoomScale="120" zoomScaleNormal="120" workbookViewId="0">
      <selection activeCell="D2" sqref="D2:D3"/>
    </sheetView>
  </sheetViews>
  <sheetFormatPr baseColWidth="10" defaultRowHeight="15" x14ac:dyDescent="0.2"/>
  <cols>
    <col min="3" max="3" width="15.33203125" customWidth="1"/>
    <col min="4" max="4" width="15.6640625" customWidth="1"/>
    <col min="5" max="5" width="16.6640625" customWidth="1"/>
    <col min="7" max="7" width="12" customWidth="1"/>
    <col min="8" max="8" width="13" customWidth="1"/>
  </cols>
  <sheetData>
    <row r="1" spans="1:8" x14ac:dyDescent="0.2">
      <c r="A1" t="s">
        <v>2295</v>
      </c>
      <c r="B1" t="s">
        <v>3</v>
      </c>
      <c r="C1" t="s">
        <v>2296</v>
      </c>
      <c r="D1" t="s">
        <v>2297</v>
      </c>
      <c r="E1" t="s">
        <v>2298</v>
      </c>
      <c r="F1" t="s">
        <v>2300</v>
      </c>
      <c r="G1" t="s">
        <v>2301</v>
      </c>
      <c r="H1" t="s">
        <v>2302</v>
      </c>
    </row>
    <row r="2" spans="1:8" x14ac:dyDescent="0.2">
      <c r="A2" t="s">
        <v>2299</v>
      </c>
      <c r="B2" t="s">
        <v>171</v>
      </c>
      <c r="C2" t="s">
        <v>43</v>
      </c>
      <c r="D2">
        <v>125</v>
      </c>
      <c r="E2" s="6">
        <v>0</v>
      </c>
      <c r="F2">
        <v>1</v>
      </c>
      <c r="G2">
        <v>1</v>
      </c>
      <c r="H2">
        <v>7</v>
      </c>
    </row>
    <row r="3" spans="1:8" x14ac:dyDescent="0.2">
      <c r="A3" t="s">
        <v>2299</v>
      </c>
      <c r="B3" t="s">
        <v>213</v>
      </c>
      <c r="C3" t="s">
        <v>43</v>
      </c>
      <c r="D3">
        <v>189</v>
      </c>
      <c r="E3" s="6">
        <v>0</v>
      </c>
      <c r="F3">
        <v>1</v>
      </c>
      <c r="G3">
        <v>0</v>
      </c>
      <c r="H3">
        <v>1</v>
      </c>
    </row>
    <row r="4" spans="1:8" x14ac:dyDescent="0.2">
      <c r="A4" t="s">
        <v>2299</v>
      </c>
      <c r="B4" t="s">
        <v>250</v>
      </c>
      <c r="C4" t="s">
        <v>43</v>
      </c>
      <c r="D4">
        <v>233</v>
      </c>
      <c r="E4" s="6">
        <v>0</v>
      </c>
      <c r="F4">
        <v>1</v>
      </c>
      <c r="G4">
        <v>0</v>
      </c>
      <c r="H4">
        <v>2</v>
      </c>
    </row>
    <row r="5" spans="1:8" x14ac:dyDescent="0.2">
      <c r="A5" t="s">
        <v>2299</v>
      </c>
      <c r="B5" t="s">
        <v>13</v>
      </c>
      <c r="C5" t="s">
        <v>43</v>
      </c>
      <c r="D5">
        <v>482</v>
      </c>
      <c r="E5" s="6">
        <v>0.74829931972789121</v>
      </c>
      <c r="F5">
        <v>1</v>
      </c>
      <c r="G5">
        <v>0</v>
      </c>
      <c r="H5">
        <v>3</v>
      </c>
    </row>
    <row r="6" spans="1:8" x14ac:dyDescent="0.2">
      <c r="A6" t="s">
        <v>2299</v>
      </c>
      <c r="B6" t="s">
        <v>62</v>
      </c>
      <c r="C6" t="s">
        <v>43</v>
      </c>
      <c r="D6">
        <v>468</v>
      </c>
      <c r="E6" s="6">
        <v>0.65771812080536918</v>
      </c>
      <c r="F6">
        <v>1</v>
      </c>
      <c r="G6">
        <v>0</v>
      </c>
      <c r="H6">
        <v>4</v>
      </c>
    </row>
    <row r="7" spans="1:8" x14ac:dyDescent="0.2">
      <c r="A7" t="s">
        <v>2299</v>
      </c>
      <c r="B7" t="s">
        <v>96</v>
      </c>
      <c r="C7" t="s">
        <v>43</v>
      </c>
      <c r="D7">
        <v>404</v>
      </c>
      <c r="E7" s="6">
        <v>0.62068965517241381</v>
      </c>
      <c r="F7">
        <v>1</v>
      </c>
      <c r="G7">
        <v>0</v>
      </c>
      <c r="H7">
        <v>5</v>
      </c>
    </row>
    <row r="8" spans="1:8" x14ac:dyDescent="0.2">
      <c r="A8" t="s">
        <v>2299</v>
      </c>
      <c r="B8" t="s">
        <v>127</v>
      </c>
      <c r="C8" t="s">
        <v>43</v>
      </c>
      <c r="D8">
        <v>119</v>
      </c>
      <c r="E8" s="6">
        <v>0</v>
      </c>
      <c r="F8">
        <v>1</v>
      </c>
      <c r="G8">
        <v>1</v>
      </c>
      <c r="H8">
        <v>6</v>
      </c>
    </row>
    <row r="12" spans="1:8" x14ac:dyDescent="0.2">
      <c r="B12" t="s">
        <v>2303</v>
      </c>
    </row>
    <row r="13" spans="1:8" ht="16" thickBot="1" x14ac:dyDescent="0.25"/>
    <row r="14" spans="1:8" x14ac:dyDescent="0.2">
      <c r="B14" s="21" t="s">
        <v>2304</v>
      </c>
      <c r="C14" s="21"/>
    </row>
    <row r="15" spans="1:8" x14ac:dyDescent="0.2">
      <c r="B15" s="18" t="s">
        <v>2305</v>
      </c>
      <c r="C15" s="18">
        <v>0.99806640079247377</v>
      </c>
    </row>
    <row r="16" spans="1:8" x14ac:dyDescent="0.2">
      <c r="B16" s="18" t="s">
        <v>2306</v>
      </c>
      <c r="C16" s="18">
        <v>0.99613654039084287</v>
      </c>
    </row>
    <row r="17" spans="2:10" x14ac:dyDescent="0.2">
      <c r="B17" s="18" t="s">
        <v>2307</v>
      </c>
      <c r="C17" s="18">
        <v>0.98840962117252862</v>
      </c>
    </row>
    <row r="18" spans="2:10" x14ac:dyDescent="0.2">
      <c r="B18" s="18" t="s">
        <v>2308</v>
      </c>
      <c r="C18" s="18">
        <v>17.104157391155127</v>
      </c>
    </row>
    <row r="19" spans="2:10" ht="16" thickBot="1" x14ac:dyDescent="0.25">
      <c r="B19" s="19" t="s">
        <v>2309</v>
      </c>
      <c r="C19" s="19">
        <v>7</v>
      </c>
    </row>
    <row r="21" spans="2:10" ht="16" thickBot="1" x14ac:dyDescent="0.25">
      <c r="B21" t="s">
        <v>2310</v>
      </c>
    </row>
    <row r="22" spans="2:10" x14ac:dyDescent="0.2">
      <c r="B22" s="20"/>
      <c r="C22" s="20" t="s">
        <v>2315</v>
      </c>
      <c r="D22" s="20" t="s">
        <v>2316</v>
      </c>
      <c r="E22" s="20" t="s">
        <v>2317</v>
      </c>
      <c r="F22" s="20" t="s">
        <v>2318</v>
      </c>
      <c r="G22" s="20" t="s">
        <v>2319</v>
      </c>
    </row>
    <row r="23" spans="2:10" x14ac:dyDescent="0.2">
      <c r="B23" s="18" t="s">
        <v>2311</v>
      </c>
      <c r="C23" s="18">
        <v>4</v>
      </c>
      <c r="D23" s="18">
        <v>150860.60988559149</v>
      </c>
      <c r="E23" s="18">
        <v>37715.152471397872</v>
      </c>
      <c r="F23" s="18">
        <v>128.91768533438298</v>
      </c>
      <c r="G23" s="18">
        <v>7.7119928981627369E-3</v>
      </c>
    </row>
    <row r="24" spans="2:10" x14ac:dyDescent="0.2">
      <c r="B24" s="18" t="s">
        <v>2312</v>
      </c>
      <c r="C24" s="18">
        <v>2</v>
      </c>
      <c r="D24" s="18">
        <v>585.10440012281322</v>
      </c>
      <c r="E24" s="18">
        <v>292.55220006140661</v>
      </c>
      <c r="F24" s="18"/>
      <c r="G24" s="18"/>
    </row>
    <row r="25" spans="2:10" ht="16" thickBot="1" x14ac:dyDescent="0.25">
      <c r="B25" s="19" t="s">
        <v>2313</v>
      </c>
      <c r="C25" s="19">
        <v>6</v>
      </c>
      <c r="D25" s="19">
        <v>151445.71428571429</v>
      </c>
      <c r="E25" s="19"/>
      <c r="F25" s="19"/>
      <c r="G25" s="19"/>
    </row>
    <row r="26" spans="2:10" ht="16" thickBot="1" x14ac:dyDescent="0.25"/>
    <row r="27" spans="2:10" x14ac:dyDescent="0.2">
      <c r="B27" s="20"/>
      <c r="C27" s="20" t="s">
        <v>2320</v>
      </c>
      <c r="D27" s="20" t="s">
        <v>2308</v>
      </c>
      <c r="E27" s="20" t="s">
        <v>2321</v>
      </c>
      <c r="F27" s="20" t="s">
        <v>2322</v>
      </c>
      <c r="G27" s="20" t="s">
        <v>2323</v>
      </c>
      <c r="H27" s="20" t="s">
        <v>2324</v>
      </c>
      <c r="I27" s="20" t="s">
        <v>2325</v>
      </c>
      <c r="J27" s="20" t="s">
        <v>2326</v>
      </c>
    </row>
    <row r="28" spans="2:10" x14ac:dyDescent="0.2">
      <c r="B28" s="18" t="s">
        <v>2314</v>
      </c>
      <c r="C28" s="18">
        <v>215.00337963748126</v>
      </c>
      <c r="D28" s="18">
        <v>18.307613389500403</v>
      </c>
      <c r="E28" s="18">
        <v>11.743932705110968</v>
      </c>
      <c r="F28" s="18">
        <v>7.1726669639171174E-3</v>
      </c>
      <c r="G28" s="18">
        <v>136.23207691194952</v>
      </c>
      <c r="H28" s="18">
        <v>293.77468236301303</v>
      </c>
      <c r="I28" s="18">
        <v>136.23207691194952</v>
      </c>
      <c r="J28" s="18">
        <v>293.77468236301303</v>
      </c>
    </row>
    <row r="29" spans="2:10" x14ac:dyDescent="0.2">
      <c r="B29" s="18" t="s">
        <v>2327</v>
      </c>
      <c r="C29" s="18">
        <v>369.09017326256566</v>
      </c>
      <c r="D29" s="18">
        <v>37.077148198452925</v>
      </c>
      <c r="E29" s="18">
        <v>9.9546537745307564</v>
      </c>
      <c r="F29" s="18">
        <v>9.9410857375510694E-3</v>
      </c>
      <c r="G29" s="18">
        <v>209.56008035516678</v>
      </c>
      <c r="H29" s="18">
        <v>528.62026616996457</v>
      </c>
      <c r="I29" s="18">
        <v>209.56008035516678</v>
      </c>
      <c r="J29" s="18">
        <v>528.62026616996457</v>
      </c>
    </row>
    <row r="30" spans="2:10" x14ac:dyDescent="0.2">
      <c r="B30" s="18" t="s">
        <v>2328</v>
      </c>
      <c r="C30" s="18">
        <v>0</v>
      </c>
      <c r="D30" s="18">
        <v>0</v>
      </c>
      <c r="E30" s="18">
        <v>65535</v>
      </c>
      <c r="F30" s="18" t="e">
        <v>#NUM!</v>
      </c>
      <c r="G30" s="18">
        <v>0</v>
      </c>
      <c r="H30" s="18">
        <v>0</v>
      </c>
      <c r="I30" s="18">
        <v>0</v>
      </c>
      <c r="J30" s="18">
        <v>0</v>
      </c>
    </row>
    <row r="31" spans="2:10" x14ac:dyDescent="0.2">
      <c r="B31" s="18" t="s">
        <v>2329</v>
      </c>
      <c r="C31" s="18">
        <v>-72.613065410131284</v>
      </c>
      <c r="D31" s="18">
        <v>45.037129552995765</v>
      </c>
      <c r="E31" s="18">
        <v>-1.6122933706218237</v>
      </c>
      <c r="F31" s="18" t="e">
        <v>#NUM!</v>
      </c>
      <c r="G31" s="18">
        <v>-266.39219382140874</v>
      </c>
      <c r="H31" s="18">
        <v>121.16606300114618</v>
      </c>
      <c r="I31" s="18">
        <v>-266.39219382140874</v>
      </c>
      <c r="J31" s="18">
        <v>121.16606300114618</v>
      </c>
    </row>
    <row r="32" spans="2:10" ht="16" thickBot="1" x14ac:dyDescent="0.25">
      <c r="B32" s="19" t="s">
        <v>2330</v>
      </c>
      <c r="C32" s="19">
        <v>-3.136971419592304</v>
      </c>
      <c r="D32" s="19">
        <v>8.534207614621959</v>
      </c>
      <c r="E32" s="19">
        <v>-0.3675761782754875</v>
      </c>
      <c r="F32" s="19">
        <v>0.74844265511211594</v>
      </c>
      <c r="G32" s="19">
        <v>-39.856703108894138</v>
      </c>
      <c r="H32" s="19">
        <v>33.582760269709524</v>
      </c>
      <c r="I32" s="19">
        <v>-39.856703108894138</v>
      </c>
      <c r="J32" s="19">
        <v>33.582760269709524</v>
      </c>
    </row>
    <row r="36" spans="2:7" x14ac:dyDescent="0.2">
      <c r="B36" t="s">
        <v>2331</v>
      </c>
      <c r="F36" t="s">
        <v>2335</v>
      </c>
    </row>
    <row r="37" spans="2:7" ht="16" thickBot="1" x14ac:dyDescent="0.25"/>
    <row r="38" spans="2:7" x14ac:dyDescent="0.2">
      <c r="B38" s="20" t="s">
        <v>2332</v>
      </c>
      <c r="C38" s="20" t="s">
        <v>2333</v>
      </c>
      <c r="D38" s="20" t="s">
        <v>2334</v>
      </c>
      <c r="F38" s="20" t="s">
        <v>2336</v>
      </c>
      <c r="G38" s="20" t="s">
        <v>2337</v>
      </c>
    </row>
    <row r="39" spans="2:7" x14ac:dyDescent="0.2">
      <c r="B39" s="18">
        <v>1</v>
      </c>
      <c r="C39" s="18">
        <v>120.43151429020384</v>
      </c>
      <c r="D39" s="18">
        <v>4.568485709796164</v>
      </c>
      <c r="F39" s="18">
        <v>7.1428571428571432</v>
      </c>
      <c r="G39" s="18">
        <v>119</v>
      </c>
    </row>
    <row r="40" spans="2:7" x14ac:dyDescent="0.2">
      <c r="B40" s="18">
        <v>2</v>
      </c>
      <c r="C40" s="18">
        <v>211.86640821788896</v>
      </c>
      <c r="D40" s="18">
        <v>-22.86640821788896</v>
      </c>
      <c r="F40" s="18">
        <v>21.428571428571431</v>
      </c>
      <c r="G40" s="18">
        <v>125</v>
      </c>
    </row>
    <row r="41" spans="2:7" x14ac:dyDescent="0.2">
      <c r="B41" s="18">
        <v>3</v>
      </c>
      <c r="C41" s="18">
        <v>208.72943679829666</v>
      </c>
      <c r="D41" s="18">
        <v>24.270563201703339</v>
      </c>
      <c r="F41" s="18">
        <v>35.714285714285715</v>
      </c>
      <c r="G41" s="18">
        <v>189</v>
      </c>
    </row>
    <row r="42" spans="2:7" x14ac:dyDescent="0.2">
      <c r="B42" s="18">
        <v>4</v>
      </c>
      <c r="C42" s="18">
        <v>481.78239094933173</v>
      </c>
      <c r="D42" s="18">
        <v>0.21760905066827263</v>
      </c>
      <c r="F42" s="18">
        <v>50.000000000000007</v>
      </c>
      <c r="G42" s="18">
        <v>233</v>
      </c>
    </row>
    <row r="43" spans="2:7" x14ac:dyDescent="0.2">
      <c r="B43" s="18">
        <v>5</v>
      </c>
      <c r="C43" s="18">
        <v>445.21278912509484</v>
      </c>
      <c r="D43" s="18">
        <v>22.787210874905156</v>
      </c>
      <c r="F43" s="18">
        <v>64.285714285714292</v>
      </c>
      <c r="G43" s="18">
        <v>404</v>
      </c>
    </row>
    <row r="44" spans="2:7" x14ac:dyDescent="0.2">
      <c r="B44" s="18">
        <v>6</v>
      </c>
      <c r="C44" s="18">
        <v>428.40897490938806</v>
      </c>
      <c r="D44" s="18">
        <v>-24.408974909388064</v>
      </c>
      <c r="F44" s="18">
        <v>78.571428571428569</v>
      </c>
      <c r="G44" s="18">
        <v>468</v>
      </c>
    </row>
    <row r="45" spans="2:7" ht="16" thickBot="1" x14ac:dyDescent="0.25">
      <c r="B45" s="19">
        <v>7</v>
      </c>
      <c r="C45" s="19">
        <v>123.56848570979614</v>
      </c>
      <c r="D45" s="19">
        <v>-4.5684857097961356</v>
      </c>
      <c r="F45" s="19">
        <v>92.857142857142861</v>
      </c>
      <c r="G45" s="19">
        <v>482</v>
      </c>
    </row>
  </sheetData>
  <sortState xmlns:xlrd2="http://schemas.microsoft.com/office/spreadsheetml/2017/richdata2" ref="G39:G45">
    <sortCondition ref="G39"/>
  </sortState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5473-396E-7A4F-8F53-70B6853A89AE}">
  <dimension ref="A1:E8"/>
  <sheetViews>
    <sheetView zoomScale="150" zoomScaleNormal="150" workbookViewId="0">
      <selection activeCell="F16" sqref="F16"/>
    </sheetView>
  </sheetViews>
  <sheetFormatPr baseColWidth="10" defaultRowHeight="15" x14ac:dyDescent="0.2"/>
  <cols>
    <col min="2" max="2" width="16.5" customWidth="1"/>
    <col min="3" max="3" width="18.83203125" customWidth="1"/>
    <col min="5" max="5" width="16.1640625" customWidth="1"/>
  </cols>
  <sheetData>
    <row r="1" spans="1:5" x14ac:dyDescent="0.2">
      <c r="A1" s="3" t="s">
        <v>3</v>
      </c>
      <c r="B1" s="3" t="s">
        <v>2298</v>
      </c>
      <c r="C1" s="3" t="s">
        <v>2338</v>
      </c>
      <c r="D1" s="3" t="s">
        <v>2339</v>
      </c>
      <c r="E1" s="3" t="s">
        <v>2340</v>
      </c>
    </row>
    <row r="2" spans="1:5" x14ac:dyDescent="0.2">
      <c r="A2" t="s">
        <v>213</v>
      </c>
      <c r="B2" s="22">
        <v>0</v>
      </c>
      <c r="C2" s="15">
        <v>233</v>
      </c>
      <c r="D2" t="str">
        <f t="shared" ref="D2:D8" si="0">IF(B2&lt;0.4,"ALA CARTE","BUFFET")</f>
        <v>ALA CARTE</v>
      </c>
      <c r="E2">
        <f t="shared" ref="E2:E8" si="1">IF(D2="BUFFET", C2*1.3, 0)</f>
        <v>0</v>
      </c>
    </row>
    <row r="3" spans="1:5" x14ac:dyDescent="0.2">
      <c r="A3" s="16" t="s">
        <v>13</v>
      </c>
      <c r="B3" s="23">
        <v>0.74829931972789121</v>
      </c>
      <c r="C3" s="16">
        <v>482</v>
      </c>
      <c r="D3" t="str">
        <f t="shared" si="0"/>
        <v>BUFFET</v>
      </c>
      <c r="E3">
        <f t="shared" si="1"/>
        <v>626.6</v>
      </c>
    </row>
    <row r="4" spans="1:5" x14ac:dyDescent="0.2">
      <c r="A4" s="15" t="s">
        <v>62</v>
      </c>
      <c r="B4" s="22">
        <v>0.65771812080536918</v>
      </c>
      <c r="C4" s="15">
        <v>468</v>
      </c>
      <c r="D4" t="str">
        <f t="shared" si="0"/>
        <v>BUFFET</v>
      </c>
      <c r="E4">
        <f t="shared" si="1"/>
        <v>608.4</v>
      </c>
    </row>
    <row r="5" spans="1:5" x14ac:dyDescent="0.2">
      <c r="A5" s="16" t="s">
        <v>96</v>
      </c>
      <c r="B5" s="23">
        <v>0.62068965517241381</v>
      </c>
      <c r="C5" s="16">
        <v>404</v>
      </c>
      <c r="D5" t="str">
        <f t="shared" si="0"/>
        <v>BUFFET</v>
      </c>
      <c r="E5">
        <f t="shared" si="1"/>
        <v>525.20000000000005</v>
      </c>
    </row>
    <row r="6" spans="1:5" x14ac:dyDescent="0.2">
      <c r="A6" s="17" t="s">
        <v>127</v>
      </c>
      <c r="B6" s="24">
        <v>0</v>
      </c>
      <c r="C6" s="17">
        <v>119</v>
      </c>
      <c r="D6" t="str">
        <f t="shared" si="0"/>
        <v>ALA CARTE</v>
      </c>
      <c r="E6">
        <f t="shared" si="1"/>
        <v>0</v>
      </c>
    </row>
    <row r="7" spans="1:5" x14ac:dyDescent="0.2">
      <c r="A7" s="15" t="s">
        <v>171</v>
      </c>
      <c r="B7" s="22">
        <v>0</v>
      </c>
      <c r="C7" s="15">
        <v>125</v>
      </c>
      <c r="D7" t="str">
        <f t="shared" si="0"/>
        <v>ALA CARTE</v>
      </c>
      <c r="E7">
        <f t="shared" si="1"/>
        <v>0</v>
      </c>
    </row>
    <row r="8" spans="1:5" x14ac:dyDescent="0.2">
      <c r="A8" s="16" t="s">
        <v>213</v>
      </c>
      <c r="B8" s="23">
        <v>0</v>
      </c>
      <c r="C8" s="16">
        <v>189</v>
      </c>
      <c r="D8" t="str">
        <f t="shared" si="0"/>
        <v>ALA CARTE</v>
      </c>
      <c r="E8">
        <f t="shared" si="1"/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Project_Overview</vt:lpstr>
      <vt:lpstr>Sales_Transactions</vt:lpstr>
      <vt:lpstr>KPI_Summary</vt:lpstr>
      <vt:lpstr>Revenue_Analysis_By_Day_Service</vt:lpstr>
      <vt:lpstr>Prediction_Features</vt:lpstr>
      <vt:lpstr>Daily_Demand</vt:lpstr>
      <vt:lpstr>Daily_Demand_Table</vt:lpstr>
      <vt:lpstr>Regression_Model</vt:lpstr>
      <vt:lpstr>Tomorrow_Lunch_Plan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RISHITA SHARMA</cp:lastModifiedBy>
  <dcterms:created xsi:type="dcterms:W3CDTF">2026-01-25T12:20:35Z</dcterms:created>
  <dcterms:modified xsi:type="dcterms:W3CDTF">2026-02-06T07:32:09Z</dcterms:modified>
</cp:coreProperties>
</file>